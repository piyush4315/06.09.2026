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Live Search" sheetId="2" state="visible" r:id="rId2"/>
    <sheet name="Final Calc (Transposed)" sheetId="3" state="visible" r:id="rId3"/>
    <sheet name="Transposed + Field Filter" sheetId="4" state="visible" r:id="rId4"/>
    <sheet name="Transposed + Lot Folds" sheetId="5" state="visible" r:id="rId5"/>
    <sheet name="Transposed + Both Filters" sheetId="6" state="visible" r:id="rId6"/>
    <sheet name="Transposed - Pick a Buyer" sheetId="7" state="visible" r:id="rId7"/>
    <sheet name="Transposed - Filter Values" sheetId="8" state="visible" r:id="rId8"/>
    <sheet name="Buyer Pivot" sheetId="9" state="visible" r:id="rId9"/>
    <sheet name="Buyer Rows (Filter)" sheetId="10" state="visible" r:id="rId10"/>
    <sheet name="Lot-wise Vertical" sheetId="11" state="visible" r:id="rId11"/>
    <sheet name="Collapsible - Lots Across" sheetId="12" state="visible" r:id="rId12"/>
    <sheet name="Collapsible + Field Filter" sheetId="13" state="visible" r:id="rId13"/>
    <sheet name="Collapsible - Lots Down" sheetId="14" state="visible" r:id="rId14"/>
    <sheet name="Ledger Filter - Lots Down" sheetId="15" state="visible" r:id="rId15"/>
    <sheet name="Ledger Filter - Lots Across" sheetId="16" state="visible" r:id="rId16"/>
  </sheets>
  <definedNames>
    <definedName name="_xlnm._FilterDatabase" localSheetId="0" hidden="1">'Final Calculation Sheet'!$A$3:$AG$43</definedName>
    <definedName name="_xlnm.Print_Titles" localSheetId="1">'Live Search'!$4:$4</definedName>
    <definedName name="_xlnm._FilterDatabase" localSheetId="2" hidden="1">'Final Calc (Transposed)'!$A$3:$A$36</definedName>
    <definedName name="_xlnm.Print_Titles" localSheetId="2">'Final Calc (Transposed)'!$A:$A</definedName>
    <definedName name="_xlnm._FilterDatabase" localSheetId="3" hidden="1">'Transposed + Field Filter'!$A$3:$A$36</definedName>
    <definedName name="_xlnm.Print_Titles" localSheetId="3">'Transposed + Field Filter'!$A:$A</definedName>
    <definedName name="_xlnm.Print_Titles" localSheetId="4">'Transposed + Lot Folds'!$A:$A</definedName>
    <definedName name="_xlnm._FilterDatabase" localSheetId="5" hidden="1">'Transposed + Both Filters'!$A$5:$A$38</definedName>
    <definedName name="_xlnm.Print_Titles" localSheetId="5">'Transposed + Both Filters'!$A:$A</definedName>
    <definedName name="_xlnm._FilterDatabase" localSheetId="6" hidden="1">'Transposed - Pick a Buyer'!$A$4:$A$37</definedName>
    <definedName name="_xlnm.Print_Titles" localSheetId="6">'Transposed - Pick a Buyer'!$A:$A</definedName>
    <definedName name="_xlnm._FilterDatabase" localSheetId="7" hidden="1">'Transposed - Filter Values'!$A$4:$A$37</definedName>
    <definedName name="_xlnm.Print_Titles" localSheetId="7">'Transposed - Filter Values'!$A:$A</definedName>
    <definedName name="_xlnm._FilterDatabase" localSheetId="8" hidden="1">'Buyer Pivot'!$A$3:$O$41</definedName>
    <definedName name="_xlnm.Print_Titles" localSheetId="8">'Buyer Pivot'!$A:$A</definedName>
    <definedName name="_xlnm._FilterDatabase" localSheetId="9" hidden="1">'Buyer Rows (Filter)'!$A$4:$AE$17</definedName>
    <definedName name="_xlnm.Print_Titles" localSheetId="9">'Buyer Rows (Filter)'!$A:$A</definedName>
    <definedName name="_xlnm._FilterDatabase" localSheetId="12" hidden="1">'Collapsible + Field Filter'!$A$5:$A$563</definedName>
    <definedName name="_xlnm.Print_Titles" localSheetId="13">'Collapsible - Lots Down'!$4:$4</definedName>
    <definedName name="_xlnm._FilterDatabase" localSheetId="14" hidden="1">'Ledger Filter - Lots Down'!$A$5:$AI$55</definedName>
    <definedName name="_xlnm.Print_Titles" localSheetId="14">'Ledger Filter - Lots Down'!$5:$5</definedName>
    <definedName name="_xlnm._FilterDatabase" localSheetId="15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45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  <font>
      <b val="1"/>
      <color rgb="001F3864"/>
      <sz val="12"/>
    </font>
    <font>
      <i val="1"/>
      <color rgb="00808080"/>
      <sz val="8"/>
    </font>
    <font>
      <b val="1"/>
      <color rgb="001F3864"/>
      <sz val="11"/>
    </font>
    <font>
      <b val="1"/>
      <color rgb="001F3864"/>
      <sz val="13"/>
    </font>
    <font>
      <b val="1"/>
      <color rgb="00808080"/>
      <sz val="9"/>
    </font>
    <font>
      <b val="1"/>
      <color rgb="00333333"/>
      <sz val="10"/>
    </font>
  </fonts>
  <fills count="78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833C00"/>
      </patternFill>
    </fill>
    <fill>
      <patternFill patternType="solid">
        <fgColor rgb="00FFFF00"/>
      </patternFill>
    </fill>
    <fill>
      <patternFill patternType="solid">
        <fgColor rgb="00203864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  <fill>
      <patternFill patternType="solid">
        <fgColor rgb="FFC55A11"/>
        <bgColor rgb="FFC55A11"/>
      </patternFill>
    </fill>
    <fill>
      <patternFill patternType="solid">
        <fgColor rgb="FF548235"/>
        <bgColor rgb="FF548235"/>
      </patternFill>
    </fill>
    <fill>
      <patternFill patternType="solid">
        <fgColor rgb="FF7030A0"/>
        <bgColor rgb="FF7030A0"/>
      </patternFill>
    </fill>
    <fill>
      <patternFill patternType="solid">
        <fgColor rgb="FFC00000"/>
        <bgColor rgb="FFC00000"/>
      </patternFill>
    </fill>
    <fill>
      <patternFill patternType="solid">
        <fgColor rgb="FF00838F"/>
        <bgColor rgb="FF00838F"/>
      </patternFill>
    </fill>
    <fill>
      <patternFill patternType="solid">
        <fgColor rgb="FFBF8F00"/>
        <bgColor rgb="FFBF8F00"/>
      </patternFill>
    </fill>
    <fill>
      <patternFill patternType="solid">
        <fgColor rgb="FFA51E4D"/>
        <bgColor rgb="FFA51E4D"/>
      </patternFill>
    </fill>
    <fill>
      <patternFill patternType="solid">
        <fgColor rgb="FFF4F9FD"/>
        <bgColor rgb="FFF4F9FD"/>
      </patternFill>
    </fill>
    <fill>
      <patternFill patternType="solid">
        <fgColor rgb="FFF7F7F7"/>
        <bgColor rgb="FFF7F7F7"/>
      </patternFill>
    </fill>
    <fill>
      <patternFill patternType="solid">
        <fgColor rgb="FF833C00"/>
        <bgColor rgb="FF833C00"/>
      </patternFill>
    </fill>
    <fill>
      <patternFill patternType="solid">
        <fgColor rgb="FF595959"/>
        <bgColor rgb="FF595959"/>
      </patternFill>
    </fill>
    <fill>
      <patternFill patternType="solid">
        <fgColor rgb="FFFEF4EC"/>
        <bgColor rgb="FFFEF4EC"/>
      </patternFill>
    </fill>
    <fill>
      <patternFill patternType="solid">
        <fgColor rgb="FFE2EFDA"/>
        <bgColor rgb="FFE2EFDA"/>
      </patternFill>
    </fill>
    <fill>
      <patternFill patternType="solid">
        <fgColor rgb="FFF6F1FB"/>
        <bgColor rgb="FFF6F1FB"/>
      </patternFill>
    </fill>
    <fill>
      <patternFill patternType="solid">
        <fgColor rgb="FFFBE0E0"/>
        <bgColor rgb="FFFBE0E0"/>
      </patternFill>
    </fill>
    <fill>
      <patternFill patternType="solid">
        <fgColor rgb="FFEFF9FA"/>
        <bgColor rgb="FFEFF9FA"/>
      </patternFill>
    </fill>
    <fill>
      <patternFill patternType="solid">
        <fgColor rgb="FFFDF2F6"/>
        <bgColor rgb="FFFDF2F6"/>
      </patternFill>
    </fill>
    <fill>
      <patternFill patternType="solid">
        <fgColor rgb="FF808080"/>
        <bgColor rgb="FF808080"/>
      </patternFill>
    </fill>
    <fill>
      <patternFill patternType="solid">
        <fgColor rgb="FFFCE4D6"/>
        <bgColor rgb="FFFCE4D6"/>
      </patternFill>
    </fill>
    <fill>
      <patternFill patternType="solid">
        <fgColor rgb="FFE6D9F2"/>
        <bgColor rgb="FFE6D9F2"/>
      </patternFill>
    </fill>
    <fill>
      <patternFill patternType="solid">
        <fgColor rgb="FFD7F0F2"/>
        <bgColor rgb="FFD7F0F2"/>
      </patternFill>
    </fill>
    <fill>
      <patternFill patternType="solid">
        <fgColor rgb="FFF8DCE6"/>
        <bgColor rgb="FFF8DCE6"/>
      </patternFill>
    </fill>
    <fill>
      <patternFill patternType="solid">
        <fgColor rgb="FFF4FAF0"/>
        <bgColor rgb="FFF4FAF0"/>
      </patternFill>
    </fill>
    <fill>
      <patternFill patternType="solid">
        <fgColor rgb="FFFEF3F3"/>
        <bgColor rgb="FFFEF3F3"/>
      </patternFill>
    </fill>
    <fill>
      <patternFill patternType="solid">
        <fgColor rgb="FF9E4EA8"/>
        <bgColor rgb="FF9E4EA8"/>
      </patternFill>
    </fill>
    <fill>
      <patternFill patternType="solid">
        <fgColor rgb="FFEDEDED"/>
        <bgColor rgb="FFEDEDED"/>
      </patternFill>
    </fill>
    <fill>
      <patternFill patternType="solid">
        <fgColor rgb="FFFFFAE8"/>
        <bgColor rgb="FFFFFAE8"/>
      </patternFill>
    </fill>
    <fill>
      <patternFill patternType="solid">
        <fgColor rgb="FFFFFFFF"/>
        <bgColor rgb="FFFFFFFF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 style="medium">
        <color rgb="00808080"/>
      </right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121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  <xf numFmtId="3" fontId="8" fillId="8" borderId="17" applyAlignment="1" pivotButton="0" quotePrefix="0" xfId="0">
      <alignment horizontal="center" vertical="center" wrapText="1"/>
    </xf>
    <xf numFmtId="3" fontId="8" fillId="11" borderId="17" applyAlignment="1" pivotButton="0" quotePrefix="0" xfId="0">
      <alignment horizontal="center" vertical="center" wrapText="1"/>
    </xf>
    <xf numFmtId="3" fontId="8" fillId="14" borderId="17" applyAlignment="1" pivotButton="0" quotePrefix="0" xfId="0">
      <alignment horizontal="center" vertical="center" wrapText="1"/>
    </xf>
    <xf numFmtId="3" fontId="8" fillId="16" borderId="17" applyAlignment="1" pivotButton="0" quotePrefix="0" xfId="0">
      <alignment horizontal="center" vertical="center" wrapText="1"/>
    </xf>
    <xf numFmtId="0" fontId="29" fillId="27" borderId="18" applyAlignment="1" pivotButton="0" quotePrefix="0" xfId="0">
      <alignment horizontal="left" vertical="center" indent="1"/>
    </xf>
    <xf numFmtId="0" fontId="12" fillId="34" borderId="18" applyAlignment="1" pivotButton="0" quotePrefix="0" xfId="0">
      <alignment horizontal="left" vertical="center"/>
    </xf>
    <xf numFmtId="0" fontId="29" fillId="9" borderId="19" applyAlignment="1" pivotButton="0" quotePrefix="0" xfId="0">
      <alignment horizontal="left" vertical="center"/>
    </xf>
    <xf numFmtId="0" fontId="29" fillId="9" borderId="18" applyAlignment="1" pivotButton="0" quotePrefix="0" xfId="0">
      <alignment horizontal="left" vertical="center" indent="1"/>
    </xf>
    <xf numFmtId="164" fontId="12" fillId="0" borderId="18" applyAlignment="1" pivotButton="0" quotePrefix="0" xfId="0">
      <alignment horizontal="right" vertical="center"/>
    </xf>
    <xf numFmtId="164" fontId="12" fillId="34" borderId="18" applyAlignment="1" pivotButton="0" quotePrefix="0" xfId="0">
      <alignment horizontal="right" vertical="center"/>
    </xf>
    <xf numFmtId="164" fontId="29" fillId="9" borderId="19" applyAlignment="1" pivotButton="0" quotePrefix="0" xfId="0">
      <alignment horizontal="right" vertical="center"/>
    </xf>
    <xf numFmtId="3" fontId="12" fillId="0" borderId="18" applyAlignment="1" pivotButton="0" quotePrefix="0" xfId="0">
      <alignment horizontal="right" vertical="center"/>
    </xf>
    <xf numFmtId="3" fontId="12" fillId="34" borderId="18" applyAlignment="1" pivotButton="0" quotePrefix="0" xfId="0">
      <alignment horizontal="right" vertical="center"/>
    </xf>
    <xf numFmtId="9" fontId="12" fillId="0" borderId="18" applyAlignment="1" pivotButton="0" quotePrefix="0" xfId="0">
      <alignment horizontal="right" vertical="center"/>
    </xf>
    <xf numFmtId="9" fontId="12" fillId="34" borderId="18" applyAlignment="1" pivotButton="0" quotePrefix="0" xfId="0">
      <alignment horizontal="right" vertical="center"/>
    </xf>
    <xf numFmtId="9" fontId="29" fillId="9" borderId="19" applyAlignment="1" pivotButton="0" quotePrefix="0" xfId="0">
      <alignment horizontal="right" vertical="center"/>
    </xf>
    <xf numFmtId="165" fontId="12" fillId="0" borderId="18" applyAlignment="1" pivotButton="0" quotePrefix="0" xfId="0">
      <alignment horizontal="right" vertical="center"/>
    </xf>
    <xf numFmtId="165" fontId="12" fillId="34" borderId="18" applyAlignment="1" pivotButton="0" quotePrefix="0" xfId="0">
      <alignment horizontal="right" vertical="center"/>
    </xf>
    <xf numFmtId="165" fontId="29" fillId="9" borderId="19" applyAlignment="1" pivotButton="0" quotePrefix="0" xfId="0">
      <alignment horizontal="right" vertical="center"/>
    </xf>
    <xf numFmtId="1" fontId="12" fillId="0" borderId="18" applyAlignment="1" pivotButton="0" quotePrefix="0" xfId="0">
      <alignment horizontal="right" vertical="center"/>
    </xf>
    <xf numFmtId="1" fontId="12" fillId="34" borderId="18" applyAlignment="1" pivotButton="0" quotePrefix="0" xfId="0">
      <alignment horizontal="right" vertical="center"/>
    </xf>
    <xf numFmtId="0" fontId="38" fillId="8" borderId="18" applyAlignment="1" pivotButton="0" quotePrefix="0" xfId="0">
      <alignment horizontal="center" vertical="center" wrapText="1"/>
    </xf>
    <xf numFmtId="0" fontId="38" fillId="11" borderId="18" applyAlignment="1" pivotButton="0" quotePrefix="0" xfId="0">
      <alignment horizontal="center" vertical="center" wrapText="1"/>
    </xf>
    <xf numFmtId="0" fontId="38" fillId="14" borderId="18" applyAlignment="1" pivotButton="0" quotePrefix="0" xfId="0">
      <alignment horizontal="center" vertical="center" wrapText="1"/>
    </xf>
    <xf numFmtId="0" fontId="38" fillId="16" borderId="18" applyAlignment="1" pivotButton="0" quotePrefix="0" xfId="0">
      <alignment horizontal="center" vertical="center" wrapText="1"/>
    </xf>
    <xf numFmtId="0" fontId="38" fillId="18" borderId="18" applyAlignment="1" pivotButton="0" quotePrefix="0" xfId="0">
      <alignment horizontal="center" vertical="center" wrapText="1"/>
    </xf>
    <xf numFmtId="0" fontId="38" fillId="20" borderId="18" applyAlignment="1" pivotButton="0" quotePrefix="0" xfId="0">
      <alignment horizontal="center" vertical="center" wrapText="1"/>
    </xf>
    <xf numFmtId="0" fontId="38" fillId="23" borderId="18" applyAlignment="1" pivotButton="0" quotePrefix="0" xfId="0">
      <alignment horizontal="center" vertical="center" wrapText="1"/>
    </xf>
    <xf numFmtId="0" fontId="38" fillId="24" borderId="18" applyAlignment="1" pivotButton="0" quotePrefix="0" xfId="0">
      <alignment horizontal="center" vertical="center" wrapText="1"/>
    </xf>
    <xf numFmtId="0" fontId="0" fillId="36" borderId="0" pivotButton="0" quotePrefix="0" xfId="0"/>
    <xf numFmtId="164" fontId="12" fillId="9" borderId="18" applyAlignment="1" pivotButton="0" quotePrefix="0" xfId="0">
      <alignment horizontal="right" vertical="center"/>
    </xf>
    <xf numFmtId="164" fontId="12" fillId="12" borderId="18" applyAlignment="1" pivotButton="0" quotePrefix="0" xfId="0">
      <alignment horizontal="right" vertical="center"/>
    </xf>
    <xf numFmtId="164" fontId="12" fillId="15" borderId="18" applyAlignment="1" pivotButton="0" quotePrefix="0" xfId="0">
      <alignment horizontal="right" vertical="center"/>
    </xf>
    <xf numFmtId="164" fontId="12" fillId="17" borderId="18" applyAlignment="1" pivotButton="0" quotePrefix="0" xfId="0">
      <alignment horizontal="right" vertical="center"/>
    </xf>
    <xf numFmtId="164" fontId="12" fillId="19" borderId="18" applyAlignment="1" pivotButton="0" quotePrefix="0" xfId="0">
      <alignment horizontal="right" vertical="center"/>
    </xf>
    <xf numFmtId="164" fontId="12" fillId="25" borderId="18" applyAlignment="1" pivotButton="0" quotePrefix="0" xfId="0">
      <alignment horizontal="right" vertical="center"/>
    </xf>
    <xf numFmtId="3" fontId="12" fillId="9" borderId="18" applyAlignment="1" pivotButton="0" quotePrefix="0" xfId="0">
      <alignment horizontal="right" vertical="center"/>
    </xf>
    <xf numFmtId="3" fontId="12" fillId="12" borderId="18" applyAlignment="1" pivotButton="0" quotePrefix="0" xfId="0">
      <alignment horizontal="right" vertical="center"/>
    </xf>
    <xf numFmtId="3" fontId="12" fillId="15" borderId="18" applyAlignment="1" pivotButton="0" quotePrefix="0" xfId="0">
      <alignment horizontal="right" vertical="center"/>
    </xf>
    <xf numFmtId="3" fontId="12" fillId="17" borderId="18" applyAlignment="1" pivotButton="0" quotePrefix="0" xfId="0">
      <alignment horizontal="right" vertical="center"/>
    </xf>
    <xf numFmtId="3" fontId="12" fillId="19" borderId="18" applyAlignment="1" pivotButton="0" quotePrefix="0" xfId="0">
      <alignment horizontal="right" vertical="center"/>
    </xf>
    <xf numFmtId="3" fontId="12" fillId="25" borderId="18" applyAlignment="1" pivotButton="0" quotePrefix="0" xfId="0">
      <alignment horizontal="right" vertical="center"/>
    </xf>
    <xf numFmtId="9" fontId="12" fillId="9" borderId="18" applyAlignment="1" pivotButton="0" quotePrefix="0" xfId="0">
      <alignment horizontal="right" vertical="center"/>
    </xf>
    <xf numFmtId="9" fontId="12" fillId="12" borderId="18" applyAlignment="1" pivotButton="0" quotePrefix="0" xfId="0">
      <alignment horizontal="right" vertical="center"/>
    </xf>
    <xf numFmtId="9" fontId="12" fillId="15" borderId="18" applyAlignment="1" pivotButton="0" quotePrefix="0" xfId="0">
      <alignment horizontal="right" vertical="center"/>
    </xf>
    <xf numFmtId="9" fontId="12" fillId="17" borderId="18" applyAlignment="1" pivotButton="0" quotePrefix="0" xfId="0">
      <alignment horizontal="right" vertical="center"/>
    </xf>
    <xf numFmtId="9" fontId="12" fillId="19" borderId="18" applyAlignment="1" pivotButton="0" quotePrefix="0" xfId="0">
      <alignment horizontal="right" vertical="center"/>
    </xf>
    <xf numFmtId="9" fontId="12" fillId="25" borderId="18" applyAlignment="1" pivotButton="0" quotePrefix="0" xfId="0">
      <alignment horizontal="right" vertical="center"/>
    </xf>
    <xf numFmtId="165" fontId="12" fillId="9" borderId="18" applyAlignment="1" pivotButton="0" quotePrefix="0" xfId="0">
      <alignment horizontal="right" vertical="center"/>
    </xf>
    <xf numFmtId="165" fontId="12" fillId="12" borderId="18" applyAlignment="1" pivotButton="0" quotePrefix="0" xfId="0">
      <alignment horizontal="right" vertical="center"/>
    </xf>
    <xf numFmtId="165" fontId="12" fillId="15" borderId="18" applyAlignment="1" pivotButton="0" quotePrefix="0" xfId="0">
      <alignment horizontal="right" vertical="center"/>
    </xf>
    <xf numFmtId="165" fontId="12" fillId="17" borderId="18" applyAlignment="1" pivotButton="0" quotePrefix="0" xfId="0">
      <alignment horizontal="right" vertical="center"/>
    </xf>
    <xf numFmtId="165" fontId="12" fillId="19" borderId="18" applyAlignment="1" pivotButton="0" quotePrefix="0" xfId="0">
      <alignment horizontal="right" vertical="center"/>
    </xf>
    <xf numFmtId="165" fontId="12" fillId="25" borderId="18" applyAlignment="1" pivotButton="0" quotePrefix="0" xfId="0">
      <alignment horizontal="right" vertical="center"/>
    </xf>
    <xf numFmtId="1" fontId="12" fillId="9" borderId="18" applyAlignment="1" pivotButton="0" quotePrefix="0" xfId="0">
      <alignment horizontal="right" vertical="center"/>
    </xf>
    <xf numFmtId="1" fontId="12" fillId="12" borderId="18" applyAlignment="1" pivotButton="0" quotePrefix="0" xfId="0">
      <alignment horizontal="right" vertical="center"/>
    </xf>
    <xf numFmtId="1" fontId="12" fillId="15" borderId="18" applyAlignment="1" pivotButton="0" quotePrefix="0" xfId="0">
      <alignment horizontal="right" vertical="center"/>
    </xf>
    <xf numFmtId="1" fontId="12" fillId="17" borderId="18" applyAlignment="1" pivotButton="0" quotePrefix="0" xfId="0">
      <alignment horizontal="right" vertical="center"/>
    </xf>
    <xf numFmtId="1" fontId="12" fillId="19" borderId="18" applyAlignment="1" pivotButton="0" quotePrefix="0" xfId="0">
      <alignment horizontal="right" vertical="center"/>
    </xf>
    <xf numFmtId="1" fontId="12" fillId="25" borderId="18" applyAlignment="1" pivotButton="0" quotePrefix="0" xfId="0">
      <alignment horizontal="right" vertical="center"/>
    </xf>
    <xf numFmtId="0" fontId="40" fillId="0" borderId="0" pivotButton="0" quotePrefix="0" xfId="0"/>
    <xf numFmtId="0" fontId="27" fillId="7" borderId="0" applyAlignment="1" pivotButton="0" quotePrefix="0" xfId="0">
      <alignment horizontal="left" vertical="center" indent="1"/>
    </xf>
    <xf numFmtId="0" fontId="39" fillId="3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29" fillId="9" borderId="0" applyAlignment="1" pivotButton="0" quotePrefix="0" xfId="0">
      <alignment horizontal="left" vertical="center" indent="1"/>
    </xf>
    <xf numFmtId="3" fontId="8" fillId="18" borderId="17" applyAlignment="1" pivotButton="0" quotePrefix="0" xfId="0">
      <alignment horizontal="center" vertical="center" wrapText="1"/>
    </xf>
    <xf numFmtId="3" fontId="8" fillId="20" borderId="17" applyAlignment="1" pivotButton="0" quotePrefix="0" xfId="0">
      <alignment horizontal="center" vertical="center" wrapText="1"/>
    </xf>
    <xf numFmtId="3" fontId="8" fillId="23" borderId="17" applyAlignment="1" pivotButton="0" quotePrefix="0" xfId="0">
      <alignment horizontal="center" vertical="center" wrapText="1"/>
    </xf>
    <xf numFmtId="3" fontId="8" fillId="24" borderId="17" applyAlignment="1" pivotButton="0" quotePrefix="0" xfId="0">
      <alignment horizontal="center" vertical="center" wrapText="1"/>
    </xf>
    <xf numFmtId="0" fontId="29" fillId="9" borderId="19" applyAlignment="1" pivotButton="0" quotePrefix="0" xfId="0">
      <alignment horizontal="right" vertical="center"/>
    </xf>
    <xf numFmtId="0" fontId="25" fillId="31" borderId="17" applyAlignment="1" pivotButton="0" quotePrefix="0" xfId="0">
      <alignment horizontal="center" vertical="bottom" textRotation="90" wrapText="1"/>
    </xf>
    <xf numFmtId="0" fontId="11" fillId="9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 indent="1"/>
    </xf>
    <xf numFmtId="0" fontId="8" fillId="4" borderId="18" applyAlignment="1" pivotButton="0" quotePrefix="0" xfId="0">
      <alignment horizontal="left" vertical="center" indent="1"/>
    </xf>
    <xf numFmtId="1" fontId="8" fillId="4" borderId="18" applyAlignment="1" pivotButton="0" quotePrefix="0" xfId="0">
      <alignment horizontal="right" vertical="center"/>
    </xf>
    <xf numFmtId="49" fontId="8" fillId="4" borderId="18" applyAlignment="1" pivotButton="0" quotePrefix="0" xfId="0">
      <alignment horizontal="left" vertical="center"/>
    </xf>
    <xf numFmtId="166" fontId="8" fillId="4" borderId="18" applyAlignment="1" pivotButton="0" quotePrefix="0" xfId="0">
      <alignment horizontal="right" vertical="center"/>
    </xf>
    <xf numFmtId="4" fontId="8" fillId="4" borderId="18" applyAlignment="1" pivotButton="0" quotePrefix="0" xfId="0">
      <alignment horizontal="right" vertical="center"/>
    </xf>
    <xf numFmtId="10" fontId="8" fillId="4" borderId="18" applyAlignment="1" pivotButton="0" quotePrefix="0" xfId="0">
      <alignment horizontal="right" vertical="center"/>
    </xf>
    <xf numFmtId="167" fontId="8" fillId="4" borderId="18" applyAlignment="1" pivotButton="0" quotePrefix="0" xfId="0">
      <alignment horizontal="right" vertical="center"/>
    </xf>
    <xf numFmtId="0" fontId="27" fillId="4" borderId="0" applyAlignment="1" pivotButton="0" quotePrefix="0" xfId="0">
      <alignment horizontal="left" vertical="center" indent="1"/>
    </xf>
    <xf numFmtId="0" fontId="41" fillId="37" borderId="35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right" vertical="center"/>
    </xf>
    <xf numFmtId="3" fontId="8" fillId="38" borderId="17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right" vertical="center"/>
    </xf>
    <xf numFmtId="0" fontId="42" fillId="39" borderId="35" applyAlignment="1" pivotButton="0" quotePrefix="0" xfId="0">
      <alignment horizontal="left" vertical="center" indent="1"/>
    </xf>
    <xf numFmtId="0" fontId="29" fillId="37" borderId="35" applyAlignment="1" pivotButton="0" quotePrefix="0" xfId="0">
      <alignment horizontal="center" vertical="center" wrapText="1"/>
    </xf>
    <xf numFmtId="0" fontId="39" fillId="9" borderId="35" applyAlignment="1" pivotButton="0" quotePrefix="0" xfId="0">
      <alignment horizontal="center" vertical="center" wrapText="1"/>
    </xf>
    <xf numFmtId="0" fontId="25" fillId="8" borderId="17" applyAlignment="1" pivotButton="0" quotePrefix="0" xfId="0">
      <alignment horizontal="center" vertical="center" wrapText="1"/>
    </xf>
    <xf numFmtId="0" fontId="25" fillId="5" borderId="17" applyAlignment="1" pivotButton="0" quotePrefix="0" xfId="0">
      <alignment horizontal="center" vertical="center" wrapText="1"/>
    </xf>
    <xf numFmtId="0" fontId="25" fillId="40" borderId="17" applyAlignment="1" pivotButton="0" quotePrefix="0" xfId="0">
      <alignment horizontal="center" vertical="center" wrapText="1"/>
    </xf>
    <xf numFmtId="1" fontId="43" fillId="0" borderId="18" applyAlignment="1" pivotButton="0" quotePrefix="0" xfId="0">
      <alignment horizontal="center" vertical="center" wrapText="1"/>
    </xf>
    <xf numFmtId="0" fontId="44" fillId="0" borderId="18" applyAlignment="1" pivotButton="0" quotePrefix="0" xfId="0">
      <alignment horizontal="left" vertical="center"/>
    </xf>
    <xf numFmtId="0" fontId="16" fillId="0" borderId="18" applyAlignment="1" pivotButton="0" quotePrefix="0" xfId="0">
      <alignment horizontal="center" vertical="center" wrapText="1"/>
    </xf>
    <xf numFmtId="1" fontId="43" fillId="27" borderId="18" applyAlignment="1" pivotButton="0" quotePrefix="0" xfId="0">
      <alignment horizontal="center" vertical="center" wrapText="1"/>
    </xf>
    <xf numFmtId="0" fontId="44" fillId="27" borderId="18" applyAlignment="1" pivotButton="0" quotePrefix="0" xfId="0">
      <alignment horizontal="left" vertical="center"/>
    </xf>
    <xf numFmtId="0" fontId="12" fillId="27" borderId="18" applyAlignment="1" pivotButton="0" quotePrefix="0" xfId="0">
      <alignment horizontal="left" vertical="center"/>
    </xf>
    <xf numFmtId="164" fontId="12" fillId="27" borderId="18" applyAlignment="1" pivotButton="0" quotePrefix="0" xfId="0">
      <alignment horizontal="right" vertical="center"/>
    </xf>
    <xf numFmtId="3" fontId="12" fillId="27" borderId="18" applyAlignment="1" pivotButton="0" quotePrefix="0" xfId="0">
      <alignment horizontal="right" vertical="center"/>
    </xf>
    <xf numFmtId="9" fontId="12" fillId="27" borderId="18" applyAlignment="1" pivotButton="0" quotePrefix="0" xfId="0">
      <alignment horizontal="right" vertical="center"/>
    </xf>
    <xf numFmtId="165" fontId="12" fillId="27" borderId="18" applyAlignment="1" pivotButton="0" quotePrefix="0" xfId="0">
      <alignment horizontal="right" vertical="center"/>
    </xf>
    <xf numFmtId="1" fontId="12" fillId="27" borderId="18" applyAlignment="1" pivotButton="0" quotePrefix="0" xfId="0">
      <alignment horizontal="right" vertical="center"/>
    </xf>
    <xf numFmtId="0" fontId="16" fillId="27" borderId="18" applyAlignment="1" pivotButton="0" quotePrefix="0" xfId="0">
      <alignment horizontal="center" vertical="center" wrapText="1"/>
    </xf>
    <xf numFmtId="0" fontId="27" fillId="4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right" vertical="center"/>
    </xf>
    <xf numFmtId="164" fontId="8" fillId="4" borderId="18" applyAlignment="1" pivotButton="0" quotePrefix="0" xfId="0">
      <alignment horizontal="right" vertical="center"/>
    </xf>
    <xf numFmtId="165" fontId="8" fillId="4" borderId="18" applyAlignment="1" pivotButton="0" quotePrefix="0" xfId="0">
      <alignment horizontal="right" vertical="center"/>
    </xf>
    <xf numFmtId="1" fontId="43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 vertical="center"/>
    </xf>
    <xf numFmtId="9" fontId="12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" fontId="12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 wrapText="1"/>
    </xf>
    <xf numFmtId="0" fontId="7" fillId="41" borderId="0" applyAlignment="1" pivotButton="0" quotePrefix="0" xfId="0">
      <alignment horizontal="left" vertical="center" indent="1"/>
    </xf>
    <xf numFmtId="0" fontId="9" fillId="42" borderId="0" applyAlignment="1" pivotButton="0" quotePrefix="0" xfId="0">
      <alignment horizontal="left" vertical="center" wrapText="1"/>
    </xf>
    <xf numFmtId="0" fontId="27" fillId="41" borderId="0" applyAlignment="1" pivotButton="0" quotePrefix="0" xfId="0">
      <alignment horizontal="right" vertical="center"/>
    </xf>
    <xf numFmtId="0" fontId="42" fillId="43" borderId="35" applyAlignment="1" pivotButton="0" quotePrefix="0" xfId="0">
      <alignment horizontal="left" vertical="center" indent="1"/>
    </xf>
    <xf numFmtId="0" fontId="8" fillId="44" borderId="0" applyAlignment="1" pivotButton="0" quotePrefix="0" xfId="0">
      <alignment horizontal="right" vertical="center"/>
    </xf>
    <xf numFmtId="0" fontId="29" fillId="45" borderId="35" applyAlignment="1" pivotButton="0" quotePrefix="0" xfId="0">
      <alignment horizontal="center" vertical="center" wrapText="1"/>
    </xf>
    <xf numFmtId="0" fontId="39" fillId="46" borderId="35" applyAlignment="1" pivotButton="0" quotePrefix="0" xfId="0">
      <alignment horizontal="center" vertical="center" wrapText="1"/>
    </xf>
    <xf numFmtId="0" fontId="29" fillId="46" borderId="0" applyAlignment="1" pivotButton="0" quotePrefix="0" xfId="0">
      <alignment horizontal="left" vertical="center" indent="1"/>
    </xf>
    <xf numFmtId="0" fontId="25" fillId="47" borderId="17" applyAlignment="1" pivotButton="0" quotePrefix="0" xfId="0">
      <alignment horizontal="center" vertical="center" wrapText="1"/>
    </xf>
    <xf numFmtId="0" fontId="25" fillId="48" borderId="17" applyAlignment="1" pivotButton="0" quotePrefix="0" xfId="0">
      <alignment horizontal="center" vertical="center" wrapText="1"/>
    </xf>
    <xf numFmtId="0" fontId="25" fillId="49" borderId="17" applyAlignment="1" pivotButton="0" quotePrefix="0" xfId="0">
      <alignment horizontal="center" vertical="center" wrapText="1"/>
    </xf>
    <xf numFmtId="0" fontId="8" fillId="44" borderId="17" applyAlignment="1" pivotButton="0" quotePrefix="0" xfId="0">
      <alignment horizontal="left" vertical="center" indent="1"/>
    </xf>
    <xf numFmtId="3" fontId="8" fillId="47" borderId="17" applyAlignment="1" pivotButton="0" quotePrefix="0" xfId="0">
      <alignment horizontal="center" vertical="center" wrapText="1"/>
    </xf>
    <xf numFmtId="3" fontId="8" fillId="50" borderId="17" applyAlignment="1" pivotButton="0" quotePrefix="0" xfId="0">
      <alignment horizontal="center" vertical="center" wrapText="1"/>
    </xf>
    <xf numFmtId="3" fontId="8" fillId="51" borderId="17" applyAlignment="1" pivotButton="0" quotePrefix="0" xfId="0">
      <alignment horizontal="center" vertical="center" wrapText="1"/>
    </xf>
    <xf numFmtId="3" fontId="8" fillId="52" borderId="17" applyAlignment="1" pivotButton="0" quotePrefix="0" xfId="0">
      <alignment horizontal="center" vertical="center" wrapText="1"/>
    </xf>
    <xf numFmtId="0" fontId="8" fillId="41" borderId="17" applyAlignment="1" pivotButton="0" quotePrefix="0" xfId="0">
      <alignment horizontal="center" vertical="center" wrapText="1"/>
    </xf>
    <xf numFmtId="0" fontId="29" fillId="57" borderId="18" applyAlignment="1" pivotButton="0" quotePrefix="0" xfId="0">
      <alignment horizontal="left" vertical="center" indent="1"/>
    </xf>
    <xf numFmtId="0" fontId="12" fillId="58" borderId="18" applyAlignment="1" pivotButton="0" quotePrefix="0" xfId="0">
      <alignment horizontal="left" vertical="center"/>
    </xf>
    <xf numFmtId="0" fontId="29" fillId="46" borderId="19" applyAlignment="1" pivotButton="0" quotePrefix="0" xfId="0">
      <alignment horizontal="left" vertical="center"/>
    </xf>
    <xf numFmtId="0" fontId="29" fillId="46" borderId="18" applyAlignment="1" pivotButton="0" quotePrefix="0" xfId="0">
      <alignment horizontal="left" vertical="center" indent="1"/>
    </xf>
    <xf numFmtId="164" fontId="12" fillId="58" borderId="18" applyAlignment="1" pivotButton="0" quotePrefix="0" xfId="0">
      <alignment horizontal="right" vertical="center"/>
    </xf>
    <xf numFmtId="164" fontId="29" fillId="46" borderId="19" applyAlignment="1" pivotButton="0" quotePrefix="0" xfId="0">
      <alignment horizontal="right" vertical="center"/>
    </xf>
    <xf numFmtId="3" fontId="12" fillId="58" borderId="18" applyAlignment="1" pivotButton="0" quotePrefix="0" xfId="0">
      <alignment horizontal="right" vertical="center"/>
    </xf>
    <xf numFmtId="3" fontId="29" fillId="46" borderId="19" applyAlignment="1" pivotButton="0" quotePrefix="0" xfId="0">
      <alignment horizontal="right" vertical="center"/>
    </xf>
    <xf numFmtId="9" fontId="12" fillId="58" borderId="18" applyAlignment="1" pivotButton="0" quotePrefix="0" xfId="0">
      <alignment horizontal="right" vertical="center"/>
    </xf>
    <xf numFmtId="9" fontId="29" fillId="46" borderId="19" applyAlignment="1" pivotButton="0" quotePrefix="0" xfId="0">
      <alignment horizontal="right" vertical="center"/>
    </xf>
    <xf numFmtId="165" fontId="12" fillId="58" borderId="18" applyAlignment="1" pivotButton="0" quotePrefix="0" xfId="0">
      <alignment horizontal="right" vertical="center"/>
    </xf>
    <xf numFmtId="165" fontId="29" fillId="46" borderId="19" applyAlignment="1" pivotButton="0" quotePrefix="0" xfId="0">
      <alignment horizontal="right" vertical="center"/>
    </xf>
    <xf numFmtId="1" fontId="12" fillId="58" borderId="18" applyAlignment="1" pivotButton="0" quotePrefix="0" xfId="0">
      <alignment horizontal="right" vertical="center"/>
    </xf>
    <xf numFmtId="1" fontId="29" fillId="46" borderId="19" applyAlignment="1" pivotButton="0" quotePrefix="0" xfId="0">
      <alignment horizontal="right" vertical="center"/>
    </xf>
    <xf numFmtId="0" fontId="25" fillId="44" borderId="0" applyAlignment="1" pivotButton="0" quotePrefix="0" xfId="0">
      <alignment horizontal="left" vertical="center" indent="1"/>
    </xf>
    <xf numFmtId="0" fontId="25" fillId="47" borderId="18" applyAlignment="1" pivotButton="0" quotePrefix="0" xfId="0">
      <alignment horizontal="center" vertical="center" wrapText="1"/>
    </xf>
    <xf numFmtId="0" fontId="0" fillId="47" borderId="18" pivotButton="0" quotePrefix="0" xfId="0"/>
    <xf numFmtId="0" fontId="25" fillId="50" borderId="18" applyAlignment="1" pivotButton="0" quotePrefix="0" xfId="0">
      <alignment horizontal="center" vertical="center" wrapText="1"/>
    </xf>
    <xf numFmtId="0" fontId="0" fillId="50" borderId="18" pivotButton="0" quotePrefix="0" xfId="0"/>
    <xf numFmtId="0" fontId="25" fillId="51" borderId="18" applyAlignment="1" pivotButton="0" quotePrefix="0" xfId="0">
      <alignment horizontal="center" vertical="center" wrapText="1"/>
    </xf>
    <xf numFmtId="0" fontId="0" fillId="51" borderId="18" pivotButton="0" quotePrefix="0" xfId="0"/>
    <xf numFmtId="0" fontId="25" fillId="52" borderId="18" applyAlignment="1" pivotButton="0" quotePrefix="0" xfId="0">
      <alignment horizontal="center" vertical="center" wrapText="1"/>
    </xf>
    <xf numFmtId="0" fontId="0" fillId="52" borderId="18" pivotButton="0" quotePrefix="0" xfId="0"/>
    <xf numFmtId="0" fontId="38" fillId="47" borderId="18" applyAlignment="1" pivotButton="0" quotePrefix="0" xfId="0">
      <alignment horizontal="center" vertical="center" wrapText="1"/>
    </xf>
    <xf numFmtId="0" fontId="38" fillId="50" borderId="18" applyAlignment="1" pivotButton="0" quotePrefix="0" xfId="0">
      <alignment horizontal="center" vertical="center" wrapText="1"/>
    </xf>
    <xf numFmtId="0" fontId="38" fillId="51" borderId="18" applyAlignment="1" pivotButton="0" quotePrefix="0" xfId="0">
      <alignment horizontal="center" vertical="center" wrapText="1"/>
    </xf>
    <xf numFmtId="0" fontId="38" fillId="52" borderId="18" applyAlignment="1" pivotButton="0" quotePrefix="0" xfId="0">
      <alignment horizontal="center" vertical="center" wrapText="1"/>
    </xf>
    <xf numFmtId="0" fontId="38" fillId="53" borderId="18" applyAlignment="1" pivotButton="0" quotePrefix="0" xfId="0">
      <alignment horizontal="center" vertical="center" wrapText="1"/>
    </xf>
    <xf numFmtId="0" fontId="0" fillId="53" borderId="18" pivotButton="0" quotePrefix="0" xfId="0"/>
    <xf numFmtId="0" fontId="38" fillId="54" borderId="18" applyAlignment="1" pivotButton="0" quotePrefix="0" xfId="0">
      <alignment horizontal="center" vertical="center" wrapText="1"/>
    </xf>
    <xf numFmtId="0" fontId="38" fillId="55" borderId="18" applyAlignment="1" pivotButton="0" quotePrefix="0" xfId="0">
      <alignment horizontal="center" vertical="center" wrapText="1"/>
    </xf>
    <xf numFmtId="0" fontId="38" fillId="56" borderId="18" applyAlignment="1" pivotButton="0" quotePrefix="0" xfId="0">
      <alignment horizontal="center" vertical="center" wrapText="1"/>
    </xf>
    <xf numFmtId="0" fontId="0" fillId="77" borderId="0" pivotButton="0" quotePrefix="0" xfId="0"/>
    <xf numFmtId="0" fontId="12" fillId="46" borderId="18" applyAlignment="1" pivotButton="0" quotePrefix="0" xfId="0">
      <alignment horizontal="left" vertical="center"/>
    </xf>
    <xf numFmtId="0" fontId="12" fillId="68" borderId="18" applyAlignment="1" pivotButton="0" quotePrefix="0" xfId="0">
      <alignment horizontal="left" vertical="center"/>
    </xf>
    <xf numFmtId="0" fontId="12" fillId="62" borderId="18" applyAlignment="1" pivotButton="0" quotePrefix="0" xfId="0">
      <alignment horizontal="left" vertical="center"/>
    </xf>
    <xf numFmtId="0" fontId="12" fillId="69" borderId="18" applyAlignment="1" pivotButton="0" quotePrefix="0" xfId="0">
      <alignment horizontal="left" vertical="center"/>
    </xf>
    <xf numFmtId="0" fontId="12" fillId="64" borderId="18" applyAlignment="1" pivotButton="0" quotePrefix="0" xfId="0">
      <alignment horizontal="left" vertical="center"/>
    </xf>
    <xf numFmtId="0" fontId="12" fillId="71" borderId="18" applyAlignment="1" pivotButton="0" quotePrefix="0" xfId="0">
      <alignment horizontal="left" vertical="center"/>
    </xf>
    <xf numFmtId="164" fontId="12" fillId="46" borderId="18" applyAlignment="1" pivotButton="0" quotePrefix="0" xfId="0">
      <alignment horizontal="right" vertical="center"/>
    </xf>
    <xf numFmtId="164" fontId="12" fillId="68" borderId="18" applyAlignment="1" pivotButton="0" quotePrefix="0" xfId="0">
      <alignment horizontal="right" vertical="center"/>
    </xf>
    <xf numFmtId="164" fontId="12" fillId="62" borderId="18" applyAlignment="1" pivotButton="0" quotePrefix="0" xfId="0">
      <alignment horizontal="right" vertical="center"/>
    </xf>
    <xf numFmtId="164" fontId="12" fillId="69" borderId="18" applyAlignment="1" pivotButton="0" quotePrefix="0" xfId="0">
      <alignment horizontal="right" vertical="center"/>
    </xf>
    <xf numFmtId="164" fontId="12" fillId="64" borderId="18" applyAlignment="1" pivotButton="0" quotePrefix="0" xfId="0">
      <alignment horizontal="right" vertical="center"/>
    </xf>
    <xf numFmtId="164" fontId="12" fillId="71" borderId="18" applyAlignment="1" pivotButton="0" quotePrefix="0" xfId="0">
      <alignment horizontal="right" vertical="center"/>
    </xf>
    <xf numFmtId="3" fontId="12" fillId="46" borderId="18" applyAlignment="1" pivotButton="0" quotePrefix="0" xfId="0">
      <alignment horizontal="right" vertical="center"/>
    </xf>
    <xf numFmtId="3" fontId="12" fillId="68" borderId="18" applyAlignment="1" pivotButton="0" quotePrefix="0" xfId="0">
      <alignment horizontal="right" vertical="center"/>
    </xf>
    <xf numFmtId="3" fontId="12" fillId="62" borderId="18" applyAlignment="1" pivotButton="0" quotePrefix="0" xfId="0">
      <alignment horizontal="right" vertical="center"/>
    </xf>
    <xf numFmtId="3" fontId="12" fillId="69" borderId="18" applyAlignment="1" pivotButton="0" quotePrefix="0" xfId="0">
      <alignment horizontal="right" vertical="center"/>
    </xf>
    <xf numFmtId="3" fontId="12" fillId="64" borderId="18" applyAlignment="1" pivotButton="0" quotePrefix="0" xfId="0">
      <alignment horizontal="right" vertical="center"/>
    </xf>
    <xf numFmtId="3" fontId="12" fillId="71" borderId="18" applyAlignment="1" pivotButton="0" quotePrefix="0" xfId="0">
      <alignment horizontal="right" vertical="center"/>
    </xf>
    <xf numFmtId="9" fontId="12" fillId="46" borderId="18" applyAlignment="1" pivotButton="0" quotePrefix="0" xfId="0">
      <alignment horizontal="right" vertical="center"/>
    </xf>
    <xf numFmtId="9" fontId="12" fillId="68" borderId="18" applyAlignment="1" pivotButton="0" quotePrefix="0" xfId="0">
      <alignment horizontal="right" vertical="center"/>
    </xf>
    <xf numFmtId="9" fontId="12" fillId="62" borderId="18" applyAlignment="1" pivotButton="0" quotePrefix="0" xfId="0">
      <alignment horizontal="right" vertical="center"/>
    </xf>
    <xf numFmtId="9" fontId="12" fillId="69" borderId="18" applyAlignment="1" pivotButton="0" quotePrefix="0" xfId="0">
      <alignment horizontal="right" vertical="center"/>
    </xf>
    <xf numFmtId="9" fontId="12" fillId="64" borderId="18" applyAlignment="1" pivotButton="0" quotePrefix="0" xfId="0">
      <alignment horizontal="right" vertical="center"/>
    </xf>
    <xf numFmtId="9" fontId="12" fillId="71" borderId="18" applyAlignment="1" pivotButton="0" quotePrefix="0" xfId="0">
      <alignment horizontal="right" vertical="center"/>
    </xf>
    <xf numFmtId="165" fontId="12" fillId="46" borderId="18" applyAlignment="1" pivotButton="0" quotePrefix="0" xfId="0">
      <alignment horizontal="right" vertical="center"/>
    </xf>
    <xf numFmtId="165" fontId="12" fillId="68" borderId="18" applyAlignment="1" pivotButton="0" quotePrefix="0" xfId="0">
      <alignment horizontal="right" vertical="center"/>
    </xf>
    <xf numFmtId="165" fontId="12" fillId="62" borderId="18" applyAlignment="1" pivotButton="0" quotePrefix="0" xfId="0">
      <alignment horizontal="right" vertical="center"/>
    </xf>
    <xf numFmtId="165" fontId="12" fillId="69" borderId="18" applyAlignment="1" pivotButton="0" quotePrefix="0" xfId="0">
      <alignment horizontal="right" vertical="center"/>
    </xf>
    <xf numFmtId="165" fontId="12" fillId="64" borderId="18" applyAlignment="1" pivotButton="0" quotePrefix="0" xfId="0">
      <alignment horizontal="right" vertical="center"/>
    </xf>
    <xf numFmtId="165" fontId="12" fillId="71" borderId="18" applyAlignment="1" pivotButton="0" quotePrefix="0" xfId="0">
      <alignment horizontal="right" vertical="center"/>
    </xf>
    <xf numFmtId="1" fontId="12" fillId="46" borderId="18" applyAlignment="1" pivotButton="0" quotePrefix="0" xfId="0">
      <alignment horizontal="right" vertical="center"/>
    </xf>
    <xf numFmtId="1" fontId="12" fillId="68" borderId="18" applyAlignment="1" pivotButton="0" quotePrefix="0" xfId="0">
      <alignment horizontal="right" vertical="center"/>
    </xf>
    <xf numFmtId="1" fontId="12" fillId="62" borderId="18" applyAlignment="1" pivotButton="0" quotePrefix="0" xfId="0">
      <alignment horizontal="right" vertical="center"/>
    </xf>
    <xf numFmtId="1" fontId="12" fillId="69" borderId="18" applyAlignment="1" pivotButton="0" quotePrefix="0" xfId="0">
      <alignment horizontal="right" vertical="center"/>
    </xf>
    <xf numFmtId="1" fontId="12" fillId="64" borderId="18" applyAlignment="1" pivotButton="0" quotePrefix="0" xfId="0">
      <alignment horizontal="right" vertical="center"/>
    </xf>
    <xf numFmtId="1" fontId="12" fillId="71" borderId="18" applyAlignment="1" pivotButton="0" quotePrefix="0" xfId="0">
      <alignment horizontal="right" vertical="center"/>
    </xf>
    <xf numFmtId="0" fontId="27" fillId="44" borderId="0" applyAlignment="1" pivotButton="0" quotePrefix="0" xfId="0">
      <alignment horizontal="left" vertical="center" indent="1"/>
    </xf>
    <xf numFmtId="0" fontId="39" fillId="45" borderId="35" applyAlignment="1" pivotButton="0" quotePrefix="0" xfId="0">
      <alignment horizontal="center" vertical="center" wrapText="1"/>
    </xf>
    <xf numFmtId="3" fontId="8" fillId="53" borderId="17" applyAlignment="1" pivotButton="0" quotePrefix="0" xfId="0">
      <alignment horizontal="center" vertical="center" wrapText="1"/>
    </xf>
    <xf numFmtId="3" fontId="8" fillId="54" borderId="17" applyAlignment="1" pivotButton="0" quotePrefix="0" xfId="0">
      <alignment horizontal="center" vertical="center" wrapText="1"/>
    </xf>
    <xf numFmtId="3" fontId="8" fillId="55" borderId="17" applyAlignment="1" pivotButton="0" quotePrefix="0" xfId="0">
      <alignment horizontal="center" vertical="center" wrapText="1"/>
    </xf>
    <xf numFmtId="3" fontId="8" fillId="56" borderId="17" applyAlignment="1" pivotButton="0" quotePrefix="0" xfId="0">
      <alignment horizontal="center" vertical="center" wrapText="1"/>
    </xf>
    <xf numFmtId="0" fontId="29" fillId="46" borderId="19" applyAlignment="1" pivotButton="0" quotePrefix="0" xfId="0">
      <alignment horizontal="right" vertical="center"/>
    </xf>
    <xf numFmtId="0" fontId="27" fillId="41" borderId="0" applyAlignment="1" pivotButton="0" quotePrefix="0" xfId="0">
      <alignment horizontal="left" vertical="center" indent="1"/>
    </xf>
    <xf numFmtId="0" fontId="41" fillId="45" borderId="35" applyAlignment="1" pivotButton="0" quotePrefix="0" xfId="0">
      <alignment horizontal="center" vertical="center" wrapText="1"/>
    </xf>
    <xf numFmtId="3" fontId="8" fillId="59" borderId="17" applyAlignment="1" pivotButton="0" quotePrefix="0" xfId="0">
      <alignment horizontal="center" vertical="center" wrapText="1"/>
    </xf>
    <xf numFmtId="0" fontId="8" fillId="47" borderId="17" applyAlignment="1" pivotButton="0" quotePrefix="0" xfId="0">
      <alignment horizontal="center" vertical="center" wrapText="1"/>
    </xf>
    <xf numFmtId="0" fontId="8" fillId="50" borderId="17" applyAlignment="1" pivotButton="0" quotePrefix="0" xfId="0">
      <alignment horizontal="center" vertical="center" wrapText="1"/>
    </xf>
    <xf numFmtId="0" fontId="8" fillId="51" borderId="17" applyAlignment="1" pivotButton="0" quotePrefix="0" xfId="0">
      <alignment horizontal="center" vertical="center" wrapText="1"/>
    </xf>
    <xf numFmtId="0" fontId="8" fillId="52" borderId="17" applyAlignment="1" pivotButton="0" quotePrefix="0" xfId="0">
      <alignment horizontal="center" vertical="center" wrapText="1"/>
    </xf>
    <xf numFmtId="0" fontId="8" fillId="53" borderId="17" applyAlignment="1" pivotButton="0" quotePrefix="0" xfId="0">
      <alignment horizontal="center" vertical="center" wrapText="1"/>
    </xf>
    <xf numFmtId="0" fontId="8" fillId="54" borderId="17" applyAlignment="1" pivotButton="0" quotePrefix="0" xfId="0">
      <alignment horizontal="center" vertical="center" wrapText="1"/>
    </xf>
    <xf numFmtId="0" fontId="8" fillId="55" borderId="17" applyAlignment="1" pivotButton="0" quotePrefix="0" xfId="0">
      <alignment horizontal="center" vertical="center" wrapText="1"/>
    </xf>
    <xf numFmtId="0" fontId="8" fillId="56" borderId="17" applyAlignment="1" pivotButton="0" quotePrefix="0" xfId="0">
      <alignment horizontal="center" vertical="center" wrapText="1"/>
    </xf>
    <xf numFmtId="0" fontId="8" fillId="47" borderId="18" applyAlignment="1" pivotButton="0" quotePrefix="0" xfId="0">
      <alignment horizontal="left" vertical="center"/>
    </xf>
    <xf numFmtId="1" fontId="13" fillId="46" borderId="18" applyAlignment="1" pivotButton="0" quotePrefix="0" xfId="0">
      <alignment horizontal="right" vertical="center"/>
    </xf>
    <xf numFmtId="1" fontId="13" fillId="61" borderId="18" applyAlignment="1" pivotButton="0" quotePrefix="0" xfId="0">
      <alignment horizontal="right" vertical="center"/>
    </xf>
    <xf numFmtId="1" fontId="13" fillId="62" borderId="18" applyAlignment="1" pivotButton="0" quotePrefix="0" xfId="0">
      <alignment horizontal="right" vertical="center"/>
    </xf>
    <xf numFmtId="1" fontId="13" fillId="63" borderId="18" applyAlignment="1" pivotButton="0" quotePrefix="0" xfId="0">
      <alignment horizontal="right" vertical="center"/>
    </xf>
    <xf numFmtId="1" fontId="13" fillId="64" borderId="18" applyAlignment="1" pivotButton="0" quotePrefix="0" xfId="0">
      <alignment horizontal="right" vertical="center"/>
    </xf>
    <xf numFmtId="1" fontId="13" fillId="65" borderId="18" applyAlignment="1" pivotButton="0" quotePrefix="0" xfId="0">
      <alignment horizontal="right" vertical="center"/>
    </xf>
    <xf numFmtId="1" fontId="13" fillId="42" borderId="18" applyAlignment="1" pivotButton="0" quotePrefix="0" xfId="0">
      <alignment horizontal="right" vertical="center"/>
    </xf>
    <xf numFmtId="1" fontId="13" fillId="66" borderId="18" applyAlignment="1" pivotButton="0" quotePrefix="0" xfId="0">
      <alignment horizontal="right" vertical="center"/>
    </xf>
    <xf numFmtId="3" fontId="13" fillId="46" borderId="18" applyAlignment="1" pivotButton="0" quotePrefix="0" xfId="0">
      <alignment horizontal="right" vertical="center"/>
    </xf>
    <xf numFmtId="3" fontId="13" fillId="61" borderId="18" applyAlignment="1" pivotButton="0" quotePrefix="0" xfId="0">
      <alignment horizontal="right" vertical="center"/>
    </xf>
    <xf numFmtId="3" fontId="13" fillId="62" borderId="18" applyAlignment="1" pivotButton="0" quotePrefix="0" xfId="0">
      <alignment horizontal="right" vertical="center"/>
    </xf>
    <xf numFmtId="3" fontId="13" fillId="63" borderId="18" applyAlignment="1" pivotButton="0" quotePrefix="0" xfId="0">
      <alignment horizontal="right" vertical="center"/>
    </xf>
    <xf numFmtId="3" fontId="13" fillId="64" borderId="18" applyAlignment="1" pivotButton="0" quotePrefix="0" xfId="0">
      <alignment horizontal="right" vertical="center"/>
    </xf>
    <xf numFmtId="3" fontId="13" fillId="65" borderId="18" applyAlignment="1" pivotButton="0" quotePrefix="0" xfId="0">
      <alignment horizontal="right" vertical="center"/>
    </xf>
    <xf numFmtId="3" fontId="13" fillId="42" borderId="18" applyAlignment="1" pivotButton="0" quotePrefix="0" xfId="0">
      <alignment horizontal="right" vertical="center"/>
    </xf>
    <xf numFmtId="3" fontId="13" fillId="66" borderId="18" applyAlignment="1" pivotButton="0" quotePrefix="0" xfId="0">
      <alignment horizontal="right" vertical="center"/>
    </xf>
    <xf numFmtId="49" fontId="16" fillId="46" borderId="18" applyAlignment="1" pivotButton="0" quotePrefix="0" xfId="0">
      <alignment horizontal="left" vertical="center"/>
    </xf>
    <xf numFmtId="49" fontId="16" fillId="61" borderId="18" applyAlignment="1" pivotButton="0" quotePrefix="0" xfId="0">
      <alignment horizontal="left" vertical="center"/>
    </xf>
    <xf numFmtId="49" fontId="16" fillId="62" borderId="18" applyAlignment="1" pivotButton="0" quotePrefix="0" xfId="0">
      <alignment horizontal="left" vertical="center"/>
    </xf>
    <xf numFmtId="49" fontId="16" fillId="63" borderId="18" applyAlignment="1" pivotButton="0" quotePrefix="0" xfId="0">
      <alignment horizontal="left" vertical="center"/>
    </xf>
    <xf numFmtId="49" fontId="16" fillId="64" borderId="18" applyAlignment="1" pivotButton="0" quotePrefix="0" xfId="0">
      <alignment horizontal="left" vertical="center"/>
    </xf>
    <xf numFmtId="49" fontId="16" fillId="65" borderId="18" applyAlignment="1" pivotButton="0" quotePrefix="0" xfId="0">
      <alignment horizontal="left" vertical="center"/>
    </xf>
    <xf numFmtId="49" fontId="16" fillId="42" borderId="18" applyAlignment="1" pivotButton="0" quotePrefix="0" xfId="0">
      <alignment horizontal="left" vertical="center"/>
    </xf>
    <xf numFmtId="49" fontId="16" fillId="66" borderId="18" applyAlignment="1" pivotButton="0" quotePrefix="0" xfId="0">
      <alignment horizontal="left" vertical="center"/>
    </xf>
    <xf numFmtId="49" fontId="29" fillId="46" borderId="19" applyAlignment="1" pivotButton="0" quotePrefix="0" xfId="0">
      <alignment horizontal="left" vertical="center"/>
    </xf>
    <xf numFmtId="0" fontId="8" fillId="50" borderId="18" applyAlignment="1" pivotButton="0" quotePrefix="0" xfId="0">
      <alignment horizontal="left" vertical="center"/>
    </xf>
    <xf numFmtId="166" fontId="13" fillId="46" borderId="18" applyAlignment="1" pivotButton="0" quotePrefix="0" xfId="0">
      <alignment horizontal="right" vertical="center"/>
    </xf>
    <xf numFmtId="166" fontId="13" fillId="61" borderId="18" applyAlignment="1" pivotButton="0" quotePrefix="0" xfId="0">
      <alignment horizontal="right" vertical="center"/>
    </xf>
    <xf numFmtId="166" fontId="13" fillId="62" borderId="18" applyAlignment="1" pivotButton="0" quotePrefix="0" xfId="0">
      <alignment horizontal="right" vertical="center"/>
    </xf>
    <xf numFmtId="166" fontId="13" fillId="63" borderId="18" applyAlignment="1" pivotButton="0" quotePrefix="0" xfId="0">
      <alignment horizontal="right" vertical="center"/>
    </xf>
    <xf numFmtId="166" fontId="13" fillId="64" borderId="18" applyAlignment="1" pivotButton="0" quotePrefix="0" xfId="0">
      <alignment horizontal="right" vertical="center"/>
    </xf>
    <xf numFmtId="166" fontId="13" fillId="65" borderId="18" applyAlignment="1" pivotButton="0" quotePrefix="0" xfId="0">
      <alignment horizontal="right" vertical="center"/>
    </xf>
    <xf numFmtId="166" fontId="13" fillId="42" borderId="18" applyAlignment="1" pivotButton="0" quotePrefix="0" xfId="0">
      <alignment horizontal="right" vertical="center"/>
    </xf>
    <xf numFmtId="166" fontId="13" fillId="66" borderId="18" applyAlignment="1" pivotButton="0" quotePrefix="0" xfId="0">
      <alignment horizontal="right" vertical="center"/>
    </xf>
    <xf numFmtId="166" fontId="29" fillId="46" borderId="19" applyAlignment="1" pivotButton="0" quotePrefix="0" xfId="0">
      <alignment horizontal="right" vertical="center"/>
    </xf>
    <xf numFmtId="0" fontId="8" fillId="51" borderId="18" applyAlignment="1" pivotButton="0" quotePrefix="0" xfId="0">
      <alignment horizontal="left" vertical="center"/>
    </xf>
    <xf numFmtId="4" fontId="13" fillId="46" borderId="18" applyAlignment="1" pivotButton="0" quotePrefix="0" xfId="0">
      <alignment horizontal="right" vertical="center"/>
    </xf>
    <xf numFmtId="4" fontId="13" fillId="61" borderId="18" applyAlignment="1" pivotButton="0" quotePrefix="0" xfId="0">
      <alignment horizontal="right" vertical="center"/>
    </xf>
    <xf numFmtId="4" fontId="13" fillId="62" borderId="18" applyAlignment="1" pivotButton="0" quotePrefix="0" xfId="0">
      <alignment horizontal="right" vertical="center"/>
    </xf>
    <xf numFmtId="4" fontId="13" fillId="63" borderId="18" applyAlignment="1" pivotButton="0" quotePrefix="0" xfId="0">
      <alignment horizontal="right" vertical="center"/>
    </xf>
    <xf numFmtId="4" fontId="13" fillId="64" borderId="18" applyAlignment="1" pivotButton="0" quotePrefix="0" xfId="0">
      <alignment horizontal="right" vertical="center"/>
    </xf>
    <xf numFmtId="4" fontId="13" fillId="65" borderId="18" applyAlignment="1" pivotButton="0" quotePrefix="0" xfId="0">
      <alignment horizontal="right" vertical="center"/>
    </xf>
    <xf numFmtId="4" fontId="13" fillId="42" borderId="18" applyAlignment="1" pivotButton="0" quotePrefix="0" xfId="0">
      <alignment horizontal="right" vertical="center"/>
    </xf>
    <xf numFmtId="4" fontId="13" fillId="66" borderId="18" applyAlignment="1" pivotButton="0" quotePrefix="0" xfId="0">
      <alignment horizontal="right" vertical="center"/>
    </xf>
    <xf numFmtId="4" fontId="29" fillId="46" borderId="19" applyAlignment="1" pivotButton="0" quotePrefix="0" xfId="0">
      <alignment horizontal="right" vertical="center"/>
    </xf>
    <xf numFmtId="10" fontId="13" fillId="46" borderId="18" applyAlignment="1" pivotButton="0" quotePrefix="0" xfId="0">
      <alignment horizontal="right" vertical="center"/>
    </xf>
    <xf numFmtId="10" fontId="13" fillId="61" borderId="18" applyAlignment="1" pivotButton="0" quotePrefix="0" xfId="0">
      <alignment horizontal="right" vertical="center"/>
    </xf>
    <xf numFmtId="10" fontId="13" fillId="62" borderId="18" applyAlignment="1" pivotButton="0" quotePrefix="0" xfId="0">
      <alignment horizontal="right" vertical="center"/>
    </xf>
    <xf numFmtId="10" fontId="13" fillId="63" borderId="18" applyAlignment="1" pivotButton="0" quotePrefix="0" xfId="0">
      <alignment horizontal="right" vertical="center"/>
    </xf>
    <xf numFmtId="10" fontId="13" fillId="64" borderId="18" applyAlignment="1" pivotButton="0" quotePrefix="0" xfId="0">
      <alignment horizontal="right" vertical="center"/>
    </xf>
    <xf numFmtId="10" fontId="13" fillId="65" borderId="18" applyAlignment="1" pivotButton="0" quotePrefix="0" xfId="0">
      <alignment horizontal="right" vertical="center"/>
    </xf>
    <xf numFmtId="10" fontId="13" fillId="42" borderId="18" applyAlignment="1" pivotButton="0" quotePrefix="0" xfId="0">
      <alignment horizontal="right" vertical="center"/>
    </xf>
    <xf numFmtId="10" fontId="13" fillId="66" borderId="18" applyAlignment="1" pivotButton="0" quotePrefix="0" xfId="0">
      <alignment horizontal="right" vertical="center"/>
    </xf>
    <xf numFmtId="10" fontId="29" fillId="46" borderId="19" applyAlignment="1" pivotButton="0" quotePrefix="0" xfId="0">
      <alignment horizontal="right" vertical="center"/>
    </xf>
    <xf numFmtId="0" fontId="8" fillId="52" borderId="18" applyAlignment="1" pivotButton="0" quotePrefix="0" xfId="0">
      <alignment horizontal="left" vertical="center"/>
    </xf>
    <xf numFmtId="0" fontId="8" fillId="54" borderId="18" applyAlignment="1" pivotButton="0" quotePrefix="0" xfId="0">
      <alignment horizontal="left" vertical="center"/>
    </xf>
    <xf numFmtId="0" fontId="0" fillId="54" borderId="18" pivotButton="0" quotePrefix="0" xfId="0"/>
    <xf numFmtId="0" fontId="8" fillId="53" borderId="18" applyAlignment="1" pivotButton="0" quotePrefix="0" xfId="0">
      <alignment horizontal="left" vertical="center"/>
    </xf>
    <xf numFmtId="0" fontId="8" fillId="55" borderId="18" applyAlignment="1" pivotButton="0" quotePrefix="0" xfId="0">
      <alignment horizontal="left" vertical="center"/>
    </xf>
    <xf numFmtId="0" fontId="0" fillId="55" borderId="18" pivotButton="0" quotePrefix="0" xfId="0"/>
    <xf numFmtId="0" fontId="8" fillId="56" borderId="18" applyAlignment="1" pivotButton="0" quotePrefix="0" xfId="0">
      <alignment horizontal="left" vertical="center"/>
    </xf>
    <xf numFmtId="0" fontId="0" fillId="56" borderId="18" pivotButton="0" quotePrefix="0" xfId="0"/>
    <xf numFmtId="167" fontId="13" fillId="46" borderId="18" applyAlignment="1" pivotButton="0" quotePrefix="0" xfId="0">
      <alignment horizontal="right" vertical="center"/>
    </xf>
    <xf numFmtId="167" fontId="13" fillId="61" borderId="18" applyAlignment="1" pivotButton="0" quotePrefix="0" xfId="0">
      <alignment horizontal="right" vertical="center"/>
    </xf>
    <xf numFmtId="167" fontId="13" fillId="62" borderId="18" applyAlignment="1" pivotButton="0" quotePrefix="0" xfId="0">
      <alignment horizontal="right" vertical="center"/>
    </xf>
    <xf numFmtId="167" fontId="13" fillId="63" borderId="18" applyAlignment="1" pivotButton="0" quotePrefix="0" xfId="0">
      <alignment horizontal="right" vertical="center"/>
    </xf>
    <xf numFmtId="167" fontId="13" fillId="64" borderId="18" applyAlignment="1" pivotButton="0" quotePrefix="0" xfId="0">
      <alignment horizontal="right" vertical="center"/>
    </xf>
    <xf numFmtId="167" fontId="13" fillId="65" borderId="18" applyAlignment="1" pivotButton="0" quotePrefix="0" xfId="0">
      <alignment horizontal="right" vertical="center"/>
    </xf>
    <xf numFmtId="167" fontId="13" fillId="42" borderId="18" applyAlignment="1" pivotButton="0" quotePrefix="0" xfId="0">
      <alignment horizontal="right" vertical="center"/>
    </xf>
    <xf numFmtId="167" fontId="13" fillId="66" borderId="18" applyAlignment="1" pivotButton="0" quotePrefix="0" xfId="0">
      <alignment horizontal="right" vertical="center"/>
    </xf>
    <xf numFmtId="167" fontId="29" fillId="46" borderId="19" applyAlignment="1" pivotButton="0" quotePrefix="0" xfId="0">
      <alignment horizontal="right" vertical="center"/>
    </xf>
    <xf numFmtId="0" fontId="25" fillId="54" borderId="18" applyAlignment="1" pivotButton="0" quotePrefix="0" xfId="0">
      <alignment horizontal="center" vertical="center" wrapText="1"/>
    </xf>
    <xf numFmtId="0" fontId="25" fillId="53" borderId="18" applyAlignment="1" pivotButton="0" quotePrefix="0" xfId="0">
      <alignment horizontal="center" vertical="center" wrapText="1"/>
    </xf>
    <xf numFmtId="0" fontId="25" fillId="55" borderId="18" applyAlignment="1" pivotButton="0" quotePrefix="0" xfId="0">
      <alignment horizontal="center" vertical="center" wrapText="1"/>
    </xf>
    <xf numFmtId="0" fontId="25" fillId="56" borderId="18" applyAlignment="1" pivotButton="0" quotePrefix="0" xfId="0">
      <alignment horizontal="center" vertical="center" wrapText="1"/>
    </xf>
    <xf numFmtId="0" fontId="25" fillId="60" borderId="17" applyAlignment="1" pivotButton="0" quotePrefix="0" xfId="0">
      <alignment horizontal="center" vertical="bottom" textRotation="90" wrapText="1"/>
    </xf>
    <xf numFmtId="0" fontId="11" fillId="46" borderId="18" applyAlignment="1" pivotButton="0" quotePrefix="0" xfId="0">
      <alignment horizontal="left" vertical="center" indent="1"/>
    </xf>
    <xf numFmtId="0" fontId="17" fillId="61" borderId="18" applyAlignment="1" pivotButton="0" quotePrefix="0" xfId="0">
      <alignment horizontal="left" vertical="center" indent="1"/>
    </xf>
    <xf numFmtId="0" fontId="18" fillId="62" borderId="18" applyAlignment="1" pivotButton="0" quotePrefix="0" xfId="0">
      <alignment horizontal="left" vertical="center" indent="1"/>
    </xf>
    <xf numFmtId="0" fontId="19" fillId="63" borderId="18" applyAlignment="1" pivotButton="0" quotePrefix="0" xfId="0">
      <alignment horizontal="left" vertical="center" indent="1"/>
    </xf>
    <xf numFmtId="0" fontId="20" fillId="64" borderId="18" applyAlignment="1" pivotButton="0" quotePrefix="0" xfId="0">
      <alignment horizontal="left" vertical="center" indent="1"/>
    </xf>
    <xf numFmtId="0" fontId="21" fillId="65" borderId="18" applyAlignment="1" pivotButton="0" quotePrefix="0" xfId="0">
      <alignment horizontal="left" vertical="center" indent="1"/>
    </xf>
    <xf numFmtId="0" fontId="22" fillId="42" borderId="18" applyAlignment="1" pivotButton="0" quotePrefix="0" xfId="0">
      <alignment horizontal="left" vertical="center" indent="1"/>
    </xf>
    <xf numFmtId="0" fontId="23" fillId="66" borderId="18" applyAlignment="1" pivotButton="0" quotePrefix="0" xfId="0">
      <alignment horizontal="left" vertical="center" indent="1"/>
    </xf>
    <xf numFmtId="0" fontId="8" fillId="41" borderId="18" applyAlignment="1" pivotButton="0" quotePrefix="0" xfId="0">
      <alignment horizontal="left" vertical="center" indent="1"/>
    </xf>
    <xf numFmtId="1" fontId="8" fillId="41" borderId="18" applyAlignment="1" pivotButton="0" quotePrefix="0" xfId="0">
      <alignment horizontal="right" vertical="center"/>
    </xf>
    <xf numFmtId="3" fontId="8" fillId="41" borderId="18" applyAlignment="1" pivotButton="0" quotePrefix="0" xfId="0">
      <alignment horizontal="right" vertical="center"/>
    </xf>
    <xf numFmtId="49" fontId="8" fillId="41" borderId="18" applyAlignment="1" pivotButton="0" quotePrefix="0" xfId="0">
      <alignment horizontal="left" vertical="center"/>
    </xf>
    <xf numFmtId="166" fontId="8" fillId="41" borderId="18" applyAlignment="1" pivotButton="0" quotePrefix="0" xfId="0">
      <alignment horizontal="right" vertical="center"/>
    </xf>
    <xf numFmtId="4" fontId="8" fillId="41" borderId="18" applyAlignment="1" pivotButton="0" quotePrefix="0" xfId="0">
      <alignment horizontal="right" vertical="center"/>
    </xf>
    <xf numFmtId="10" fontId="8" fillId="41" borderId="18" applyAlignment="1" pivotButton="0" quotePrefix="0" xfId="0">
      <alignment horizontal="right" vertical="center"/>
    </xf>
    <xf numFmtId="167" fontId="8" fillId="41" borderId="18" applyAlignment="1" pivotButton="0" quotePrefix="0" xfId="0">
      <alignment horizontal="right" vertical="center"/>
    </xf>
    <xf numFmtId="0" fontId="8" fillId="44" borderId="17" applyAlignment="1" pivotButton="0" quotePrefix="0" xfId="0">
      <alignment horizontal="center" vertical="center" wrapText="1"/>
    </xf>
    <xf numFmtId="0" fontId="10" fillId="47" borderId="17" applyAlignment="1" pivotButton="0" quotePrefix="0" xfId="0">
      <alignment horizontal="left" vertical="center" indent="1"/>
    </xf>
    <xf numFmtId="0" fontId="0" fillId="47" borderId="17" pivotButton="0" quotePrefix="0" xfId="0"/>
    <xf numFmtId="0" fontId="30" fillId="46" borderId="18" applyAlignment="1" pivotButton="0" quotePrefix="0" xfId="0">
      <alignment horizontal="left" vertical="center" indent="1"/>
    </xf>
    <xf numFmtId="0" fontId="0" fillId="46" borderId="18" pivotButton="0" quotePrefix="0" xfId="0"/>
    <xf numFmtId="0" fontId="11" fillId="57" borderId="18" applyAlignment="1" pivotButton="0" quotePrefix="0" xfId="0">
      <alignment horizontal="left" vertical="center"/>
    </xf>
    <xf numFmtId="0" fontId="0" fillId="57" borderId="18" pivotButton="0" quotePrefix="0" xfId="0"/>
    <xf numFmtId="0" fontId="27" fillId="47" borderId="17" applyAlignment="1" pivotButton="0" quotePrefix="0" xfId="0">
      <alignment horizontal="left" vertical="center" indent="1"/>
    </xf>
    <xf numFmtId="166" fontId="11" fillId="46" borderId="18" applyAlignment="1" pivotButton="0" quotePrefix="0" xfId="0">
      <alignment horizontal="right" vertical="center"/>
    </xf>
    <xf numFmtId="3" fontId="11" fillId="46" borderId="18" applyAlignment="1" pivotButton="0" quotePrefix="0" xfId="0">
      <alignment horizontal="right" vertical="center"/>
    </xf>
    <xf numFmtId="4" fontId="11" fillId="46" borderId="18" applyAlignment="1" pivotButton="0" quotePrefix="0" xfId="0">
      <alignment horizontal="right" vertical="center"/>
    </xf>
    <xf numFmtId="0" fontId="0" fillId="75" borderId="0" pivotButton="0" quotePrefix="0" xfId="0"/>
    <xf numFmtId="0" fontId="10" fillId="50" borderId="17" applyAlignment="1" pivotButton="0" quotePrefix="0" xfId="0">
      <alignment horizontal="left" vertical="center" indent="1"/>
    </xf>
    <xf numFmtId="0" fontId="0" fillId="50" borderId="17" pivotButton="0" quotePrefix="0" xfId="0"/>
    <xf numFmtId="0" fontId="31" fillId="68" borderId="18" applyAlignment="1" pivotButton="0" quotePrefix="0" xfId="0">
      <alignment horizontal="left" vertical="center" indent="1"/>
    </xf>
    <xf numFmtId="0" fontId="0" fillId="68" borderId="18" pivotButton="0" quotePrefix="0" xfId="0"/>
    <xf numFmtId="0" fontId="17" fillId="61" borderId="18" applyAlignment="1" pivotButton="0" quotePrefix="0" xfId="0">
      <alignment horizontal="left" vertical="center"/>
    </xf>
    <xf numFmtId="0" fontId="0" fillId="61" borderId="18" pivotButton="0" quotePrefix="0" xfId="0"/>
    <xf numFmtId="0" fontId="27" fillId="50" borderId="17" applyAlignment="1" pivotButton="0" quotePrefix="0" xfId="0">
      <alignment horizontal="left" vertical="center" indent="1"/>
    </xf>
    <xf numFmtId="166" fontId="17" fillId="68" borderId="18" applyAlignment="1" pivotButton="0" quotePrefix="0" xfId="0">
      <alignment horizontal="right" vertical="center"/>
    </xf>
    <xf numFmtId="3" fontId="17" fillId="68" borderId="18" applyAlignment="1" pivotButton="0" quotePrefix="0" xfId="0">
      <alignment horizontal="right" vertical="center"/>
    </xf>
    <xf numFmtId="4" fontId="17" fillId="68" borderId="18" applyAlignment="1" pivotButton="0" quotePrefix="0" xfId="0">
      <alignment horizontal="right" vertical="center"/>
    </xf>
    <xf numFmtId="0" fontId="10" fillId="51" borderId="17" applyAlignment="1" pivotButton="0" quotePrefix="0" xfId="0">
      <alignment horizontal="left" vertical="center" indent="1"/>
    </xf>
    <xf numFmtId="0" fontId="0" fillId="51" borderId="17" pivotButton="0" quotePrefix="0" xfId="0"/>
    <xf numFmtId="0" fontId="32" fillId="62" borderId="18" applyAlignment="1" pivotButton="0" quotePrefix="0" xfId="0">
      <alignment horizontal="left" vertical="center" indent="1"/>
    </xf>
    <xf numFmtId="0" fontId="0" fillId="62" borderId="18" pivotButton="0" quotePrefix="0" xfId="0"/>
    <xf numFmtId="0" fontId="18" fillId="72" borderId="18" applyAlignment="1" pivotButton="0" quotePrefix="0" xfId="0">
      <alignment horizontal="left" vertical="center"/>
    </xf>
    <xf numFmtId="0" fontId="0" fillId="72" borderId="18" pivotButton="0" quotePrefix="0" xfId="0"/>
    <xf numFmtId="0" fontId="27" fillId="51" borderId="17" applyAlignment="1" pivotButton="0" quotePrefix="0" xfId="0">
      <alignment horizontal="left" vertical="center" indent="1"/>
    </xf>
    <xf numFmtId="166" fontId="18" fillId="62" borderId="18" applyAlignment="1" pivotButton="0" quotePrefix="0" xfId="0">
      <alignment horizontal="right" vertical="center"/>
    </xf>
    <xf numFmtId="3" fontId="18" fillId="62" borderId="18" applyAlignment="1" pivotButton="0" quotePrefix="0" xfId="0">
      <alignment horizontal="right" vertical="center"/>
    </xf>
    <xf numFmtId="4" fontId="18" fillId="62" borderId="18" applyAlignment="1" pivotButton="0" quotePrefix="0" xfId="0">
      <alignment horizontal="right" vertical="center"/>
    </xf>
    <xf numFmtId="0" fontId="10" fillId="52" borderId="17" applyAlignment="1" pivotButton="0" quotePrefix="0" xfId="0">
      <alignment horizontal="left" vertical="center" indent="1"/>
    </xf>
    <xf numFmtId="0" fontId="0" fillId="52" borderId="17" pivotButton="0" quotePrefix="0" xfId="0"/>
    <xf numFmtId="0" fontId="33" fillId="69" borderId="18" applyAlignment="1" pivotButton="0" quotePrefix="0" xfId="0">
      <alignment horizontal="left" vertical="center" indent="1"/>
    </xf>
    <xf numFmtId="0" fontId="0" fillId="69" borderId="18" pivotButton="0" quotePrefix="0" xfId="0"/>
    <xf numFmtId="0" fontId="19" fillId="63" borderId="18" applyAlignment="1" pivotButton="0" quotePrefix="0" xfId="0">
      <alignment horizontal="left" vertical="center"/>
    </xf>
    <xf numFmtId="0" fontId="0" fillId="63" borderId="18" pivotButton="0" quotePrefix="0" xfId="0"/>
    <xf numFmtId="0" fontId="27" fillId="52" borderId="17" applyAlignment="1" pivotButton="0" quotePrefix="0" xfId="0">
      <alignment horizontal="left" vertical="center" indent="1"/>
    </xf>
    <xf numFmtId="166" fontId="19" fillId="69" borderId="18" applyAlignment="1" pivotButton="0" quotePrefix="0" xfId="0">
      <alignment horizontal="right" vertical="center"/>
    </xf>
    <xf numFmtId="3" fontId="19" fillId="69" borderId="18" applyAlignment="1" pivotButton="0" quotePrefix="0" xfId="0">
      <alignment horizontal="right" vertical="center"/>
    </xf>
    <xf numFmtId="4" fontId="19" fillId="69" borderId="18" applyAlignment="1" pivotButton="0" quotePrefix="0" xfId="0">
      <alignment horizontal="right" vertical="center"/>
    </xf>
    <xf numFmtId="0" fontId="10" fillId="53" borderId="17" applyAlignment="1" pivotButton="0" quotePrefix="0" xfId="0">
      <alignment horizontal="left" vertical="center" indent="1"/>
    </xf>
    <xf numFmtId="0" fontId="0" fillId="53" borderId="17" pivotButton="0" quotePrefix="0" xfId="0"/>
    <xf numFmtId="0" fontId="34" fillId="64" borderId="18" applyAlignment="1" pivotButton="0" quotePrefix="0" xfId="0">
      <alignment horizontal="left" vertical="center" indent="1"/>
    </xf>
    <xf numFmtId="0" fontId="0" fillId="64" borderId="18" pivotButton="0" quotePrefix="0" xfId="0"/>
    <xf numFmtId="0" fontId="20" fillId="73" borderId="18" applyAlignment="1" pivotButton="0" quotePrefix="0" xfId="0">
      <alignment horizontal="left" vertical="center"/>
    </xf>
    <xf numFmtId="0" fontId="0" fillId="73" borderId="18" pivotButton="0" quotePrefix="0" xfId="0"/>
    <xf numFmtId="0" fontId="27" fillId="53" borderId="17" applyAlignment="1" pivotButton="0" quotePrefix="0" xfId="0">
      <alignment horizontal="left" vertical="center" indent="1"/>
    </xf>
    <xf numFmtId="166" fontId="20" fillId="64" borderId="18" applyAlignment="1" pivotButton="0" quotePrefix="0" xfId="0">
      <alignment horizontal="right" vertical="center"/>
    </xf>
    <xf numFmtId="3" fontId="20" fillId="64" borderId="18" applyAlignment="1" pivotButton="0" quotePrefix="0" xfId="0">
      <alignment horizontal="right" vertical="center"/>
    </xf>
    <xf numFmtId="4" fontId="20" fillId="64" borderId="18" applyAlignment="1" pivotButton="0" quotePrefix="0" xfId="0">
      <alignment horizontal="right" vertical="center"/>
    </xf>
    <xf numFmtId="0" fontId="10" fillId="54" borderId="17" applyAlignment="1" pivotButton="0" quotePrefix="0" xfId="0">
      <alignment horizontal="left" vertical="center" indent="1"/>
    </xf>
    <xf numFmtId="0" fontId="0" fillId="54" borderId="17" pivotButton="0" quotePrefix="0" xfId="0"/>
    <xf numFmtId="0" fontId="35" fillId="70" borderId="18" applyAlignment="1" pivotButton="0" quotePrefix="0" xfId="0">
      <alignment horizontal="left" vertical="center" indent="1"/>
    </xf>
    <xf numFmtId="0" fontId="0" fillId="70" borderId="18" pivotButton="0" quotePrefix="0" xfId="0"/>
    <xf numFmtId="0" fontId="21" fillId="65" borderId="18" applyAlignment="1" pivotButton="0" quotePrefix="0" xfId="0">
      <alignment horizontal="left" vertical="center"/>
    </xf>
    <xf numFmtId="0" fontId="0" fillId="65" borderId="18" pivotButton="0" quotePrefix="0" xfId="0"/>
    <xf numFmtId="0" fontId="27" fillId="54" borderId="17" applyAlignment="1" pivotButton="0" quotePrefix="0" xfId="0">
      <alignment horizontal="left" vertical="center" indent="1"/>
    </xf>
    <xf numFmtId="0" fontId="12" fillId="70" borderId="18" applyAlignment="1" pivotButton="0" quotePrefix="0" xfId="0">
      <alignment horizontal="left" vertical="center"/>
    </xf>
    <xf numFmtId="166" fontId="21" fillId="70" borderId="18" applyAlignment="1" pivotButton="0" quotePrefix="0" xfId="0">
      <alignment horizontal="right" vertical="center"/>
    </xf>
    <xf numFmtId="3" fontId="21" fillId="70" borderId="18" applyAlignment="1" pivotButton="0" quotePrefix="0" xfId="0">
      <alignment horizontal="right" vertical="center"/>
    </xf>
    <xf numFmtId="4" fontId="21" fillId="70" borderId="18" applyAlignment="1" pivotButton="0" quotePrefix="0" xfId="0">
      <alignment horizontal="right" vertical="center"/>
    </xf>
    <xf numFmtId="0" fontId="10" fillId="55" borderId="17" applyAlignment="1" pivotButton="0" quotePrefix="0" xfId="0">
      <alignment horizontal="left" vertical="center" indent="1"/>
    </xf>
    <xf numFmtId="0" fontId="0" fillId="55" borderId="17" pivotButton="0" quotePrefix="0" xfId="0"/>
    <xf numFmtId="0" fontId="36" fillId="42" borderId="18" applyAlignment="1" pivotButton="0" quotePrefix="0" xfId="0">
      <alignment horizontal="left" vertical="center" indent="1"/>
    </xf>
    <xf numFmtId="0" fontId="0" fillId="42" borderId="18" pivotButton="0" quotePrefix="0" xfId="0"/>
    <xf numFmtId="0" fontId="22" fillId="76" borderId="18" applyAlignment="1" pivotButton="0" quotePrefix="0" xfId="0">
      <alignment horizontal="left" vertical="center"/>
    </xf>
    <xf numFmtId="0" fontId="0" fillId="76" borderId="18" pivotButton="0" quotePrefix="0" xfId="0"/>
    <xf numFmtId="0" fontId="27" fillId="55" borderId="17" applyAlignment="1" pivotButton="0" quotePrefix="0" xfId="0">
      <alignment horizontal="left" vertical="center" indent="1"/>
    </xf>
    <xf numFmtId="0" fontId="12" fillId="42" borderId="18" applyAlignment="1" pivotButton="0" quotePrefix="0" xfId="0">
      <alignment horizontal="left" vertical="center"/>
    </xf>
    <xf numFmtId="166" fontId="22" fillId="42" borderId="18" applyAlignment="1" pivotButton="0" quotePrefix="0" xfId="0">
      <alignment horizontal="right" vertical="center"/>
    </xf>
    <xf numFmtId="3" fontId="22" fillId="42" borderId="18" applyAlignment="1" pivotButton="0" quotePrefix="0" xfId="0">
      <alignment horizontal="right" vertical="center"/>
    </xf>
    <xf numFmtId="4" fontId="22" fillId="42" borderId="18" applyAlignment="1" pivotButton="0" quotePrefix="0" xfId="0">
      <alignment horizontal="right" vertical="center"/>
    </xf>
    <xf numFmtId="0" fontId="10" fillId="56" borderId="17" applyAlignment="1" pivotButton="0" quotePrefix="0" xfId="0">
      <alignment horizontal="left" vertical="center" indent="1"/>
    </xf>
    <xf numFmtId="0" fontId="0" fillId="56" borderId="17" pivotButton="0" quotePrefix="0" xfId="0"/>
    <xf numFmtId="0" fontId="37" fillId="71" borderId="18" applyAlignment="1" pivotButton="0" quotePrefix="0" xfId="0">
      <alignment horizontal="left" vertical="center" indent="1"/>
    </xf>
    <xf numFmtId="0" fontId="0" fillId="71" borderId="18" pivotButton="0" quotePrefix="0" xfId="0"/>
    <xf numFmtId="0" fontId="23" fillId="66" borderId="18" applyAlignment="1" pivotButton="0" quotePrefix="0" xfId="0">
      <alignment horizontal="left" vertical="center"/>
    </xf>
    <xf numFmtId="0" fontId="0" fillId="66" borderId="18" pivotButton="0" quotePrefix="0" xfId="0"/>
    <xf numFmtId="0" fontId="27" fillId="56" borderId="17" applyAlignment="1" pivotButton="0" quotePrefix="0" xfId="0">
      <alignment horizontal="left" vertical="center" indent="1"/>
    </xf>
    <xf numFmtId="166" fontId="23" fillId="71" borderId="18" applyAlignment="1" pivotButton="0" quotePrefix="0" xfId="0">
      <alignment horizontal="right" vertical="center"/>
    </xf>
    <xf numFmtId="3" fontId="23" fillId="71" borderId="18" applyAlignment="1" pivotButton="0" quotePrefix="0" xfId="0">
      <alignment horizontal="right" vertical="center"/>
    </xf>
    <xf numFmtId="4" fontId="23" fillId="71" borderId="18" applyAlignment="1" pivotButton="0" quotePrefix="0" xfId="0">
      <alignment horizontal="right" vertical="center"/>
    </xf>
    <xf numFmtId="0" fontId="10" fillId="41" borderId="17" applyAlignment="1" pivotButton="0" quotePrefix="0" xfId="0">
      <alignment horizontal="left" vertical="center" indent="1"/>
    </xf>
    <xf numFmtId="0" fontId="0" fillId="41" borderId="17" pivotButton="0" quotePrefix="0" xfId="0"/>
    <xf numFmtId="166" fontId="29" fillId="46" borderId="18" applyAlignment="1" pivotButton="0" quotePrefix="0" xfId="0">
      <alignment horizontal="right" vertical="center"/>
    </xf>
    <xf numFmtId="3" fontId="29" fillId="46" borderId="18" applyAlignment="1" pivotButton="0" quotePrefix="0" xfId="0">
      <alignment horizontal="right" vertical="center"/>
    </xf>
    <xf numFmtId="4" fontId="29" fillId="46" borderId="18" applyAlignment="1" pivotButton="0" quotePrefix="0" xfId="0">
      <alignment horizontal="right" vertical="center"/>
    </xf>
    <xf numFmtId="0" fontId="8" fillId="48" borderId="0" applyAlignment="1" pivotButton="0" quotePrefix="0" xfId="0">
      <alignment horizontal="left" vertical="center" indent="1"/>
    </xf>
    <xf numFmtId="0" fontId="11" fillId="46" borderId="18" applyAlignment="1" pivotButton="0" quotePrefix="0" xfId="0">
      <alignment horizontal="left" vertical="center"/>
    </xf>
    <xf numFmtId="3" fontId="11" fillId="46" borderId="18" applyAlignment="1" pivotButton="0" quotePrefix="0" xfId="0">
      <alignment horizontal="center" vertical="center" wrapText="1"/>
    </xf>
    <xf numFmtId="0" fontId="11" fillId="46" borderId="18" applyAlignment="1" pivotButton="0" quotePrefix="0" xfId="0">
      <alignment horizontal="center" vertical="center" wrapText="1"/>
    </xf>
    <xf numFmtId="0" fontId="14" fillId="46" borderId="19" applyAlignment="1" pivotButton="0" quotePrefix="0" xfId="0">
      <alignment horizontal="center" vertical="center" wrapText="1"/>
    </xf>
    <xf numFmtId="166" fontId="11" fillId="46" borderId="19" applyAlignment="1" pivotButton="0" quotePrefix="0" xfId="0">
      <alignment horizontal="right" vertical="center"/>
    </xf>
    <xf numFmtId="3" fontId="11" fillId="46" borderId="19" applyAlignment="1" pivotButton="0" quotePrefix="0" xfId="0">
      <alignment horizontal="right" vertical="center"/>
    </xf>
    <xf numFmtId="4" fontId="11" fillId="46" borderId="19" applyAlignment="1" pivotButton="0" quotePrefix="0" xfId="0">
      <alignment horizontal="right" vertical="center"/>
    </xf>
    <xf numFmtId="0" fontId="17" fillId="68" borderId="18" applyAlignment="1" pivotButton="0" quotePrefix="0" xfId="0">
      <alignment horizontal="left" vertical="center"/>
    </xf>
    <xf numFmtId="3" fontId="17" fillId="68" borderId="18" applyAlignment="1" pivotButton="0" quotePrefix="0" xfId="0">
      <alignment horizontal="center" vertical="center" wrapText="1"/>
    </xf>
    <xf numFmtId="0" fontId="17" fillId="68" borderId="18" applyAlignment="1" pivotButton="0" quotePrefix="0" xfId="0">
      <alignment horizontal="center" vertical="center" wrapText="1"/>
    </xf>
    <xf numFmtId="0" fontId="14" fillId="68" borderId="20" applyAlignment="1" pivotButton="0" quotePrefix="0" xfId="0">
      <alignment horizontal="center" vertical="center" wrapText="1"/>
    </xf>
    <xf numFmtId="49" fontId="15" fillId="61" borderId="18" applyAlignment="1" pivotButton="0" quotePrefix="0" xfId="0">
      <alignment horizontal="left" vertical="center" wrapText="1"/>
    </xf>
    <xf numFmtId="166" fontId="17" fillId="68" borderId="20" applyAlignment="1" pivotButton="0" quotePrefix="0" xfId="0">
      <alignment horizontal="right" vertical="center"/>
    </xf>
    <xf numFmtId="49" fontId="13" fillId="61" borderId="18" applyAlignment="1" pivotButton="0" quotePrefix="0" xfId="0">
      <alignment horizontal="left" vertical="center"/>
    </xf>
    <xf numFmtId="3" fontId="17" fillId="68" borderId="20" applyAlignment="1" pivotButton="0" quotePrefix="0" xfId="0">
      <alignment horizontal="right" vertical="center"/>
    </xf>
    <xf numFmtId="4" fontId="17" fillId="68" borderId="20" applyAlignment="1" pivotButton="0" quotePrefix="0" xfId="0">
      <alignment horizontal="right" vertical="center"/>
    </xf>
    <xf numFmtId="9" fontId="13" fillId="61" borderId="18" applyAlignment="1" pivotButton="0" quotePrefix="0" xfId="0">
      <alignment horizontal="right" vertical="center"/>
    </xf>
    <xf numFmtId="0" fontId="18" fillId="62" borderId="18" applyAlignment="1" pivotButton="0" quotePrefix="0" xfId="0">
      <alignment horizontal="left" vertical="center"/>
    </xf>
    <xf numFmtId="3" fontId="18" fillId="62" borderId="18" applyAlignment="1" pivotButton="0" quotePrefix="0" xfId="0">
      <alignment horizontal="center" vertical="center" wrapText="1"/>
    </xf>
    <xf numFmtId="0" fontId="18" fillId="62" borderId="18" applyAlignment="1" pivotButton="0" quotePrefix="0" xfId="0">
      <alignment horizontal="center" vertical="center" wrapText="1"/>
    </xf>
    <xf numFmtId="0" fontId="14" fillId="62" borderId="21" applyAlignment="1" pivotButton="0" quotePrefix="0" xfId="0">
      <alignment horizontal="center" vertical="center" wrapText="1"/>
    </xf>
    <xf numFmtId="166" fontId="18" fillId="62" borderId="21" applyAlignment="1" pivotButton="0" quotePrefix="0" xfId="0">
      <alignment horizontal="right" vertical="center"/>
    </xf>
    <xf numFmtId="3" fontId="18" fillId="62" borderId="21" applyAlignment="1" pivotButton="0" quotePrefix="0" xfId="0">
      <alignment horizontal="right" vertical="center"/>
    </xf>
    <xf numFmtId="4" fontId="18" fillId="62" borderId="21" applyAlignment="1" pivotButton="0" quotePrefix="0" xfId="0">
      <alignment horizontal="right" vertical="center"/>
    </xf>
    <xf numFmtId="0" fontId="19" fillId="69" borderId="18" applyAlignment="1" pivotButton="0" quotePrefix="0" xfId="0">
      <alignment horizontal="left" vertical="center"/>
    </xf>
    <xf numFmtId="3" fontId="19" fillId="69" borderId="18" applyAlignment="1" pivotButton="0" quotePrefix="0" xfId="0">
      <alignment horizontal="center" vertical="center" wrapText="1"/>
    </xf>
    <xf numFmtId="0" fontId="19" fillId="69" borderId="18" applyAlignment="1" pivotButton="0" quotePrefix="0" xfId="0">
      <alignment horizontal="center" vertical="center" wrapText="1"/>
    </xf>
    <xf numFmtId="0" fontId="14" fillId="69" borderId="22" applyAlignment="1" pivotButton="0" quotePrefix="0" xfId="0">
      <alignment horizontal="center" vertical="center" wrapText="1"/>
    </xf>
    <xf numFmtId="166" fontId="19" fillId="69" borderId="22" applyAlignment="1" pivotButton="0" quotePrefix="0" xfId="0">
      <alignment horizontal="right" vertical="center"/>
    </xf>
    <xf numFmtId="3" fontId="19" fillId="69" borderId="22" applyAlignment="1" pivotButton="0" quotePrefix="0" xfId="0">
      <alignment horizontal="right" vertical="center"/>
    </xf>
    <xf numFmtId="4" fontId="19" fillId="69" borderId="22" applyAlignment="1" pivotButton="0" quotePrefix="0" xfId="0">
      <alignment horizontal="right" vertical="center"/>
    </xf>
    <xf numFmtId="0" fontId="20" fillId="64" borderId="18" applyAlignment="1" pivotButton="0" quotePrefix="0" xfId="0">
      <alignment horizontal="left" vertical="center"/>
    </xf>
    <xf numFmtId="3" fontId="20" fillId="64" borderId="18" applyAlignment="1" pivotButton="0" quotePrefix="0" xfId="0">
      <alignment horizontal="center" vertical="center" wrapText="1"/>
    </xf>
    <xf numFmtId="0" fontId="20" fillId="64" borderId="18" applyAlignment="1" pivotButton="0" quotePrefix="0" xfId="0">
      <alignment horizontal="center" vertical="center" wrapText="1"/>
    </xf>
    <xf numFmtId="0" fontId="14" fillId="64" borderId="23" applyAlignment="1" pivotButton="0" quotePrefix="0" xfId="0">
      <alignment horizontal="center" vertical="center" wrapText="1"/>
    </xf>
    <xf numFmtId="166" fontId="20" fillId="64" borderId="23" applyAlignment="1" pivotButton="0" quotePrefix="0" xfId="0">
      <alignment horizontal="right" vertical="center"/>
    </xf>
    <xf numFmtId="3" fontId="20" fillId="64" borderId="23" applyAlignment="1" pivotButton="0" quotePrefix="0" xfId="0">
      <alignment horizontal="right" vertical="center"/>
    </xf>
    <xf numFmtId="4" fontId="20" fillId="64" borderId="23" applyAlignment="1" pivotButton="0" quotePrefix="0" xfId="0">
      <alignment horizontal="right" vertical="center"/>
    </xf>
    <xf numFmtId="0" fontId="21" fillId="70" borderId="18" applyAlignment="1" pivotButton="0" quotePrefix="0" xfId="0">
      <alignment horizontal="left" vertical="center"/>
    </xf>
    <xf numFmtId="3" fontId="21" fillId="70" borderId="18" applyAlignment="1" pivotButton="0" quotePrefix="0" xfId="0">
      <alignment horizontal="center" vertical="center" wrapText="1"/>
    </xf>
    <xf numFmtId="0" fontId="21" fillId="70" borderId="18" applyAlignment="1" pivotButton="0" quotePrefix="0" xfId="0">
      <alignment horizontal="center" vertical="center" wrapText="1"/>
    </xf>
    <xf numFmtId="0" fontId="14" fillId="70" borderId="24" applyAlignment="1" pivotButton="0" quotePrefix="0" xfId="0">
      <alignment horizontal="center" vertical="center" wrapText="1"/>
    </xf>
    <xf numFmtId="49" fontId="15" fillId="65" borderId="18" applyAlignment="1" pivotButton="0" quotePrefix="0" xfId="0">
      <alignment horizontal="left" vertical="center" wrapText="1"/>
    </xf>
    <xf numFmtId="166" fontId="21" fillId="70" borderId="24" applyAlignment="1" pivotButton="0" quotePrefix="0" xfId="0">
      <alignment horizontal="right" vertical="center"/>
    </xf>
    <xf numFmtId="49" fontId="13" fillId="65" borderId="18" applyAlignment="1" pivotButton="0" quotePrefix="0" xfId="0">
      <alignment horizontal="left" vertical="center"/>
    </xf>
    <xf numFmtId="3" fontId="21" fillId="70" borderId="24" applyAlignment="1" pivotButton="0" quotePrefix="0" xfId="0">
      <alignment horizontal="right" vertical="center"/>
    </xf>
    <xf numFmtId="4" fontId="21" fillId="70" borderId="24" applyAlignment="1" pivotButton="0" quotePrefix="0" xfId="0">
      <alignment horizontal="right" vertical="center"/>
    </xf>
    <xf numFmtId="9" fontId="13" fillId="65" borderId="18" applyAlignment="1" pivotButton="0" quotePrefix="0" xfId="0">
      <alignment horizontal="right" vertical="center"/>
    </xf>
    <xf numFmtId="0" fontId="22" fillId="42" borderId="18" applyAlignment="1" pivotButton="0" quotePrefix="0" xfId="0">
      <alignment horizontal="left" vertical="center"/>
    </xf>
    <xf numFmtId="3" fontId="22" fillId="42" borderId="18" applyAlignment="1" pivotButton="0" quotePrefix="0" xfId="0">
      <alignment horizontal="center" vertical="center" wrapText="1"/>
    </xf>
    <xf numFmtId="0" fontId="22" fillId="42" borderId="18" applyAlignment="1" pivotButton="0" quotePrefix="0" xfId="0">
      <alignment horizontal="center" vertical="center" wrapText="1"/>
    </xf>
    <xf numFmtId="0" fontId="14" fillId="42" borderId="25" applyAlignment="1" pivotButton="0" quotePrefix="0" xfId="0">
      <alignment horizontal="center" vertical="center" wrapText="1"/>
    </xf>
    <xf numFmtId="166" fontId="22" fillId="42" borderId="25" applyAlignment="1" pivotButton="0" quotePrefix="0" xfId="0">
      <alignment horizontal="right" vertical="center"/>
    </xf>
    <xf numFmtId="3" fontId="22" fillId="42" borderId="25" applyAlignment="1" pivotButton="0" quotePrefix="0" xfId="0">
      <alignment horizontal="right" vertical="center"/>
    </xf>
    <xf numFmtId="4" fontId="22" fillId="42" borderId="25" applyAlignment="1" pivotButton="0" quotePrefix="0" xfId="0">
      <alignment horizontal="right" vertical="center"/>
    </xf>
    <xf numFmtId="0" fontId="23" fillId="71" borderId="18" applyAlignment="1" pivotButton="0" quotePrefix="0" xfId="0">
      <alignment horizontal="left" vertical="center"/>
    </xf>
    <xf numFmtId="3" fontId="23" fillId="71" borderId="18" applyAlignment="1" pivotButton="0" quotePrefix="0" xfId="0">
      <alignment horizontal="center" vertical="center" wrapText="1"/>
    </xf>
    <xf numFmtId="0" fontId="23" fillId="71" borderId="18" applyAlignment="1" pivotButton="0" quotePrefix="0" xfId="0">
      <alignment horizontal="center" vertical="center" wrapText="1"/>
    </xf>
    <xf numFmtId="0" fontId="14" fillId="71" borderId="26" applyAlignment="1" pivotButton="0" quotePrefix="0" xfId="0">
      <alignment horizontal="center" vertical="center" wrapText="1"/>
    </xf>
    <xf numFmtId="49" fontId="15" fillId="66" borderId="18" applyAlignment="1" pivotButton="0" quotePrefix="0" xfId="0">
      <alignment horizontal="left" vertical="center" wrapText="1"/>
    </xf>
    <xf numFmtId="166" fontId="23" fillId="71" borderId="26" applyAlignment="1" pivotButton="0" quotePrefix="0" xfId="0">
      <alignment horizontal="right" vertical="center"/>
    </xf>
    <xf numFmtId="49" fontId="13" fillId="66" borderId="18" applyAlignment="1" pivotButton="0" quotePrefix="0" xfId="0">
      <alignment horizontal="left" vertical="center"/>
    </xf>
    <xf numFmtId="3" fontId="23" fillId="71" borderId="26" applyAlignment="1" pivotButton="0" quotePrefix="0" xfId="0">
      <alignment horizontal="right" vertical="center"/>
    </xf>
    <xf numFmtId="4" fontId="23" fillId="71" borderId="26" applyAlignment="1" pivotButton="0" quotePrefix="0" xfId="0">
      <alignment horizontal="right" vertical="center"/>
    </xf>
    <xf numFmtId="9" fontId="13" fillId="66" borderId="18" applyAlignment="1" pivotButton="0" quotePrefix="0" xfId="0">
      <alignment horizontal="right" vertical="center"/>
    </xf>
    <xf numFmtId="3" fontId="13" fillId="57" borderId="18" applyAlignment="1" pivotButton="0" quotePrefix="0" xfId="0">
      <alignment horizontal="right" vertical="center"/>
    </xf>
    <xf numFmtId="49" fontId="15" fillId="57" borderId="18" applyAlignment="1" pivotButton="0" quotePrefix="0" xfId="0">
      <alignment horizontal="left" vertical="center" wrapText="1"/>
    </xf>
    <xf numFmtId="166" fontId="13" fillId="57" borderId="18" applyAlignment="1" pivotButton="0" quotePrefix="0" xfId="0">
      <alignment horizontal="right" vertical="center"/>
    </xf>
    <xf numFmtId="49" fontId="13" fillId="57" borderId="18" applyAlignment="1" pivotButton="0" quotePrefix="0" xfId="0">
      <alignment horizontal="left" vertical="center"/>
    </xf>
    <xf numFmtId="4" fontId="13" fillId="57" borderId="18" applyAlignment="1" pivotButton="0" quotePrefix="0" xfId="0">
      <alignment horizontal="right" vertical="center"/>
    </xf>
    <xf numFmtId="9" fontId="13" fillId="57" borderId="18" applyAlignment="1" pivotButton="0" quotePrefix="0" xfId="0">
      <alignment horizontal="right" vertical="center"/>
    </xf>
    <xf numFmtId="49" fontId="16" fillId="57" borderId="18" applyAlignment="1" pivotButton="0" quotePrefix="0" xfId="0">
      <alignment horizontal="left" vertical="center"/>
    </xf>
    <xf numFmtId="3" fontId="13" fillId="72" borderId="18" applyAlignment="1" pivotButton="0" quotePrefix="0" xfId="0">
      <alignment horizontal="right" vertical="center"/>
    </xf>
    <xf numFmtId="49" fontId="15" fillId="72" borderId="18" applyAlignment="1" pivotButton="0" quotePrefix="0" xfId="0">
      <alignment horizontal="left" vertical="center" wrapText="1"/>
    </xf>
    <xf numFmtId="166" fontId="13" fillId="72" borderId="18" applyAlignment="1" pivotButton="0" quotePrefix="0" xfId="0">
      <alignment horizontal="right" vertical="center"/>
    </xf>
    <xf numFmtId="49" fontId="13" fillId="72" borderId="18" applyAlignment="1" pivotButton="0" quotePrefix="0" xfId="0">
      <alignment horizontal="left" vertical="center"/>
    </xf>
    <xf numFmtId="4" fontId="13" fillId="72" borderId="18" applyAlignment="1" pivotButton="0" quotePrefix="0" xfId="0">
      <alignment horizontal="right" vertical="center"/>
    </xf>
    <xf numFmtId="9" fontId="13" fillId="72" borderId="18" applyAlignment="1" pivotButton="0" quotePrefix="0" xfId="0">
      <alignment horizontal="right" vertical="center"/>
    </xf>
    <xf numFmtId="49" fontId="16" fillId="72" borderId="18" applyAlignment="1" pivotButton="0" quotePrefix="0" xfId="0">
      <alignment horizontal="left" vertical="center"/>
    </xf>
    <xf numFmtId="49" fontId="15" fillId="63" borderId="18" applyAlignment="1" pivotButton="0" quotePrefix="0" xfId="0">
      <alignment horizontal="left" vertical="center" wrapText="1"/>
    </xf>
    <xf numFmtId="49" fontId="13" fillId="63" borderId="18" applyAlignment="1" pivotButton="0" quotePrefix="0" xfId="0">
      <alignment horizontal="left" vertical="center"/>
    </xf>
    <xf numFmtId="9" fontId="13" fillId="63" borderId="18" applyAlignment="1" pivotButton="0" quotePrefix="0" xfId="0">
      <alignment horizontal="right" vertical="center"/>
    </xf>
    <xf numFmtId="3" fontId="13" fillId="73" borderId="18" applyAlignment="1" pivotButton="0" quotePrefix="0" xfId="0">
      <alignment horizontal="right" vertical="center"/>
    </xf>
    <xf numFmtId="49" fontId="15" fillId="73" borderId="18" applyAlignment="1" pivotButton="0" quotePrefix="0" xfId="0">
      <alignment horizontal="left" vertical="center" wrapText="1"/>
    </xf>
    <xf numFmtId="166" fontId="13" fillId="73" borderId="18" applyAlignment="1" pivotButton="0" quotePrefix="0" xfId="0">
      <alignment horizontal="right" vertical="center"/>
    </xf>
    <xf numFmtId="49" fontId="13" fillId="73" borderId="18" applyAlignment="1" pivotButton="0" quotePrefix="0" xfId="0">
      <alignment horizontal="left" vertical="center"/>
    </xf>
    <xf numFmtId="4" fontId="13" fillId="73" borderId="18" applyAlignment="1" pivotButton="0" quotePrefix="0" xfId="0">
      <alignment horizontal="right" vertical="center"/>
    </xf>
    <xf numFmtId="9" fontId="13" fillId="73" borderId="18" applyAlignment="1" pivotButton="0" quotePrefix="0" xfId="0">
      <alignment horizontal="right" vertical="center"/>
    </xf>
    <xf numFmtId="49" fontId="16" fillId="73" borderId="18" applyAlignment="1" pivotButton="0" quotePrefix="0" xfId="0">
      <alignment horizontal="left" vertical="center"/>
    </xf>
    <xf numFmtId="0" fontId="10" fillId="41" borderId="0" applyAlignment="1" pivotButton="0" quotePrefix="0" xfId="0">
      <alignment horizontal="left" vertical="center" indent="1"/>
    </xf>
    <xf numFmtId="0" fontId="8" fillId="60" borderId="18" applyAlignment="1" pivotButton="0" quotePrefix="0" xfId="0">
      <alignment horizontal="center" vertical="center" wrapText="1"/>
    </xf>
    <xf numFmtId="0" fontId="24" fillId="46" borderId="18" applyAlignment="1" pivotButton="0" quotePrefix="0" xfId="0">
      <alignment horizontal="left" vertical="center"/>
    </xf>
    <xf numFmtId="1" fontId="11" fillId="46" borderId="18" applyAlignment="1" pivotButton="0" quotePrefix="0" xfId="0">
      <alignment horizontal="center" vertical="center" wrapText="1"/>
    </xf>
    <xf numFmtId="0" fontId="24" fillId="61" borderId="18" applyAlignment="1" pivotButton="0" quotePrefix="0" xfId="0">
      <alignment horizontal="left" vertical="center"/>
    </xf>
    <xf numFmtId="1" fontId="17" fillId="61" borderId="18" applyAlignment="1" pivotButton="0" quotePrefix="0" xfId="0">
      <alignment horizontal="center" vertical="center" wrapText="1"/>
    </xf>
    <xf numFmtId="3" fontId="17" fillId="61" borderId="18" applyAlignment="1" pivotButton="0" quotePrefix="0" xfId="0">
      <alignment horizontal="right" vertical="center"/>
    </xf>
    <xf numFmtId="0" fontId="17" fillId="61" borderId="18" applyAlignment="1" pivotButton="0" quotePrefix="0" xfId="0">
      <alignment horizontal="center" vertical="center" wrapText="1"/>
    </xf>
    <xf numFmtId="0" fontId="24" fillId="62" borderId="18" applyAlignment="1" pivotButton="0" quotePrefix="0" xfId="0">
      <alignment horizontal="left" vertical="center"/>
    </xf>
    <xf numFmtId="1" fontId="18" fillId="62" borderId="18" applyAlignment="1" pivotButton="0" quotePrefix="0" xfId="0">
      <alignment horizontal="center" vertical="center" wrapText="1"/>
    </xf>
    <xf numFmtId="0" fontId="24" fillId="63" borderId="18" applyAlignment="1" pivotButton="0" quotePrefix="0" xfId="0">
      <alignment horizontal="left" vertical="center"/>
    </xf>
    <xf numFmtId="1" fontId="19" fillId="63" borderId="18" applyAlignment="1" pivotButton="0" quotePrefix="0" xfId="0">
      <alignment horizontal="center" vertical="center" wrapText="1"/>
    </xf>
    <xf numFmtId="3" fontId="19" fillId="63" borderId="18" applyAlignment="1" pivotButton="0" quotePrefix="0" xfId="0">
      <alignment horizontal="right" vertical="center"/>
    </xf>
    <xf numFmtId="0" fontId="19" fillId="63" borderId="18" applyAlignment="1" pivotButton="0" quotePrefix="0" xfId="0">
      <alignment horizontal="center" vertical="center" wrapText="1"/>
    </xf>
    <xf numFmtId="0" fontId="24" fillId="64" borderId="18" applyAlignment="1" pivotButton="0" quotePrefix="0" xfId="0">
      <alignment horizontal="left" vertical="center"/>
    </xf>
    <xf numFmtId="1" fontId="20" fillId="64" borderId="18" applyAlignment="1" pivotButton="0" quotePrefix="0" xfId="0">
      <alignment horizontal="center" vertical="center" wrapText="1"/>
    </xf>
    <xf numFmtId="0" fontId="24" fillId="65" borderId="18" applyAlignment="1" pivotButton="0" quotePrefix="0" xfId="0">
      <alignment horizontal="left" vertical="center"/>
    </xf>
    <xf numFmtId="1" fontId="21" fillId="65" borderId="18" applyAlignment="1" pivotButton="0" quotePrefix="0" xfId="0">
      <alignment horizontal="center" vertical="center" wrapText="1"/>
    </xf>
    <xf numFmtId="3" fontId="21" fillId="65" borderId="18" applyAlignment="1" pivotButton="0" quotePrefix="0" xfId="0">
      <alignment horizontal="right" vertical="center"/>
    </xf>
    <xf numFmtId="0" fontId="21" fillId="65" borderId="18" applyAlignment="1" pivotButton="0" quotePrefix="0" xfId="0">
      <alignment horizontal="center" vertical="center" wrapText="1"/>
    </xf>
    <xf numFmtId="0" fontId="24" fillId="42" borderId="18" applyAlignment="1" pivotButton="0" quotePrefix="0" xfId="0">
      <alignment horizontal="left" vertical="center"/>
    </xf>
    <xf numFmtId="1" fontId="22" fillId="42" borderId="18" applyAlignment="1" pivotButton="0" quotePrefix="0" xfId="0">
      <alignment horizontal="center" vertical="center" wrapText="1"/>
    </xf>
    <xf numFmtId="0" fontId="24" fillId="66" borderId="18" applyAlignment="1" pivotButton="0" quotePrefix="0" xfId="0">
      <alignment horizontal="left" vertical="center"/>
    </xf>
    <xf numFmtId="1" fontId="23" fillId="66" borderId="18" applyAlignment="1" pivotButton="0" quotePrefix="0" xfId="0">
      <alignment horizontal="center" vertical="center" wrapText="1"/>
    </xf>
    <xf numFmtId="3" fontId="23" fillId="66" borderId="18" applyAlignment="1" pivotButton="0" quotePrefix="0" xfId="0">
      <alignment horizontal="right" vertical="center"/>
    </xf>
    <xf numFmtId="0" fontId="23" fillId="66" borderId="18" applyAlignment="1" pivotButton="0" quotePrefix="0" xfId="0">
      <alignment horizontal="center" vertical="center" wrapText="1"/>
    </xf>
    <xf numFmtId="0" fontId="8" fillId="41" borderId="18" applyAlignment="1" pivotButton="0" quotePrefix="0" xfId="0">
      <alignment horizontal="left" vertical="center"/>
    </xf>
    <xf numFmtId="1" fontId="8" fillId="41" borderId="18" applyAlignment="1" pivotButton="0" quotePrefix="0" xfId="0">
      <alignment horizontal="center" vertical="center" wrapText="1"/>
    </xf>
    <xf numFmtId="0" fontId="8" fillId="41" borderId="18" applyAlignment="1" pivotButton="0" quotePrefix="0" xfId="0">
      <alignment horizontal="center" vertical="center" wrapText="1"/>
    </xf>
    <xf numFmtId="3" fontId="26" fillId="46" borderId="18" applyAlignment="1" pivotButton="0" quotePrefix="0" xfId="0">
      <alignment horizontal="right" vertical="center"/>
    </xf>
    <xf numFmtId="49" fontId="26" fillId="46" borderId="18" applyAlignment="1" pivotButton="0" quotePrefix="0" xfId="0">
      <alignment horizontal="left" vertical="center" wrapText="1"/>
    </xf>
    <xf numFmtId="166" fontId="26" fillId="46" borderId="18" applyAlignment="1" pivotButton="0" quotePrefix="0" xfId="0">
      <alignment horizontal="right" vertical="center"/>
    </xf>
    <xf numFmtId="49" fontId="26" fillId="46" borderId="18" applyAlignment="1" pivotButton="0" quotePrefix="0" xfId="0">
      <alignment horizontal="left" vertical="center"/>
    </xf>
    <xf numFmtId="4" fontId="26" fillId="46" borderId="18" applyAlignment="1" pivotButton="0" quotePrefix="0" xfId="0">
      <alignment horizontal="right" vertical="center"/>
    </xf>
    <xf numFmtId="9" fontId="26" fillId="46" borderId="18" applyAlignment="1" pivotButton="0" quotePrefix="0" xfId="0">
      <alignment horizontal="right" vertical="center"/>
    </xf>
    <xf numFmtId="0" fontId="8" fillId="47" borderId="17" applyAlignment="1" pivotButton="0" quotePrefix="0" xfId="0">
      <alignment horizontal="left" vertical="center" indent="1"/>
    </xf>
    <xf numFmtId="166" fontId="8" fillId="47" borderId="17" applyAlignment="1" pivotButton="0" quotePrefix="0" xfId="0">
      <alignment horizontal="right" vertical="center"/>
    </xf>
    <xf numFmtId="3" fontId="8" fillId="47" borderId="17" applyAlignment="1" pivotButton="0" quotePrefix="0" xfId="0">
      <alignment horizontal="right" vertical="center"/>
    </xf>
    <xf numFmtId="4" fontId="8" fillId="47" borderId="17" applyAlignment="1" pivotButton="0" quotePrefix="0" xfId="0">
      <alignment horizontal="right" vertical="center"/>
    </xf>
    <xf numFmtId="3" fontId="26" fillId="68" borderId="18" applyAlignment="1" pivotButton="0" quotePrefix="0" xfId="0">
      <alignment horizontal="right" vertical="center"/>
    </xf>
    <xf numFmtId="49" fontId="26" fillId="68" borderId="18" applyAlignment="1" pivotButton="0" quotePrefix="0" xfId="0">
      <alignment horizontal="left" vertical="center" wrapText="1"/>
    </xf>
    <xf numFmtId="166" fontId="26" fillId="68" borderId="18" applyAlignment="1" pivotButton="0" quotePrefix="0" xfId="0">
      <alignment horizontal="right" vertical="center"/>
    </xf>
    <xf numFmtId="49" fontId="26" fillId="68" borderId="18" applyAlignment="1" pivotButton="0" quotePrefix="0" xfId="0">
      <alignment horizontal="left" vertical="center"/>
    </xf>
    <xf numFmtId="4" fontId="26" fillId="68" borderId="18" applyAlignment="1" pivotButton="0" quotePrefix="0" xfId="0">
      <alignment horizontal="right" vertical="center"/>
    </xf>
    <xf numFmtId="9" fontId="26" fillId="68" borderId="18" applyAlignment="1" pivotButton="0" quotePrefix="0" xfId="0">
      <alignment horizontal="right" vertical="center"/>
    </xf>
    <xf numFmtId="3" fontId="26" fillId="61" borderId="18" applyAlignment="1" pivotButton="0" quotePrefix="0" xfId="0">
      <alignment horizontal="right" vertical="center"/>
    </xf>
    <xf numFmtId="49" fontId="26" fillId="61" borderId="18" applyAlignment="1" pivotButton="0" quotePrefix="0" xfId="0">
      <alignment horizontal="left" vertical="center" wrapText="1"/>
    </xf>
    <xf numFmtId="166" fontId="26" fillId="61" borderId="18" applyAlignment="1" pivotButton="0" quotePrefix="0" xfId="0">
      <alignment horizontal="right" vertical="center"/>
    </xf>
    <xf numFmtId="49" fontId="26" fillId="61" borderId="18" applyAlignment="1" pivotButton="0" quotePrefix="0" xfId="0">
      <alignment horizontal="left" vertical="center"/>
    </xf>
    <xf numFmtId="4" fontId="26" fillId="61" borderId="18" applyAlignment="1" pivotButton="0" quotePrefix="0" xfId="0">
      <alignment horizontal="right" vertical="center"/>
    </xf>
    <xf numFmtId="9" fontId="26" fillId="61" borderId="18" applyAlignment="1" pivotButton="0" quotePrefix="0" xfId="0">
      <alignment horizontal="right" vertical="center"/>
    </xf>
    <xf numFmtId="0" fontId="8" fillId="50" borderId="17" applyAlignment="1" pivotButton="0" quotePrefix="0" xfId="0">
      <alignment horizontal="left" vertical="center" indent="1"/>
    </xf>
    <xf numFmtId="166" fontId="8" fillId="50" borderId="17" applyAlignment="1" pivotButton="0" quotePrefix="0" xfId="0">
      <alignment horizontal="right" vertical="center"/>
    </xf>
    <xf numFmtId="3" fontId="8" fillId="50" borderId="17" applyAlignment="1" pivotButton="0" quotePrefix="0" xfId="0">
      <alignment horizontal="right" vertical="center"/>
    </xf>
    <xf numFmtId="4" fontId="8" fillId="50" borderId="17" applyAlignment="1" pivotButton="0" quotePrefix="0" xfId="0">
      <alignment horizontal="right" vertical="center"/>
    </xf>
    <xf numFmtId="3" fontId="26" fillId="62" borderId="18" applyAlignment="1" pivotButton="0" quotePrefix="0" xfId="0">
      <alignment horizontal="right" vertical="center"/>
    </xf>
    <xf numFmtId="49" fontId="26" fillId="62" borderId="18" applyAlignment="1" pivotButton="0" quotePrefix="0" xfId="0">
      <alignment horizontal="left" vertical="center" wrapText="1"/>
    </xf>
    <xf numFmtId="166" fontId="26" fillId="62" borderId="18" applyAlignment="1" pivotButton="0" quotePrefix="0" xfId="0">
      <alignment horizontal="right" vertical="center"/>
    </xf>
    <xf numFmtId="49" fontId="26" fillId="62" borderId="18" applyAlignment="1" pivotButton="0" quotePrefix="0" xfId="0">
      <alignment horizontal="left" vertical="center"/>
    </xf>
    <xf numFmtId="4" fontId="26" fillId="62" borderId="18" applyAlignment="1" pivotButton="0" quotePrefix="0" xfId="0">
      <alignment horizontal="right" vertical="center"/>
    </xf>
    <xf numFmtId="9" fontId="26" fillId="62" borderId="18" applyAlignment="1" pivotButton="0" quotePrefix="0" xfId="0">
      <alignment horizontal="right" vertical="center"/>
    </xf>
    <xf numFmtId="0" fontId="8" fillId="51" borderId="17" applyAlignment="1" pivotButton="0" quotePrefix="0" xfId="0">
      <alignment horizontal="left" vertical="center" indent="1"/>
    </xf>
    <xf numFmtId="166" fontId="8" fillId="51" borderId="17" applyAlignment="1" pivotButton="0" quotePrefix="0" xfId="0">
      <alignment horizontal="right" vertical="center"/>
    </xf>
    <xf numFmtId="3" fontId="8" fillId="51" borderId="17" applyAlignment="1" pivotButton="0" quotePrefix="0" xfId="0">
      <alignment horizontal="right" vertical="center"/>
    </xf>
    <xf numFmtId="4" fontId="8" fillId="51" borderId="17" applyAlignment="1" pivotButton="0" quotePrefix="0" xfId="0">
      <alignment horizontal="right" vertical="center"/>
    </xf>
    <xf numFmtId="3" fontId="26" fillId="69" borderId="18" applyAlignment="1" pivotButton="0" quotePrefix="0" xfId="0">
      <alignment horizontal="right" vertical="center"/>
    </xf>
    <xf numFmtId="49" fontId="26" fillId="69" borderId="18" applyAlignment="1" pivotButton="0" quotePrefix="0" xfId="0">
      <alignment horizontal="left" vertical="center" wrapText="1"/>
    </xf>
    <xf numFmtId="166" fontId="26" fillId="69" borderId="18" applyAlignment="1" pivotButton="0" quotePrefix="0" xfId="0">
      <alignment horizontal="right" vertical="center"/>
    </xf>
    <xf numFmtId="49" fontId="26" fillId="69" borderId="18" applyAlignment="1" pivotButton="0" quotePrefix="0" xfId="0">
      <alignment horizontal="left" vertical="center"/>
    </xf>
    <xf numFmtId="4" fontId="26" fillId="69" borderId="18" applyAlignment="1" pivotButton="0" quotePrefix="0" xfId="0">
      <alignment horizontal="right" vertical="center"/>
    </xf>
    <xf numFmtId="9" fontId="26" fillId="69" borderId="18" applyAlignment="1" pivotButton="0" quotePrefix="0" xfId="0">
      <alignment horizontal="right" vertical="center"/>
    </xf>
    <xf numFmtId="0" fontId="8" fillId="52" borderId="17" applyAlignment="1" pivotButton="0" quotePrefix="0" xfId="0">
      <alignment horizontal="left" vertical="center" indent="1"/>
    </xf>
    <xf numFmtId="166" fontId="8" fillId="52" borderId="17" applyAlignment="1" pivotButton="0" quotePrefix="0" xfId="0">
      <alignment horizontal="right" vertical="center"/>
    </xf>
    <xf numFmtId="3" fontId="8" fillId="52" borderId="17" applyAlignment="1" pivotButton="0" quotePrefix="0" xfId="0">
      <alignment horizontal="right" vertical="center"/>
    </xf>
    <xf numFmtId="4" fontId="8" fillId="52" borderId="17" applyAlignment="1" pivotButton="0" quotePrefix="0" xfId="0">
      <alignment horizontal="right" vertical="center"/>
    </xf>
    <xf numFmtId="3" fontId="26" fillId="64" borderId="18" applyAlignment="1" pivotButton="0" quotePrefix="0" xfId="0">
      <alignment horizontal="right" vertical="center"/>
    </xf>
    <xf numFmtId="49" fontId="26" fillId="64" borderId="18" applyAlignment="1" pivotButton="0" quotePrefix="0" xfId="0">
      <alignment horizontal="left" vertical="center" wrapText="1"/>
    </xf>
    <xf numFmtId="166" fontId="26" fillId="64" borderId="18" applyAlignment="1" pivotButton="0" quotePrefix="0" xfId="0">
      <alignment horizontal="right" vertical="center"/>
    </xf>
    <xf numFmtId="49" fontId="26" fillId="64" borderId="18" applyAlignment="1" pivotButton="0" quotePrefix="0" xfId="0">
      <alignment horizontal="left" vertical="center"/>
    </xf>
    <xf numFmtId="4" fontId="26" fillId="64" borderId="18" applyAlignment="1" pivotButton="0" quotePrefix="0" xfId="0">
      <alignment horizontal="right" vertical="center"/>
    </xf>
    <xf numFmtId="9" fontId="26" fillId="64" borderId="18" applyAlignment="1" pivotButton="0" quotePrefix="0" xfId="0">
      <alignment horizontal="right" vertical="center"/>
    </xf>
    <xf numFmtId="0" fontId="8" fillId="53" borderId="17" applyAlignment="1" pivotButton="0" quotePrefix="0" xfId="0">
      <alignment horizontal="left" vertical="center" indent="1"/>
    </xf>
    <xf numFmtId="166" fontId="8" fillId="53" borderId="17" applyAlignment="1" pivotButton="0" quotePrefix="0" xfId="0">
      <alignment horizontal="right" vertical="center"/>
    </xf>
    <xf numFmtId="3" fontId="8" fillId="53" borderId="17" applyAlignment="1" pivotButton="0" quotePrefix="0" xfId="0">
      <alignment horizontal="right" vertical="center"/>
    </xf>
    <xf numFmtId="4" fontId="8" fillId="53" borderId="17" applyAlignment="1" pivotButton="0" quotePrefix="0" xfId="0">
      <alignment horizontal="right" vertical="center"/>
    </xf>
    <xf numFmtId="3" fontId="26" fillId="70" borderId="18" applyAlignment="1" pivotButton="0" quotePrefix="0" xfId="0">
      <alignment horizontal="right" vertical="center"/>
    </xf>
    <xf numFmtId="49" fontId="26" fillId="70" borderId="18" applyAlignment="1" pivotButton="0" quotePrefix="0" xfId="0">
      <alignment horizontal="left" vertical="center" wrapText="1"/>
    </xf>
    <xf numFmtId="166" fontId="26" fillId="70" borderId="18" applyAlignment="1" pivotButton="0" quotePrefix="0" xfId="0">
      <alignment horizontal="right" vertical="center"/>
    </xf>
    <xf numFmtId="49" fontId="26" fillId="70" borderId="18" applyAlignment="1" pivotButton="0" quotePrefix="0" xfId="0">
      <alignment horizontal="left" vertical="center"/>
    </xf>
    <xf numFmtId="4" fontId="26" fillId="70" borderId="18" applyAlignment="1" pivotButton="0" quotePrefix="0" xfId="0">
      <alignment horizontal="right" vertical="center"/>
    </xf>
    <xf numFmtId="9" fontId="26" fillId="70" borderId="18" applyAlignment="1" pivotButton="0" quotePrefix="0" xfId="0">
      <alignment horizontal="right" vertical="center"/>
    </xf>
    <xf numFmtId="3" fontId="26" fillId="65" borderId="18" applyAlignment="1" pivotButton="0" quotePrefix="0" xfId="0">
      <alignment horizontal="right" vertical="center"/>
    </xf>
    <xf numFmtId="49" fontId="26" fillId="65" borderId="18" applyAlignment="1" pivotButton="0" quotePrefix="0" xfId="0">
      <alignment horizontal="left" vertical="center" wrapText="1"/>
    </xf>
    <xf numFmtId="166" fontId="26" fillId="65" borderId="18" applyAlignment="1" pivotButton="0" quotePrefix="0" xfId="0">
      <alignment horizontal="right" vertical="center"/>
    </xf>
    <xf numFmtId="49" fontId="26" fillId="65" borderId="18" applyAlignment="1" pivotButton="0" quotePrefix="0" xfId="0">
      <alignment horizontal="left" vertical="center"/>
    </xf>
    <xf numFmtId="4" fontId="26" fillId="65" borderId="18" applyAlignment="1" pivotButton="0" quotePrefix="0" xfId="0">
      <alignment horizontal="right" vertical="center"/>
    </xf>
    <xf numFmtId="9" fontId="26" fillId="65" borderId="18" applyAlignment="1" pivotButton="0" quotePrefix="0" xfId="0">
      <alignment horizontal="right" vertical="center"/>
    </xf>
    <xf numFmtId="0" fontId="8" fillId="54" borderId="17" applyAlignment="1" pivotButton="0" quotePrefix="0" xfId="0">
      <alignment horizontal="left" vertical="center" indent="1"/>
    </xf>
    <xf numFmtId="166" fontId="8" fillId="54" borderId="17" applyAlignment="1" pivotButton="0" quotePrefix="0" xfId="0">
      <alignment horizontal="right" vertical="center"/>
    </xf>
    <xf numFmtId="3" fontId="8" fillId="54" borderId="17" applyAlignment="1" pivotButton="0" quotePrefix="0" xfId="0">
      <alignment horizontal="right" vertical="center"/>
    </xf>
    <xf numFmtId="4" fontId="8" fillId="54" borderId="17" applyAlignment="1" pivotButton="0" quotePrefix="0" xfId="0">
      <alignment horizontal="right" vertical="center"/>
    </xf>
    <xf numFmtId="3" fontId="26" fillId="42" borderId="18" applyAlignment="1" pivotButton="0" quotePrefix="0" xfId="0">
      <alignment horizontal="right" vertical="center"/>
    </xf>
    <xf numFmtId="49" fontId="26" fillId="42" borderId="18" applyAlignment="1" pivotButton="0" quotePrefix="0" xfId="0">
      <alignment horizontal="left" vertical="center" wrapText="1"/>
    </xf>
    <xf numFmtId="166" fontId="26" fillId="42" borderId="18" applyAlignment="1" pivotButton="0" quotePrefix="0" xfId="0">
      <alignment horizontal="right" vertical="center"/>
    </xf>
    <xf numFmtId="49" fontId="26" fillId="42" borderId="18" applyAlignment="1" pivotButton="0" quotePrefix="0" xfId="0">
      <alignment horizontal="left" vertical="center"/>
    </xf>
    <xf numFmtId="4" fontId="26" fillId="42" borderId="18" applyAlignment="1" pivotButton="0" quotePrefix="0" xfId="0">
      <alignment horizontal="right" vertical="center"/>
    </xf>
    <xf numFmtId="9" fontId="26" fillId="42" borderId="18" applyAlignment="1" pivotButton="0" quotePrefix="0" xfId="0">
      <alignment horizontal="right" vertical="center"/>
    </xf>
    <xf numFmtId="0" fontId="8" fillId="55" borderId="17" applyAlignment="1" pivotButton="0" quotePrefix="0" xfId="0">
      <alignment horizontal="left" vertical="center" indent="1"/>
    </xf>
    <xf numFmtId="166" fontId="8" fillId="55" borderId="17" applyAlignment="1" pivotButton="0" quotePrefix="0" xfId="0">
      <alignment horizontal="right" vertical="center"/>
    </xf>
    <xf numFmtId="3" fontId="8" fillId="55" borderId="17" applyAlignment="1" pivotButton="0" quotePrefix="0" xfId="0">
      <alignment horizontal="right" vertical="center"/>
    </xf>
    <xf numFmtId="4" fontId="8" fillId="55" borderId="17" applyAlignment="1" pivotButton="0" quotePrefix="0" xfId="0">
      <alignment horizontal="right" vertical="center"/>
    </xf>
    <xf numFmtId="3" fontId="26" fillId="71" borderId="18" applyAlignment="1" pivotButton="0" quotePrefix="0" xfId="0">
      <alignment horizontal="right" vertical="center"/>
    </xf>
    <xf numFmtId="49" fontId="26" fillId="71" borderId="18" applyAlignment="1" pivotButton="0" quotePrefix="0" xfId="0">
      <alignment horizontal="left" vertical="center" wrapText="1"/>
    </xf>
    <xf numFmtId="166" fontId="26" fillId="71" borderId="18" applyAlignment="1" pivotButton="0" quotePrefix="0" xfId="0">
      <alignment horizontal="right" vertical="center"/>
    </xf>
    <xf numFmtId="49" fontId="26" fillId="71" borderId="18" applyAlignment="1" pivotButton="0" quotePrefix="0" xfId="0">
      <alignment horizontal="left" vertical="center"/>
    </xf>
    <xf numFmtId="4" fontId="26" fillId="71" borderId="18" applyAlignment="1" pivotButton="0" quotePrefix="0" xfId="0">
      <alignment horizontal="right" vertical="center"/>
    </xf>
    <xf numFmtId="9" fontId="26" fillId="71" borderId="18" applyAlignment="1" pivotButton="0" quotePrefix="0" xfId="0">
      <alignment horizontal="right" vertical="center"/>
    </xf>
    <xf numFmtId="3" fontId="26" fillId="66" borderId="18" applyAlignment="1" pivotButton="0" quotePrefix="0" xfId="0">
      <alignment horizontal="right" vertical="center"/>
    </xf>
    <xf numFmtId="49" fontId="26" fillId="66" borderId="18" applyAlignment="1" pivotButton="0" quotePrefix="0" xfId="0">
      <alignment horizontal="left" vertical="center" wrapText="1"/>
    </xf>
    <xf numFmtId="166" fontId="26" fillId="66" borderId="18" applyAlignment="1" pivotButton="0" quotePrefix="0" xfId="0">
      <alignment horizontal="right" vertical="center"/>
    </xf>
    <xf numFmtId="49" fontId="26" fillId="66" borderId="18" applyAlignment="1" pivotButton="0" quotePrefix="0" xfId="0">
      <alignment horizontal="left" vertical="center"/>
    </xf>
    <xf numFmtId="4" fontId="26" fillId="66" borderId="18" applyAlignment="1" pivotButton="0" quotePrefix="0" xfId="0">
      <alignment horizontal="right" vertical="center"/>
    </xf>
    <xf numFmtId="9" fontId="26" fillId="66" borderId="18" applyAlignment="1" pivotButton="0" quotePrefix="0" xfId="0">
      <alignment horizontal="right" vertical="center"/>
    </xf>
    <xf numFmtId="0" fontId="8" fillId="56" borderId="17" applyAlignment="1" pivotButton="0" quotePrefix="0" xfId="0">
      <alignment horizontal="left" vertical="center" indent="1"/>
    </xf>
    <xf numFmtId="166" fontId="8" fillId="56" borderId="17" applyAlignment="1" pivotButton="0" quotePrefix="0" xfId="0">
      <alignment horizontal="right" vertical="center"/>
    </xf>
    <xf numFmtId="3" fontId="8" fillId="56" borderId="17" applyAlignment="1" pivotButton="0" quotePrefix="0" xfId="0">
      <alignment horizontal="right" vertical="center"/>
    </xf>
    <xf numFmtId="4" fontId="8" fillId="56" borderId="17" applyAlignment="1" pivotButton="0" quotePrefix="0" xfId="0">
      <alignment horizontal="right" vertical="center"/>
    </xf>
    <xf numFmtId="3" fontId="26" fillId="57" borderId="18" applyAlignment="1" pivotButton="0" quotePrefix="0" xfId="0">
      <alignment horizontal="right" vertical="center"/>
    </xf>
    <xf numFmtId="49" fontId="26" fillId="57" borderId="18" applyAlignment="1" pivotButton="0" quotePrefix="0" xfId="0">
      <alignment horizontal="left" vertical="center" wrapText="1"/>
    </xf>
    <xf numFmtId="166" fontId="26" fillId="57" borderId="18" applyAlignment="1" pivotButton="0" quotePrefix="0" xfId="0">
      <alignment horizontal="right" vertical="center"/>
    </xf>
    <xf numFmtId="49" fontId="26" fillId="57" borderId="18" applyAlignment="1" pivotButton="0" quotePrefix="0" xfId="0">
      <alignment horizontal="left" vertical="center"/>
    </xf>
    <xf numFmtId="4" fontId="26" fillId="57" borderId="18" applyAlignment="1" pivotButton="0" quotePrefix="0" xfId="0">
      <alignment horizontal="right" vertical="center"/>
    </xf>
    <xf numFmtId="9" fontId="26" fillId="57" borderId="18" applyAlignment="1" pivotButton="0" quotePrefix="0" xfId="0">
      <alignment horizontal="right" vertical="center"/>
    </xf>
    <xf numFmtId="3" fontId="26" fillId="72" borderId="18" applyAlignment="1" pivotButton="0" quotePrefix="0" xfId="0">
      <alignment horizontal="right" vertical="center"/>
    </xf>
    <xf numFmtId="49" fontId="26" fillId="72" borderId="18" applyAlignment="1" pivotButton="0" quotePrefix="0" xfId="0">
      <alignment horizontal="left" vertical="center" wrapText="1"/>
    </xf>
    <xf numFmtId="166" fontId="26" fillId="72" borderId="18" applyAlignment="1" pivotButton="0" quotePrefix="0" xfId="0">
      <alignment horizontal="right" vertical="center"/>
    </xf>
    <xf numFmtId="49" fontId="26" fillId="72" borderId="18" applyAlignment="1" pivotButton="0" quotePrefix="0" xfId="0">
      <alignment horizontal="left" vertical="center"/>
    </xf>
    <xf numFmtId="4" fontId="26" fillId="72" borderId="18" applyAlignment="1" pivotButton="0" quotePrefix="0" xfId="0">
      <alignment horizontal="right" vertical="center"/>
    </xf>
    <xf numFmtId="9" fontId="26" fillId="72" borderId="18" applyAlignment="1" pivotButton="0" quotePrefix="0" xfId="0">
      <alignment horizontal="right" vertical="center"/>
    </xf>
    <xf numFmtId="3" fontId="26" fillId="63" borderId="18" applyAlignment="1" pivotButton="0" quotePrefix="0" xfId="0">
      <alignment horizontal="right" vertical="center"/>
    </xf>
    <xf numFmtId="49" fontId="26" fillId="63" borderId="18" applyAlignment="1" pivotButton="0" quotePrefix="0" xfId="0">
      <alignment horizontal="left" vertical="center" wrapText="1"/>
    </xf>
    <xf numFmtId="166" fontId="26" fillId="63" borderId="18" applyAlignment="1" pivotButton="0" quotePrefix="0" xfId="0">
      <alignment horizontal="right" vertical="center"/>
    </xf>
    <xf numFmtId="49" fontId="26" fillId="63" borderId="18" applyAlignment="1" pivotButton="0" quotePrefix="0" xfId="0">
      <alignment horizontal="left" vertical="center"/>
    </xf>
    <xf numFmtId="4" fontId="26" fillId="63" borderId="18" applyAlignment="1" pivotButton="0" quotePrefix="0" xfId="0">
      <alignment horizontal="right" vertical="center"/>
    </xf>
    <xf numFmtId="9" fontId="26" fillId="63" borderId="18" applyAlignment="1" pivotButton="0" quotePrefix="0" xfId="0">
      <alignment horizontal="right" vertical="center"/>
    </xf>
    <xf numFmtId="3" fontId="26" fillId="73" borderId="18" applyAlignment="1" pivotButton="0" quotePrefix="0" xfId="0">
      <alignment horizontal="right" vertical="center"/>
    </xf>
    <xf numFmtId="49" fontId="26" fillId="73" borderId="18" applyAlignment="1" pivotButton="0" quotePrefix="0" xfId="0">
      <alignment horizontal="left" vertical="center" wrapText="1"/>
    </xf>
    <xf numFmtId="166" fontId="26" fillId="73" borderId="18" applyAlignment="1" pivotButton="0" quotePrefix="0" xfId="0">
      <alignment horizontal="right" vertical="center"/>
    </xf>
    <xf numFmtId="49" fontId="26" fillId="73" borderId="18" applyAlignment="1" pivotButton="0" quotePrefix="0" xfId="0">
      <alignment horizontal="left" vertical="center"/>
    </xf>
    <xf numFmtId="4" fontId="26" fillId="73" borderId="18" applyAlignment="1" pivotButton="0" quotePrefix="0" xfId="0">
      <alignment horizontal="right" vertical="center"/>
    </xf>
    <xf numFmtId="9" fontId="26" fillId="73" borderId="18" applyAlignment="1" pivotButton="0" quotePrefix="0" xfId="0">
      <alignment horizontal="right" vertical="center"/>
    </xf>
    <xf numFmtId="0" fontId="25" fillId="52" borderId="0" applyAlignment="1" pivotButton="0" quotePrefix="0" xfId="0">
      <alignment horizontal="right" vertical="center"/>
    </xf>
    <xf numFmtId="1" fontId="27" fillId="74" borderId="0" applyAlignment="1" pivotButton="0" quotePrefix="0" xfId="0">
      <alignment horizontal="left" vertical="center" indent="1"/>
    </xf>
    <xf numFmtId="3" fontId="27" fillId="74" borderId="0" applyAlignment="1" pivotButton="0" quotePrefix="0" xfId="0">
      <alignment horizontal="left" vertical="center" indent="1"/>
    </xf>
    <xf numFmtId="0" fontId="25" fillId="44" borderId="18" applyAlignment="1" pivotButton="0" quotePrefix="0" xfId="0">
      <alignment horizontal="center" vertical="center" wrapText="1"/>
    </xf>
    <xf numFmtId="0" fontId="25" fillId="67" borderId="18" applyAlignment="1" pivotButton="0" quotePrefix="0" xfId="0">
      <alignment horizontal="center" vertical="center" wrapText="1"/>
    </xf>
    <xf numFmtId="0" fontId="25" fillId="47" borderId="17" applyAlignment="1" pivotButton="0" quotePrefix="0" xfId="0">
      <alignment horizontal="left" vertical="center"/>
    </xf>
    <xf numFmtId="0" fontId="25" fillId="50" borderId="17" applyAlignment="1" pivotButton="0" quotePrefix="0" xfId="0">
      <alignment horizontal="left" vertical="center"/>
    </xf>
    <xf numFmtId="0" fontId="25" fillId="51" borderId="17" applyAlignment="1" pivotButton="0" quotePrefix="0" xfId="0">
      <alignment horizontal="left" vertical="center"/>
    </xf>
    <xf numFmtId="0" fontId="25" fillId="52" borderId="17" applyAlignment="1" pivotButton="0" quotePrefix="0" xfId="0">
      <alignment horizontal="left" vertical="center"/>
    </xf>
    <xf numFmtId="0" fontId="25" fillId="53" borderId="17" applyAlignment="1" pivotButton="0" quotePrefix="0" xfId="0">
      <alignment horizontal="left" vertical="center"/>
    </xf>
    <xf numFmtId="0" fontId="25" fillId="54" borderId="17" applyAlignment="1" pivotButton="0" quotePrefix="0" xfId="0">
      <alignment horizontal="left" vertical="center"/>
    </xf>
    <xf numFmtId="0" fontId="25" fillId="55" borderId="17" applyAlignment="1" pivotButton="0" quotePrefix="0" xfId="0">
      <alignment horizontal="left" vertical="center"/>
    </xf>
    <xf numFmtId="0" fontId="25" fillId="56" borderId="17" applyAlignment="1" pivotButton="0" quotePrefix="0" xfId="0">
      <alignment horizontal="left" vertical="center"/>
    </xf>
    <xf numFmtId="0" fontId="8" fillId="41" borderId="17" applyAlignment="1" pivotButton="0" quotePrefix="0" xfId="0">
      <alignment horizontal="left" vertical="center" indent="1"/>
    </xf>
    <xf numFmtId="0" fontId="8" fillId="41" borderId="17" pivotButton="0" quotePrefix="0" xfId="0"/>
    <xf numFmtId="166" fontId="8" fillId="41" borderId="17" applyAlignment="1" pivotButton="0" quotePrefix="0" xfId="0">
      <alignment horizontal="right" vertical="center"/>
    </xf>
    <xf numFmtId="3" fontId="8" fillId="41" borderId="17" applyAlignment="1" pivotButton="0" quotePrefix="0" xfId="0">
      <alignment horizontal="right" vertical="center"/>
    </xf>
    <xf numFmtId="4" fontId="8" fillId="41" borderId="17" applyAlignment="1" pivotButton="0" quotePrefix="0" xfId="0">
      <alignment horizontal="right" vertical="center"/>
    </xf>
    <xf numFmtId="0" fontId="0" fillId="44" borderId="0" pivotButton="0" quotePrefix="0" xfId="0"/>
    <xf numFmtId="0" fontId="28" fillId="46" borderId="0" applyAlignment="1" pivotButton="0" quotePrefix="0" xfId="0">
      <alignment horizontal="left" vertical="center" indent="1"/>
    </xf>
    <xf numFmtId="3" fontId="28" fillId="46" borderId="18" applyAlignment="1" pivotButton="0" quotePrefix="0" xfId="0">
      <alignment horizontal="center" vertical="center" wrapText="1"/>
    </xf>
    <xf numFmtId="0" fontId="28" fillId="46" borderId="0" applyAlignment="1" pivotButton="0" quotePrefix="0" xfId="0">
      <alignment horizontal="center" vertical="center" wrapText="1"/>
    </xf>
    <xf numFmtId="0" fontId="25" fillId="44" borderId="17" applyAlignment="1" pivotButton="0" quotePrefix="0" xfId="0">
      <alignment horizontal="center" vertical="center" wrapText="1"/>
    </xf>
    <xf numFmtId="3" fontId="13" fillId="58" borderId="18" applyAlignment="1" pivotButton="0" quotePrefix="0" xfId="0">
      <alignment horizontal="right" vertical="center"/>
    </xf>
    <xf numFmtId="49" fontId="15" fillId="58" borderId="18" applyAlignment="1" pivotButton="0" quotePrefix="0" xfId="0">
      <alignment horizontal="left" vertical="center" wrapText="1"/>
    </xf>
    <xf numFmtId="166" fontId="13" fillId="58" borderId="18" applyAlignment="1" pivotButton="0" quotePrefix="0" xfId="0">
      <alignment horizontal="right" vertical="center"/>
    </xf>
    <xf numFmtId="49" fontId="13" fillId="58" borderId="18" applyAlignment="1" pivotButton="0" quotePrefix="0" xfId="0">
      <alignment horizontal="left" vertical="center"/>
    </xf>
    <xf numFmtId="4" fontId="13" fillId="58" borderId="18" applyAlignment="1" pivotButton="0" quotePrefix="0" xfId="0">
      <alignment horizontal="right" vertical="center"/>
    </xf>
    <xf numFmtId="9" fontId="13" fillId="58" borderId="18" applyAlignment="1" pivotButton="0" quotePrefix="0" xfId="0">
      <alignment horizontal="right" vertical="center"/>
    </xf>
    <xf numFmtId="49" fontId="16" fillId="58" borderId="18" applyAlignment="1" pivotButton="0" quotePrefix="0" xfId="0">
      <alignment horizontal="left" vertical="center"/>
    </xf>
  </cellXfs>
  <cellStyles count="1">
    <cellStyle name="Normal" xfId="0" builtinId="0"/>
  </cellStyles>
  <dxfs count="2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  <dxf>
      <font>
        <color rgb="00006100"/>
      </font>
    </dxf>
    <dxf>
      <font>
        <color rgb="00BFBFBF"/>
      </font>
      <fill>
        <patternFill patternType="solid">
          <fgColor rgb="00F2F2F2"/>
        </patternFill>
      </fill>
    </dxf>
    <dxf>
      <font>
        <color rgb="00BFBFBF"/>
      </font>
      <fill>
        <patternFill patternType="solid">
          <fgColor rgb="00EDEDED"/>
        </patternFill>
      </fill>
    </dxf>
    <dxf>
      <fill>
        <patternFill patternType="solid">
          <fgColor rgb="00E2EFDA"/>
        </patternFill>
      </fill>
    </dxf>
    <dxf>
      <font>
        <b val="1"/>
        <color rgb="009C0006"/>
      </font>
    </dxf>
    <dxf>
      <font>
        <color rgb="00808080"/>
      </font>
      <fill>
        <patternFill patternType="solid">
          <fgColor rgb="00EDEDED"/>
        </patternFill>
      </fill>
    </dxf>
    <dxf>
      <font>
        <b val="1"/>
        <color rgb="00FFFFFF"/>
      </font>
      <fill>
        <patternFill patternType="solid">
          <fgColor rgb="00808080"/>
        </patternFill>
      </fill>
    </dxf>
    <dxf>
      <font>
        <b val="1"/>
        <color rgb="00FFFFFF"/>
      </font>
      <fill>
        <patternFill patternType="solid">
          <fgColor rgb="00375623"/>
        </patternFill>
      </fill>
    </dxf>
    <dxf>
      <font>
        <b val="1"/>
        <color rgb="00FFFFFF"/>
      </font>
      <fill>
        <patternFill patternType="solid">
          <fgColor rgb="001F3864"/>
        </patternFill>
      </fill>
    </dxf>
    <dxf>
      <fill>
        <patternFill patternType="solid">
          <fgColor rgb="00F4F9FD"/>
        </patternFill>
      </fill>
    </dxf>
    <dxf>
      <border>
        <left style="thin">
          <color rgb="00D0D0D0"/>
        </left>
        <right style="thin">
          <color rgb="00D0D0D0"/>
        </right>
        <top style="thin">
          <color rgb="00D0D0D0"/>
        </top>
        <bottom style="thin">
          <color rgb="00D0D0D0"/>
        </bottom>
      </border>
    </dxf>
    <dxf>
      <font>
        <color rgb="00808080"/>
      </font>
      <fill>
        <patternFill patternType="solid">
          <fgColor rgb="FFEDEDED"/>
          <bgColor rgb="FFEDEDED"/>
        </patternFill>
      </fill>
    </dxf>
    <dxf>
      <font>
        <b val="1"/>
        <color rgb="00FFFFFF"/>
      </font>
      <fill>
        <patternFill patternType="solid">
          <fgColor rgb="FF808080"/>
          <bgColor rgb="FF808080"/>
        </patternFill>
      </fill>
    </dxf>
    <dxf>
      <font>
        <b val="1"/>
        <color rgb="00FFFFFF"/>
      </font>
      <fill>
        <patternFill patternType="solid">
          <fgColor rgb="FF375623"/>
          <bgColor rgb="FF375623"/>
        </patternFill>
      </fill>
    </dxf>
    <dxf>
      <font>
        <b val="1"/>
        <color rgb="00FFFFFF"/>
      </font>
      <fill>
        <patternFill patternType="solid">
          <fgColor rgb="FF1F3864"/>
          <bgColor rgb="FF1F3864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4F9FD"/>
          <bgColor rgb="FFF4F9FD"/>
        </patternFill>
      </fill>
    </dxf>
    <dxf>
      <font>
        <b val="1"/>
        <color rgb="00006100"/>
      </font>
      <fill>
        <patternFill patternType="solid">
          <fgColor rgb="FFC6EFCE"/>
          <bgColor rgb="FFC6EFCE"/>
        </patternFill>
      </fill>
    </dxf>
    <dxf>
      <font>
        <b val="1"/>
        <color rgb="00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00B0F0"/>
    <outlinePr summaryBelow="1" summaryRight="1"/>
    <pageSetUpPr fitToPage="1"/>
  </sheetPr>
  <dimension ref="A1:BK5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5" customWidth="1" min="1" max="1"/>
    <col width="10" customWidth="1" min="2" max="2"/>
    <col width="30" customWidth="1" min="3" max="3"/>
    <col width="42" customWidth="1" min="4" max="4"/>
    <col width="10" customWidth="1" min="5" max="5"/>
    <col width="11" customWidth="1" min="6" max="6"/>
    <col width="7" customWidth="1" min="7" max="7"/>
    <col width="10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  <col width="13.5" customWidth="1" min="32" max="32"/>
    <col width="13.5" customWidth="1" min="33" max="33"/>
    <col width="13.5" customWidth="1" min="34" max="34"/>
    <col width="13" customWidth="1" min="35" max="35"/>
    <col hidden="1" width="12" customWidth="1" min="37" max="37"/>
    <col hidden="1" width="12" customWidth="1" min="38" max="38"/>
    <col hidden="1" width="12" customWidth="1" min="39" max="39"/>
    <col hidden="1" width="12" customWidth="1" min="40" max="40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  <col hidden="1" width="12" customWidth="1" min="54" max="54"/>
    <col hidden="1" width="12" customWidth="1" min="55" max="55"/>
    <col hidden="1" width="12" customWidth="1" min="56" max="56"/>
    <col hidden="1" width="12" customWidth="1" min="57" max="57"/>
    <col hidden="1" width="12" customWidth="1" min="58" max="58"/>
    <col hidden="1" width="12" customWidth="1" min="59" max="59"/>
    <col hidden="1" width="12" customWidth="1" min="60" max="60"/>
    <col hidden="1" width="12" customWidth="1" min="61" max="61"/>
    <col hidden="1" width="12" customWidth="1" min="62" max="62"/>
    <col hidden="1" width="12" customWidth="1" min="63" max="63"/>
  </cols>
  <sheetData>
    <row r="1" ht="30" customHeight="1">
      <c r="A1" s="658" t="inlineStr">
        <is>
          <t>MSTC LIMITED  •  LIVE SEARCH   (results grouped by the value you typed, each group totalled, the misses greyed in a REMAINING block, grand total at the foot)</t>
        </is>
      </c>
    </row>
    <row r="2" ht="44" customHeight="1">
      <c r="A2" s="659" t="inlineStr">
        <is>
      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greyed REMAINING block holds the lots that did not match - with its own total - and the GRAND TOTAL of both sits at the foot.  A lot matching two values is counted under the first one only, so the group totals always add up to the grand total.   •   clear the box and all 37 come back in one ALL LOTS block.   •   cell F3 narrows what the text is looked for in (lot no. + buyer + name by default).   •   matching is 'contains', not case sensitive.   •   nothing here is typed in: every figure is a live link to 'Final Calculation Sheet'.   •   columns AK..BK are hidden helpers.</t>
        </is>
      </c>
    </row>
    <row r="3" ht="30" customHeight="1">
      <c r="A3" s="660" t="inlineStr">
        <is>
          <t>🔍  SEARCH  ▸</t>
        </is>
      </c>
      <c r="B3" s="661" t="inlineStr"/>
      <c r="C3" s="599" t="n"/>
      <c r="D3" s="599" t="n"/>
      <c r="E3" s="662" t="inlineStr">
        <is>
          <t>SEARCH IN  ▸</t>
        </is>
      </c>
      <c r="F3" s="663" t="inlineStr">
        <is>
          <t>Lot No. + Buyer + Name</t>
        </is>
      </c>
      <c r="G3" s="662" t="inlineStr">
        <is>
          <t>MATCHES  ▸</t>
        </is>
      </c>
      <c r="H3" s="664">
        <f>SUM($AM$5:$AM$41)&amp;" of 37"</f>
        <v/>
      </c>
      <c r="I3" s="665">
        <f>IF($B$3="","◀ type in the yellow box - a lot no., a buyer, a lot name... several values: comma or / = ANY of them,  + or &amp; = ALL of them","matching "&amp;SUM($AM$5:$AM$41)&amp;" of 37 lots   •   search: "&amp;$B$3&amp;"   •   in: "&amp;$F$3&amp;"   •   grouped by the value typed, the misses greyed in the REMAINING block")</f>
        <v/>
      </c>
      <c r="AK3" s="596" t="inlineStr">
        <is>
          <t>the text this lot is searched in</t>
        </is>
      </c>
      <c r="AM3" s="596" t="inlineStr">
        <is>
          <t>1 = this lot matches the search box</t>
        </is>
      </c>
      <c r="AO3" s="596" t="inlineStr">
        <is>
          <t>the 'search in' list</t>
        </is>
      </c>
      <c r="AQ3" s="596" t="inlineStr">
        <is>
          <t>the box with &amp; -&gt; + and / -&gt; ,</t>
        </is>
      </c>
      <c r="AR3" t="inlineStr">
        <is>
          <t>term 1 - rows 4..9: text left, delimiter pos, the term, delimiter, running facet, facet no.</t>
        </is>
      </c>
    </row>
    <row r="4" ht="44" customHeight="1">
      <c r="A4" s="666" t="inlineStr">
        <is>
          <t>#</t>
        </is>
      </c>
      <c r="B4" s="667" t="inlineStr">
        <is>
          <t>Lot No.</t>
        </is>
      </c>
      <c r="C4" s="667" t="inlineStr">
        <is>
          <t>Buyer</t>
        </is>
      </c>
      <c r="D4" s="667" t="inlineStr">
        <is>
          <t>Lot Name</t>
        </is>
      </c>
      <c r="E4" s="667" t="inlineStr">
        <is>
          <t>Bid Sheet</t>
        </is>
      </c>
      <c r="F4" s="667" t="inlineStr">
        <is>
          <t>Quantity</t>
        </is>
      </c>
      <c r="G4" s="667" t="inlineStr">
        <is>
          <t>Unit</t>
        </is>
      </c>
      <c r="H4" s="667" t="inlineStr">
        <is>
          <t>Rate</t>
        </is>
      </c>
      <c r="I4" s="667" t="inlineStr">
        <is>
          <t>Mat. Value</t>
        </is>
      </c>
      <c r="J4" s="667" t="inlineStr">
        <is>
          <t>GST</t>
        </is>
      </c>
      <c r="K4" s="667" t="inlineStr">
        <is>
          <t>Mat. Value + GST</t>
        </is>
      </c>
      <c r="L4" s="667" t="inlineStr">
        <is>
          <t>TCS</t>
        </is>
      </c>
      <c r="M4" s="667" t="inlineStr">
        <is>
          <t>TDS u/s 194(O)</t>
        </is>
      </c>
      <c r="N4" s="667" t="inlineStr">
        <is>
          <t>Service Charge to MSTC</t>
        </is>
      </c>
      <c r="O4" s="667" t="inlineStr">
        <is>
          <t>TDS u/s 194(H)</t>
        </is>
      </c>
      <c r="P4" s="667" t="inlineStr">
        <is>
          <t>Net Service Charge (post TDS 194H)</t>
        </is>
      </c>
      <c r="Q4" s="667" t="inlineStr">
        <is>
          <t>Service charge to MSTC</t>
        </is>
      </c>
      <c r="R4" s="667" t="inlineStr">
        <is>
          <t>GST TDS Rate</t>
        </is>
      </c>
      <c r="S4" s="667" t="inlineStr">
        <is>
          <t>GST TDS</t>
        </is>
      </c>
      <c r="T4" s="667" t="inlineStr">
        <is>
          <t>Total Receivables in Cash</t>
        </is>
      </c>
      <c r="U4" s="667" t="inlineStr">
        <is>
          <t>Security Deposit (Expected)</t>
        </is>
      </c>
      <c r="V4" s="667" t="inlineStr">
        <is>
          <t>Security Deposit (Received)</t>
        </is>
      </c>
      <c r="W4" s="667" t="inlineStr">
        <is>
          <t>Date of Receipt (col V)</t>
        </is>
      </c>
      <c r="X4" s="667" t="inlineStr">
        <is>
          <t>Final Payment (Expected)</t>
        </is>
      </c>
      <c r="Y4" s="667" t="inlineStr">
        <is>
          <t>Final Payment (Received)</t>
        </is>
      </c>
      <c r="Z4" s="667" t="inlineStr">
        <is>
          <t>Date of Receipt (col Y)</t>
        </is>
      </c>
      <c r="AA4" s="667" t="inlineStr">
        <is>
          <t>LPP Expected</t>
        </is>
      </c>
      <c r="AB4" s="667" t="inlineStr">
        <is>
          <t>LPP Received</t>
        </is>
      </c>
      <c r="AC4" s="667" t="inlineStr">
        <is>
          <t>Date of Recepit of LPP</t>
        </is>
      </c>
      <c r="AD4" s="667" t="inlineStr">
        <is>
          <t>Total Received</t>
        </is>
      </c>
      <c r="AE4" s="667" t="inlineStr">
        <is>
          <t>Outstanding</t>
        </is>
      </c>
      <c r="AF4" s="667" t="inlineStr">
        <is>
          <t>Invoice No.</t>
        </is>
      </c>
      <c r="AG4" s="667" t="inlineStr">
        <is>
          <t>SAP Document</t>
        </is>
      </c>
      <c r="AH4" s="667" t="inlineStr">
        <is>
          <t>Doc./Invoice Date</t>
        </is>
      </c>
      <c r="AI4" s="668" t="inlineStr">
        <is>
          <t>Payment Status</t>
        </is>
      </c>
      <c r="AO4" t="inlineStr">
        <is>
          <t>Lot No. + Buyer + Name</t>
        </is>
      </c>
      <c r="AQ4">
        <f>SUBSTITUTE(SUBSTITUTE($B$3,"&amp;","+"),"/",",")</f>
        <v/>
      </c>
      <c r="AR4">
        <f>$AQ$4</f>
        <v/>
      </c>
      <c r="AS4">
        <f>IF(OR($AR$4="",$AR$5=99999),"",MID($AR$4,$AR$5+1,99999))</f>
        <v/>
      </c>
      <c r="AT4">
        <f>IF(OR($AS$4="",$AS$5=99999),"",MID($AS$4,$AS$5+1,99999))</f>
        <v/>
      </c>
      <c r="AU4">
        <f>IF(OR($AT$4="",$AT$5=99999),"",MID($AT$4,$AT$5+1,99999))</f>
        <v/>
      </c>
      <c r="AV4">
        <f>IF(OR($AU$4="",$AU$5=99999),"",MID($AU$4,$AU$5+1,99999))</f>
        <v/>
      </c>
      <c r="AW4">
        <f>IF(OR($AV$4="",$AV$5=99999),"",MID($AV$4,$AV$5+1,99999))</f>
        <v/>
      </c>
      <c r="AX4">
        <f>IF(OR($AW$4="",$AW$5=99999),"",MID($AW$4,$AW$5+1,99999))</f>
        <v/>
      </c>
      <c r="AY4">
        <f>IF(OR($AX$4="",$AX$5=99999),"",MID($AX$4,$AX$5+1,99999))</f>
        <v/>
      </c>
      <c r="BD4">
        <f>COUNTIF($AZ$5:$AZ$41,1)</f>
        <v/>
      </c>
      <c r="BE4" t="n">
        <v>5</v>
      </c>
      <c r="BF4">
        <f>IF($BD4=0,0,$BE4+$BD4)</f>
        <v/>
      </c>
      <c r="BG4">
        <f>IF($BD13=0,$BE13,$BF13+1)</f>
        <v/>
      </c>
    </row>
    <row r="5" ht="15" customHeight="1">
      <c r="A5" s="649">
        <f>IF($BJ5&gt;0,INDEX($BA$5:$BA$41,MATCH(5,$BB$5:$BB$41,0)),IF(OR($BI5=1,$BH5&gt;0),"∑",""))</f>
        <v/>
      </c>
      <c r="B5" s="650">
        <f>IF($BJ5&gt;0,IF(INDEX('Final Calculation Sheet'!$F$4:$F$40,$BJ5-3)="","",INDEX('Final Calculation Sheet'!$F$4:$F$40,$BJ5-3)),"")</f>
        <v/>
      </c>
      <c r="C5" s="650">
        <f>IF($BJ5&gt;0,IF(INDEX('Final Calculation Sheet'!$G$4:$G$40,$BJ5-3)="","",INDEX('Final Calculation Sheet'!$G$4:$G$40,$BJ5-3)),IF(OR($BI5=1,$BH5&gt;0),IF($BI5=1,37,INDEX($BD$4:$BD$13,$BH5))&amp;" lot(s)",""))</f>
        <v/>
      </c>
      <c r="D5" s="651">
        <f>IF($BJ5&gt;0,IF(INDEX('Final Calculation Sheet'!$B$4:$B$40,$BJ5-3)="","",INDEX('Final Calculation Sheet'!$B$4:$B$40,$BJ5-3)),IF(OR($BI5=1,$BH5&gt;0),IF($BI5=1,"GRAND TOTAL  —  matching + remaining",IF($BH5=10,"REMAINING  —  did not match the search",IF($BH5=9,"ALL LOTS  —  nothing typed in the box","GROUP "&amp;$BH5&amp;" TOTAL  —  lots matching  "&amp;INDEX($AR$6:$AY$6,$BH5)))),""))</f>
        <v/>
      </c>
      <c r="E5" s="651">
        <f>IF($BJ5&gt;0,IF(INDEX('Final Calculation Sheet'!$D$4:$D$40,$BJ5-3)="","",INDEX('Final Calculation Sheet'!$D$4:$D$40,$BJ5-3)),IF(OR($BI5=1,$BH5&gt;0),"–",""))</f>
        <v/>
      </c>
      <c r="F5" s="651">
        <f>IF($BJ5&gt;0,IF(INDEX('Final Calculation Sheet'!$A$4:$A$40,$BJ5-3)="","",INDEX('Final Calculation Sheet'!$A$4:$A$40,$BJ5-3)),IF($BI5=1,SUM('Final Calculation Sheet'!$A$4:$A$40),IF($BH5&gt;0,SUMIFS('Final Calculation Sheet'!$A$4:$A$40,$AZ$5:$AZ$41,$BH5),"")))</f>
        <v/>
      </c>
      <c r="G5" s="651">
        <f>IF($BJ5&gt;0,IF(INDEX('Final Calculation Sheet'!$E$4:$E$40,$BJ5-3)="","",INDEX('Final Calculation Sheet'!$E$4:$E$40,$BJ5-3)),IF(OR($BI5=1,$BH5&gt;0),"–",""))</f>
        <v/>
      </c>
      <c r="H5" s="652">
        <f>IF($BJ5&gt;0,IF(INDEX('Final Calculation Sheet'!$C$4:$C$40,$BJ5-3)="","",INDEX('Final Calculation Sheet'!$C$4:$C$40,$BJ5-3)),IF(OR($BI5=1,$BH5&gt;0),"–",""))</f>
        <v/>
      </c>
      <c r="I5" s="652">
        <f>IF($BJ5&gt;0,IF(INDEX('Final Calculation Sheet'!$H$4:$H$40,$BJ5-3)="","",INDEX('Final Calculation Sheet'!$H$4:$H$40,$BJ5-3)),IF($BI5=1,SUM('Final Calculation Sheet'!$H$4:$H$40),IF($BH5&gt;0,SUMIFS('Final Calculation Sheet'!$H$4:$H$40,$AZ$5:$AZ$41,$BH5),"")))</f>
        <v/>
      </c>
      <c r="J5" s="652">
        <f>IF($BJ5&gt;0,IF(INDEX('Final Calculation Sheet'!$I$4:$I$40,$BJ5-3)="","",INDEX('Final Calculation Sheet'!$I$4:$I$40,$BJ5-3)),IF($BI5=1,SUM('Final Calculation Sheet'!$I$4:$I$40),IF($BH5&gt;0,SUMIFS('Final Calculation Sheet'!$I$4:$I$40,$AZ$5:$AZ$41,$BH5),"")))</f>
        <v/>
      </c>
      <c r="K5" s="652">
        <f>IF($BJ5&gt;0,IF(INDEX('Final Calculation Sheet'!$J$4:$J$40,$BJ5-3)="","",INDEX('Final Calculation Sheet'!$J$4:$J$40,$BJ5-3)),IF($BI5=1,SUM('Final Calculation Sheet'!$J$4:$J$40),IF($BH5&gt;0,SUMIFS('Final Calculation Sheet'!$J$4:$J$40,$AZ$5:$AZ$41,$BH5),"")))</f>
        <v/>
      </c>
      <c r="L5" s="652">
        <f>IF($BJ5&gt;0,IF(INDEX('Final Calculation Sheet'!$K$4:$K$40,$BJ5-3)="","",INDEX('Final Calculation Sheet'!$K$4:$K$40,$BJ5-3)),IF($BI5=1,SUM('Final Calculation Sheet'!$K$4:$K$40),IF($BH5&gt;0,SUMIFS('Final Calculation Sheet'!$K$4:$K$40,$AZ$5:$AZ$41,$BH5),"")))</f>
        <v/>
      </c>
      <c r="M5" s="652">
        <f>IF($BJ5&gt;0,IF(INDEX('Final Calculation Sheet'!$L$4:$L$40,$BJ5-3)="","",INDEX('Final Calculation Sheet'!$L$4:$L$40,$BJ5-3)),IF($BI5=1,SUM('Final Calculation Sheet'!$L$4:$L$40),IF($BH5&gt;0,SUMIFS('Final Calculation Sheet'!$L$4:$L$40,$AZ$5:$AZ$41,$BH5),"")))</f>
        <v/>
      </c>
      <c r="N5" s="652">
        <f>IF($BJ5&gt;0,IF(INDEX('Final Calculation Sheet'!$M$4:$M$40,$BJ5-3)="","",INDEX('Final Calculation Sheet'!$M$4:$M$40,$BJ5-3)),IF($BI5=1,SUM('Final Calculation Sheet'!$M$4:$M$40),IF($BH5&gt;0,SUMIFS('Final Calculation Sheet'!$M$4:$M$40,$AZ$5:$AZ$41,$BH5),"")))</f>
        <v/>
      </c>
      <c r="O5" s="653">
        <f>IF($BJ5&gt;0,IF(INDEX('Final Calculation Sheet'!$N$4:$N$40,$BJ5-3)="","",INDEX('Final Calculation Sheet'!$N$4:$N$40,$BJ5-3)),IF($BI5=1,SUM('Final Calculation Sheet'!$N$4:$N$40),IF($BH5&gt;0,SUMIFS('Final Calculation Sheet'!$N$4:$N$40,$AZ$5:$AZ$41,$BH5),"")))</f>
        <v/>
      </c>
      <c r="P5" s="652">
        <f>IF($BJ5&gt;0,IF(INDEX('Final Calculation Sheet'!$O$4:$O$40,$BJ5-3)="","",INDEX('Final Calculation Sheet'!$O$4:$O$40,$BJ5-3)),IF($BI5=1,SUM('Final Calculation Sheet'!$O$4:$O$40),IF($BH5&gt;0,SUMIFS('Final Calculation Sheet'!$O$4:$O$40,$AZ$5:$AZ$41,$BH5),"")))</f>
        <v/>
      </c>
      <c r="Q5" s="652">
        <f>IF($BJ5&gt;0,IF(INDEX('Final Calculation Sheet'!$P$4:$P$40,$BJ5-3)="","",INDEX('Final Calculation Sheet'!$P$4:$P$40,$BJ5-3)),IF($BI5=1,SUM('Final Calculation Sheet'!$P$4:$P$40),IF($BH5&gt;0,SUMIFS('Final Calculation Sheet'!$P$4:$P$40,$AZ$5:$AZ$41,$BH5),"")))</f>
        <v/>
      </c>
      <c r="R5" s="654">
        <f>IF($BJ5&gt;0,IF(INDEX('Final Calculation Sheet'!$Q$4:$Q$40,$BJ5-3)="","",INDEX('Final Calculation Sheet'!$Q$4:$Q$40,$BJ5-3)),IF(OR($BI5=1,$BH5&gt;0),"–",""))</f>
        <v/>
      </c>
      <c r="S5" s="652">
        <f>IF($BJ5&gt;0,IF(INDEX('Final Calculation Sheet'!$R$4:$R$40,$BJ5-3)="","",INDEX('Final Calculation Sheet'!$R$4:$R$40,$BJ5-3)),IF($BI5=1,SUM('Final Calculation Sheet'!$R$4:$R$40),IF($BH5&gt;0,SUMIFS('Final Calculation Sheet'!$R$4:$R$40,$AZ$5:$AZ$41,$BH5),"")))</f>
        <v/>
      </c>
      <c r="T5" s="652">
        <f>IF($BJ5&gt;0,IF(INDEX('Final Calculation Sheet'!$S$4:$S$40,$BJ5-3)="","",INDEX('Final Calculation Sheet'!$S$4:$S$40,$BJ5-3)),IF($BI5=1,SUM('Final Calculation Sheet'!$S$4:$S$40),IF($BH5&gt;0,SUMIFS('Final Calculation Sheet'!$S$4:$S$40,$AZ$5:$AZ$41,$BH5),"")))</f>
        <v/>
      </c>
      <c r="U5" s="652">
        <f>IF($BJ5&gt;0,IF(INDEX('Final Calculation Sheet'!$T$4:$T$40,$BJ5-3)="","",INDEX('Final Calculation Sheet'!$T$4:$T$40,$BJ5-3)),IF($BI5=1,SUM('Final Calculation Sheet'!$T$4:$T$40),IF($BH5&gt;0,SUMIFS('Final Calculation Sheet'!$T$4:$T$40,$AZ$5:$AZ$41,$BH5),"")))</f>
        <v/>
      </c>
      <c r="V5" s="655">
        <f>IF($BJ5&gt;0,IF(INDEX('Final Calculation Sheet'!$U$4:$U$40,$BJ5-3)="","",INDEX('Final Calculation Sheet'!$U$4:$U$40,$BJ5-3)),IF($BI5=1,SUM('Final Calculation Sheet'!$U$4:$U$40),IF($BH5&gt;0,SUMIFS('Final Calculation Sheet'!$U$4:$U$40,$AZ$5:$AZ$41,$BH5),"")))</f>
        <v/>
      </c>
      <c r="W5" s="652">
        <f>IF($BJ5&gt;0,IF(INDEX('Final Calculation Sheet'!$V$4:$V$40,$BJ5-3)="","",INDEX('Final Calculation Sheet'!$V$4:$V$40,$BJ5-3)),IF(OR($BI5=1,$BH5&gt;0),"–",""))</f>
        <v/>
      </c>
      <c r="X5" s="652">
        <f>IF($BJ5&gt;0,IF(INDEX('Final Calculation Sheet'!$W$4:$W$40,$BJ5-3)="","",INDEX('Final Calculation Sheet'!$W$4:$W$40,$BJ5-3)),IF($BI5=1,SUM('Final Calculation Sheet'!$W$4:$W$40),IF($BH5&gt;0,SUMIFS('Final Calculation Sheet'!$W$4:$W$40,$AZ$5:$AZ$41,$BH5),"")))</f>
        <v/>
      </c>
      <c r="Y5" s="652">
        <f>IF($BJ5&gt;0,IF(INDEX('Final Calculation Sheet'!$X$4:$X$40,$BJ5-3)="","",INDEX('Final Calculation Sheet'!$X$4:$X$40,$BJ5-3)),IF($BI5=1,SUM('Final Calculation Sheet'!$X$4:$X$40),IF($BH5&gt;0,SUMIFS('Final Calculation Sheet'!$X$4:$X$40,$AZ$5:$AZ$41,$BH5),"")))</f>
        <v/>
      </c>
      <c r="Z5" s="652">
        <f>IF($BJ5&gt;0,IF(INDEX('Final Calculation Sheet'!$Y$4:$Y$40,$BJ5-3)="","",INDEX('Final Calculation Sheet'!$Y$4:$Y$40,$BJ5-3)),IF(OR($BI5=1,$BH5&gt;0),"–",""))</f>
        <v/>
      </c>
      <c r="AA5" s="652">
        <f>IF($BJ5&gt;0,IF(INDEX('Final Calculation Sheet'!$Z$4:$Z$40,$BJ5-3)="","",INDEX('Final Calculation Sheet'!$Z$4:$Z$40,$BJ5-3)),IF($BI5=1,SUM('Final Calculation Sheet'!$Z$4:$Z$40),IF($BH5&gt;0,SUMIFS('Final Calculation Sheet'!$Z$4:$Z$40,$AZ$5:$AZ$41,$BH5),"")))</f>
        <v/>
      </c>
      <c r="AB5" s="652">
        <f>IF($BJ5&gt;0,IF(INDEX('Final Calculation Sheet'!$AA$4:$AA$40,$BJ5-3)="","",INDEX('Final Calculation Sheet'!$AA$4:$AA$40,$BJ5-3)),IF($BI5=1,SUM('Final Calculation Sheet'!$AA$4:$AA$40),IF($BH5&gt;0,SUMIFS('Final Calculation Sheet'!$AA$4:$AA$40,$AZ$5:$AZ$41,$BH5),"")))</f>
        <v/>
      </c>
      <c r="AC5" s="652">
        <f>IF($BJ5&gt;0,IF(INDEX('Final Calculation Sheet'!$AB$4:$AB$40,$BJ5-3)="","",INDEX('Final Calculation Sheet'!$AB$4:$AB$40,$BJ5-3)),IF(OR($BI5=1,$BH5&gt;0),"–",""))</f>
        <v/>
      </c>
      <c r="AD5" s="652">
        <f>IF($BJ5&gt;0,IF(INDEX('Final Calculation Sheet'!$AC$4:$AC$40,$BJ5-3)="","",INDEX('Final Calculation Sheet'!$AC$4:$AC$40,$BJ5-3)),IF($BI5=1,SUM('Final Calculation Sheet'!$AC$4:$AC$40),IF($BH5&gt;0,SUMIFS('Final Calculation Sheet'!$AC$4:$AC$40,$AZ$5:$AZ$41,$BH5),"")))</f>
        <v/>
      </c>
      <c r="AE5" s="652">
        <f>IF($BJ5&gt;0,IF(INDEX('Final Calculation Sheet'!$AD$4:$AD$40,$BJ5-3)="","",INDEX('Final Calculation Sheet'!$AD$4:$AD$40,$BJ5-3)),IF($BI5=1,SUM('Final Calculation Sheet'!$AD$4:$AD$40),IF($BH5&gt;0,SUMIFS('Final Calculation Sheet'!$AD$4:$AD$40,$AZ$5:$AZ$41,$BH5),"")))</f>
        <v/>
      </c>
      <c r="AF5" s="652">
        <f>IF($BJ5&gt;0,IF(INDEX('Final Calculation Sheet'!$AE$4:$AE$40,$BJ5-3)="","",INDEX('Final Calculation Sheet'!$AE$4:$AE$40,$BJ5-3)),IF(OR($BI5=1,$BH5&gt;0),"–",""))</f>
        <v/>
      </c>
      <c r="AG5" s="656">
        <f>IF($BJ5&gt;0,IF(INDEX('Final Calculation Sheet'!$AF$4:$AF$40,$BJ5-3)="","",INDEX('Final Calculation Sheet'!$AF$4:$AF$40,$BJ5-3)),IF(OR($BI5=1,$BH5&gt;0),"–",""))</f>
        <v/>
      </c>
      <c r="AH5" s="652">
        <f>IF($BJ5&gt;0,IF(INDEX('Final Calculation Sheet'!$AG$4:$AG$40,$BJ5-3)="","",INDEX('Final Calculation Sheet'!$AG$4:$AG$40,$BJ5-3)),IF(OR($BI5=1,$BH5&gt;0),"–",""))</f>
        <v/>
      </c>
      <c r="AI5" s="657">
        <f>IF($BJ5&gt;0,IF(INDEX('Final Calculation Sheet'!$AD$4:$AD$40,$BJ5-3)="","",IF(INDEX('Final Calculation Sheet'!$AD$4:$AD$40,$BJ5-3)&lt;=0,"SETTLED","OUTSTANDING")),IF(OR($BI5=1,$BH5&gt;0),IF(IF($BI5=1,SUM('Final Calculation Sheet'!$AD$4:$AD$40),SUMIFS('Final Calculation Sheet'!$AD$4:$AD$40,$AZ$5:$AZ$41,$BH5))&lt;=0,"ALL SETTLED","OUTSTANDING"),""))</f>
        <v/>
      </c>
      <c r="AK5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/>
      </c>
      <c r="AM5">
        <f>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</f>
        <v/>
      </c>
      <c r="AO5" t="inlineStr">
        <is>
          <t>Lot No.</t>
        </is>
      </c>
      <c r="AR5">
        <f>IF($AR$4="",99999,MIN(IFERROR(FIND(",",$AR$4),99999),IFERROR(FIND("+",$AR$4),99999)))</f>
        <v/>
      </c>
      <c r="AS5">
        <f>IF($AS$4="",99999,MIN(IFERROR(FIND(",",$AS$4),99999),IFERROR(FIND("+",$AS$4),99999)))</f>
        <v/>
      </c>
      <c r="AT5">
        <f>IF($AT$4="",99999,MIN(IFERROR(FIND(",",$AT$4),99999),IFERROR(FIND("+",$AT$4),99999)))</f>
        <v/>
      </c>
      <c r="AU5">
        <f>IF($AU$4="",99999,MIN(IFERROR(FIND(",",$AU$4),99999),IFERROR(FIND("+",$AU$4),99999)))</f>
        <v/>
      </c>
      <c r="AV5">
        <f>IF($AV$4="",99999,MIN(IFERROR(FIND(",",$AV$4),99999),IFERROR(FIND("+",$AV$4),99999)))</f>
        <v/>
      </c>
      <c r="AW5">
        <f>IF($AW$4="",99999,MIN(IFERROR(FIND(",",$AW$4),99999),IFERROR(FIND("+",$AW$4),99999)))</f>
        <v/>
      </c>
      <c r="AX5">
        <f>IF($AX$4="",99999,MIN(IFERROR(FIND(",",$AX$4),99999),IFERROR(FIND("+",$AX$4),99999)))</f>
        <v/>
      </c>
      <c r="AY5">
        <f>IF($AY$4="",99999,MIN(IFERROR(FIND(",",$AY$4),99999),IFERROR(FIND("+",$AY$4),99999)))</f>
        <v/>
      </c>
      <c r="AZ5">
        <f>IF($B$3="",9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/>
      </c>
      <c r="BA5">
        <f>SUMPRODUCT(($AZ$5:$AZ$41=$AZ5)*($BC$5:$BC$41&lt;$BC5))+1</f>
        <v/>
      </c>
      <c r="BB5">
        <f>IF(INDEX($BF$4:$BF$13,$AZ5)=0,0,INDEX($BE$4:$BE$13,$AZ5)+$BA5-1)</f>
        <v/>
      </c>
      <c r="BC5" t="n">
        <v>4</v>
      </c>
      <c r="BD5">
        <f>COUNTIF($AZ$5:$AZ$41,2)</f>
        <v/>
      </c>
      <c r="BE5">
        <f>IF($BD4=0,$BE4,$BF4+1)</f>
        <v/>
      </c>
      <c r="BF5">
        <f>IF($BD5=0,0,$BE5+$BD5)</f>
        <v/>
      </c>
      <c r="BH5">
        <f>IFERROR(MATCH(5,$BF$4:$BF$13,0),0)</f>
        <v/>
      </c>
      <c r="BI5">
        <f>IF(5=$BG$4,1,0)</f>
        <v/>
      </c>
      <c r="BJ5">
        <f>IF(OR($BH5&gt;0,$BI5=1),0,IFERROR(INDEX($BC$5:$BC$41,MATCH(5,$BB$5:$BB$41,0)),0))</f>
        <v/>
      </c>
      <c r="BK5">
        <f>IF($BJ5&gt;0,IF(INDEX($AZ$5:$AZ$41,MATCH(5,$BB$5:$BB$41,0))=10,1,0),IF($BH5=10,1,0))</f>
        <v/>
      </c>
    </row>
    <row r="6" ht="15" customHeight="1">
      <c r="A6" s="649">
        <f>IF($BJ6&gt;0,INDEX($BA$5:$BA$41,MATCH(6,$BB$5:$BB$41,0)),IF(OR($BI6=1,$BH6&gt;0),"∑",""))</f>
        <v/>
      </c>
      <c r="B6" s="650">
        <f>IF($BJ6&gt;0,IF(INDEX('Final Calculation Sheet'!$F$4:$F$40,$BJ6-3)="","",INDEX('Final Calculation Sheet'!$F$4:$F$40,$BJ6-3)),"")</f>
        <v/>
      </c>
      <c r="C6" s="650">
        <f>IF($BJ6&gt;0,IF(INDEX('Final Calculation Sheet'!$G$4:$G$40,$BJ6-3)="","",INDEX('Final Calculation Sheet'!$G$4:$G$40,$BJ6-3)),IF(OR($BI6=1,$BH6&gt;0),IF($BI6=1,37,INDEX($BD$4:$BD$13,$BH6))&amp;" lot(s)",""))</f>
        <v/>
      </c>
      <c r="D6" s="651">
        <f>IF($BJ6&gt;0,IF(INDEX('Final Calculation Sheet'!$B$4:$B$40,$BJ6-3)="","",INDEX('Final Calculation Sheet'!$B$4:$B$40,$BJ6-3)),IF(OR($BI6=1,$BH6&gt;0),IF($BI6=1,"GRAND TOTAL  —  matching + remaining",IF($BH6=10,"REMAINING  —  did not match the search",IF($BH6=9,"ALL LOTS  —  nothing typed in the box","GROUP "&amp;$BH6&amp;" TOTAL  —  lots matching  "&amp;INDEX($AR$6:$AY$6,$BH6)))),""))</f>
        <v/>
      </c>
      <c r="E6" s="651">
        <f>IF($BJ6&gt;0,IF(INDEX('Final Calculation Sheet'!$D$4:$D$40,$BJ6-3)="","",INDEX('Final Calculation Sheet'!$D$4:$D$40,$BJ6-3)),IF(OR($BI6=1,$BH6&gt;0),"–",""))</f>
        <v/>
      </c>
      <c r="F6" s="651">
        <f>IF($BJ6&gt;0,IF(INDEX('Final Calculation Sheet'!$A$4:$A$40,$BJ6-3)="","",INDEX('Final Calculation Sheet'!$A$4:$A$40,$BJ6-3)),IF($BI6=1,SUM('Final Calculation Sheet'!$A$4:$A$40),IF($BH6&gt;0,SUMIFS('Final Calculation Sheet'!$A$4:$A$40,$AZ$5:$AZ$41,$BH6),"")))</f>
        <v/>
      </c>
      <c r="G6" s="651">
        <f>IF($BJ6&gt;0,IF(INDEX('Final Calculation Sheet'!$E$4:$E$40,$BJ6-3)="","",INDEX('Final Calculation Sheet'!$E$4:$E$40,$BJ6-3)),IF(OR($BI6=1,$BH6&gt;0),"–",""))</f>
        <v/>
      </c>
      <c r="H6" s="652">
        <f>IF($BJ6&gt;0,IF(INDEX('Final Calculation Sheet'!$C$4:$C$40,$BJ6-3)="","",INDEX('Final Calculation Sheet'!$C$4:$C$40,$BJ6-3)),IF(OR($BI6=1,$BH6&gt;0),"–",""))</f>
        <v/>
      </c>
      <c r="I6" s="652">
        <f>IF($BJ6&gt;0,IF(INDEX('Final Calculation Sheet'!$H$4:$H$40,$BJ6-3)="","",INDEX('Final Calculation Sheet'!$H$4:$H$40,$BJ6-3)),IF($BI6=1,SUM('Final Calculation Sheet'!$H$4:$H$40),IF($BH6&gt;0,SUMIFS('Final Calculation Sheet'!$H$4:$H$40,$AZ$5:$AZ$41,$BH6),"")))</f>
        <v/>
      </c>
      <c r="J6" s="652">
        <f>IF($BJ6&gt;0,IF(INDEX('Final Calculation Sheet'!$I$4:$I$40,$BJ6-3)="","",INDEX('Final Calculation Sheet'!$I$4:$I$40,$BJ6-3)),IF($BI6=1,SUM('Final Calculation Sheet'!$I$4:$I$40),IF($BH6&gt;0,SUMIFS('Final Calculation Sheet'!$I$4:$I$40,$AZ$5:$AZ$41,$BH6),"")))</f>
        <v/>
      </c>
      <c r="K6" s="652">
        <f>IF($BJ6&gt;0,IF(INDEX('Final Calculation Sheet'!$J$4:$J$40,$BJ6-3)="","",INDEX('Final Calculation Sheet'!$J$4:$J$40,$BJ6-3)),IF($BI6=1,SUM('Final Calculation Sheet'!$J$4:$J$40),IF($BH6&gt;0,SUMIFS('Final Calculation Sheet'!$J$4:$J$40,$AZ$5:$AZ$41,$BH6),"")))</f>
        <v/>
      </c>
      <c r="L6" s="652">
        <f>IF($BJ6&gt;0,IF(INDEX('Final Calculation Sheet'!$K$4:$K$40,$BJ6-3)="","",INDEX('Final Calculation Sheet'!$K$4:$K$40,$BJ6-3)),IF($BI6=1,SUM('Final Calculation Sheet'!$K$4:$K$40),IF($BH6&gt;0,SUMIFS('Final Calculation Sheet'!$K$4:$K$40,$AZ$5:$AZ$41,$BH6),"")))</f>
        <v/>
      </c>
      <c r="M6" s="652">
        <f>IF($BJ6&gt;0,IF(INDEX('Final Calculation Sheet'!$L$4:$L$40,$BJ6-3)="","",INDEX('Final Calculation Sheet'!$L$4:$L$40,$BJ6-3)),IF($BI6=1,SUM('Final Calculation Sheet'!$L$4:$L$40),IF($BH6&gt;0,SUMIFS('Final Calculation Sheet'!$L$4:$L$40,$AZ$5:$AZ$41,$BH6),"")))</f>
        <v/>
      </c>
      <c r="N6" s="652">
        <f>IF($BJ6&gt;0,IF(INDEX('Final Calculation Sheet'!$M$4:$M$40,$BJ6-3)="","",INDEX('Final Calculation Sheet'!$M$4:$M$40,$BJ6-3)),IF($BI6=1,SUM('Final Calculation Sheet'!$M$4:$M$40),IF($BH6&gt;0,SUMIFS('Final Calculation Sheet'!$M$4:$M$40,$AZ$5:$AZ$41,$BH6),"")))</f>
        <v/>
      </c>
      <c r="O6" s="653">
        <f>IF($BJ6&gt;0,IF(INDEX('Final Calculation Sheet'!$N$4:$N$40,$BJ6-3)="","",INDEX('Final Calculation Sheet'!$N$4:$N$40,$BJ6-3)),IF($BI6=1,SUM('Final Calculation Sheet'!$N$4:$N$40),IF($BH6&gt;0,SUMIFS('Final Calculation Sheet'!$N$4:$N$40,$AZ$5:$AZ$41,$BH6),"")))</f>
        <v/>
      </c>
      <c r="P6" s="652">
        <f>IF($BJ6&gt;0,IF(INDEX('Final Calculation Sheet'!$O$4:$O$40,$BJ6-3)="","",INDEX('Final Calculation Sheet'!$O$4:$O$40,$BJ6-3)),IF($BI6=1,SUM('Final Calculation Sheet'!$O$4:$O$40),IF($BH6&gt;0,SUMIFS('Final Calculation Sheet'!$O$4:$O$40,$AZ$5:$AZ$41,$BH6),"")))</f>
        <v/>
      </c>
      <c r="Q6" s="652">
        <f>IF($BJ6&gt;0,IF(INDEX('Final Calculation Sheet'!$P$4:$P$40,$BJ6-3)="","",INDEX('Final Calculation Sheet'!$P$4:$P$40,$BJ6-3)),IF($BI6=1,SUM('Final Calculation Sheet'!$P$4:$P$40),IF($BH6&gt;0,SUMIFS('Final Calculation Sheet'!$P$4:$P$40,$AZ$5:$AZ$41,$BH6),"")))</f>
        <v/>
      </c>
      <c r="R6" s="654">
        <f>IF($BJ6&gt;0,IF(INDEX('Final Calculation Sheet'!$Q$4:$Q$40,$BJ6-3)="","",INDEX('Final Calculation Sheet'!$Q$4:$Q$40,$BJ6-3)),IF(OR($BI6=1,$BH6&gt;0),"–",""))</f>
        <v/>
      </c>
      <c r="S6" s="652">
        <f>IF($BJ6&gt;0,IF(INDEX('Final Calculation Sheet'!$R$4:$R$40,$BJ6-3)="","",INDEX('Final Calculation Sheet'!$R$4:$R$40,$BJ6-3)),IF($BI6=1,SUM('Final Calculation Sheet'!$R$4:$R$40),IF($BH6&gt;0,SUMIFS('Final Calculation Sheet'!$R$4:$R$40,$AZ$5:$AZ$41,$BH6),"")))</f>
        <v/>
      </c>
      <c r="T6" s="652">
        <f>IF($BJ6&gt;0,IF(INDEX('Final Calculation Sheet'!$S$4:$S$40,$BJ6-3)="","",INDEX('Final Calculation Sheet'!$S$4:$S$40,$BJ6-3)),IF($BI6=1,SUM('Final Calculation Sheet'!$S$4:$S$40),IF($BH6&gt;0,SUMIFS('Final Calculation Sheet'!$S$4:$S$40,$AZ$5:$AZ$41,$BH6),"")))</f>
        <v/>
      </c>
      <c r="U6" s="652">
        <f>IF($BJ6&gt;0,IF(INDEX('Final Calculation Sheet'!$T$4:$T$40,$BJ6-3)="","",INDEX('Final Calculation Sheet'!$T$4:$T$40,$BJ6-3)),IF($BI6=1,SUM('Final Calculation Sheet'!$T$4:$T$40),IF($BH6&gt;0,SUMIFS('Final Calculation Sheet'!$T$4:$T$40,$AZ$5:$AZ$41,$BH6),"")))</f>
        <v/>
      </c>
      <c r="V6" s="655">
        <f>IF($BJ6&gt;0,IF(INDEX('Final Calculation Sheet'!$U$4:$U$40,$BJ6-3)="","",INDEX('Final Calculation Sheet'!$U$4:$U$40,$BJ6-3)),IF($BI6=1,SUM('Final Calculation Sheet'!$U$4:$U$40),IF($BH6&gt;0,SUMIFS('Final Calculation Sheet'!$U$4:$U$40,$AZ$5:$AZ$41,$BH6),"")))</f>
        <v/>
      </c>
      <c r="W6" s="652">
        <f>IF($BJ6&gt;0,IF(INDEX('Final Calculation Sheet'!$V$4:$V$40,$BJ6-3)="","",INDEX('Final Calculation Sheet'!$V$4:$V$40,$BJ6-3)),IF(OR($BI6=1,$BH6&gt;0),"–",""))</f>
        <v/>
      </c>
      <c r="X6" s="652">
        <f>IF($BJ6&gt;0,IF(INDEX('Final Calculation Sheet'!$W$4:$W$40,$BJ6-3)="","",INDEX('Final Calculation Sheet'!$W$4:$W$40,$BJ6-3)),IF($BI6=1,SUM('Final Calculation Sheet'!$W$4:$W$40),IF($BH6&gt;0,SUMIFS('Final Calculation Sheet'!$W$4:$W$40,$AZ$5:$AZ$41,$BH6),"")))</f>
        <v/>
      </c>
      <c r="Y6" s="652">
        <f>IF($BJ6&gt;0,IF(INDEX('Final Calculation Sheet'!$X$4:$X$40,$BJ6-3)="","",INDEX('Final Calculation Sheet'!$X$4:$X$40,$BJ6-3)),IF($BI6=1,SUM('Final Calculation Sheet'!$X$4:$X$40),IF($BH6&gt;0,SUMIFS('Final Calculation Sheet'!$X$4:$X$40,$AZ$5:$AZ$41,$BH6),"")))</f>
        <v/>
      </c>
      <c r="Z6" s="652">
        <f>IF($BJ6&gt;0,IF(INDEX('Final Calculation Sheet'!$Y$4:$Y$40,$BJ6-3)="","",INDEX('Final Calculation Sheet'!$Y$4:$Y$40,$BJ6-3)),IF(OR($BI6=1,$BH6&gt;0),"–",""))</f>
        <v/>
      </c>
      <c r="AA6" s="652">
        <f>IF($BJ6&gt;0,IF(INDEX('Final Calculation Sheet'!$Z$4:$Z$40,$BJ6-3)="","",INDEX('Final Calculation Sheet'!$Z$4:$Z$40,$BJ6-3)),IF($BI6=1,SUM('Final Calculation Sheet'!$Z$4:$Z$40),IF($BH6&gt;0,SUMIFS('Final Calculation Sheet'!$Z$4:$Z$40,$AZ$5:$AZ$41,$BH6),"")))</f>
        <v/>
      </c>
      <c r="AB6" s="652">
        <f>IF($BJ6&gt;0,IF(INDEX('Final Calculation Sheet'!$AA$4:$AA$40,$BJ6-3)="","",INDEX('Final Calculation Sheet'!$AA$4:$AA$40,$BJ6-3)),IF($BI6=1,SUM('Final Calculation Sheet'!$AA$4:$AA$40),IF($BH6&gt;0,SUMIFS('Final Calculation Sheet'!$AA$4:$AA$40,$AZ$5:$AZ$41,$BH6),"")))</f>
        <v/>
      </c>
      <c r="AC6" s="652">
        <f>IF($BJ6&gt;0,IF(INDEX('Final Calculation Sheet'!$AB$4:$AB$40,$BJ6-3)="","",INDEX('Final Calculation Sheet'!$AB$4:$AB$40,$BJ6-3)),IF(OR($BI6=1,$BH6&gt;0),"–",""))</f>
        <v/>
      </c>
      <c r="AD6" s="652">
        <f>IF($BJ6&gt;0,IF(INDEX('Final Calculation Sheet'!$AC$4:$AC$40,$BJ6-3)="","",INDEX('Final Calculation Sheet'!$AC$4:$AC$40,$BJ6-3)),IF($BI6=1,SUM('Final Calculation Sheet'!$AC$4:$AC$40),IF($BH6&gt;0,SUMIFS('Final Calculation Sheet'!$AC$4:$AC$40,$AZ$5:$AZ$41,$BH6),"")))</f>
        <v/>
      </c>
      <c r="AE6" s="652">
        <f>IF($BJ6&gt;0,IF(INDEX('Final Calculation Sheet'!$AD$4:$AD$40,$BJ6-3)="","",INDEX('Final Calculation Sheet'!$AD$4:$AD$40,$BJ6-3)),IF($BI6=1,SUM('Final Calculation Sheet'!$AD$4:$AD$40),IF($BH6&gt;0,SUMIFS('Final Calculation Sheet'!$AD$4:$AD$40,$AZ$5:$AZ$41,$BH6),"")))</f>
        <v/>
      </c>
      <c r="AF6" s="652">
        <f>IF($BJ6&gt;0,IF(INDEX('Final Calculation Sheet'!$AE$4:$AE$40,$BJ6-3)="","",INDEX('Final Calculation Sheet'!$AE$4:$AE$40,$BJ6-3)),IF(OR($BI6=1,$BH6&gt;0),"–",""))</f>
        <v/>
      </c>
      <c r="AG6" s="656">
        <f>IF($BJ6&gt;0,IF(INDEX('Final Calculation Sheet'!$AF$4:$AF$40,$BJ6-3)="","",INDEX('Final Calculation Sheet'!$AF$4:$AF$40,$BJ6-3)),IF(OR($BI6=1,$BH6&gt;0),"–",""))</f>
        <v/>
      </c>
      <c r="AH6" s="652">
        <f>IF($BJ6&gt;0,IF(INDEX('Final Calculation Sheet'!$AG$4:$AG$40,$BJ6-3)="","",INDEX('Final Calculation Sheet'!$AG$4:$AG$40,$BJ6-3)),IF(OR($BI6=1,$BH6&gt;0),"–",""))</f>
        <v/>
      </c>
      <c r="AI6" s="657">
        <f>IF($BJ6&gt;0,IF(INDEX('Final Calculation Sheet'!$AD$4:$AD$40,$BJ6-3)="","",IF(INDEX('Final Calculation Sheet'!$AD$4:$AD$40,$BJ6-3)&lt;=0,"SETTLED","OUTSTANDING")),IF(OR($BI6=1,$BH6&gt;0),IF(IF($BI6=1,SUM('Final Calculation Sheet'!$AD$4:$AD$40),SUMIFS('Final Calculation Sheet'!$AD$4:$AD$40,$AZ$5:$AZ$41,$BH6))&lt;=0,"ALL SETTLED","OUTSTANDING"),""))</f>
        <v/>
      </c>
      <c r="AK6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/>
      </c>
      <c r="AM6">
        <f>IF($B$3="",1,IF(AND(IF(COUNTIF($AR$9:$AY$9,1)=0,TRUE,SUMPRODUCT(($AR$9:$AY$9=1)*($AR$6:$AY$6&lt;&gt;"")*ISNUMBER(SEARCH($AR$6:$AY$6,$AK6)))&gt;0),IF(COUNTIF($AR$9:$AY$9,2)=0,TRUE,SUMPRODUCT(($AR$9:$AY$9=2)*($AR$6:$AY$6&lt;&gt;"")*ISNUMBER(SEARCH($AR$6:$AY$6,$AK6)))&gt;0),IF(COUNTIF($AR$9:$AY$9,3)=0,TRUE,SUMPRODUCT(($AR$9:$AY$9=3)*($AR$6:$AY$6&lt;&gt;"")*ISNUMBER(SEARCH($AR$6:$AY$6,$AK6)))&gt;0),IF(COUNTIF($AR$9:$AY$9,4)=0,TRUE,SUMPRODUCT(($AR$9:$AY$9=4)*($AR$6:$AY$6&lt;&gt;"")*ISNUMBER(SEARCH($AR$6:$AY$6,$AK6)))&gt;0),IF(COUNTIF($AR$9:$AY$9,5)=0,TRUE,SUMPRODUCT(($AR$9:$AY$9=5)*($AR$6:$AY$6&lt;&gt;"")*ISNUMBER(SEARCH($AR$6:$AY$6,$AK6)))&gt;0),IF(COUNTIF($AR$9:$AY$9,6)=0,TRUE,SUMPRODUCT(($AR$9:$AY$9=6)*($AR$6:$AY$6&lt;&gt;"")*ISNUMBER(SEARCH($AR$6:$AY$6,$AK6)))&gt;0),IF(COUNTIF($AR$9:$AY$9,7)=0,TRUE,SUMPRODUCT(($AR$9:$AY$9=7)*($AR$6:$AY$6&lt;&gt;"")*ISNUMBER(SEARCH($AR$6:$AY$6,$AK6)))&gt;0),IF(COUNTIF($AR$9:$AY$9,8)=0,TRUE,SUMPRODUCT(($AR$9:$AY$9=8)*($AR$6:$AY$6&lt;&gt;"")*ISNUMBER(SEARCH($AR$6:$AY$6,$AK6)))&gt;0)),1,0))</f>
        <v/>
      </c>
      <c r="AO6" t="inlineStr">
        <is>
          <t>Buyer</t>
        </is>
      </c>
      <c r="AR6">
        <f>IF($AR$4="","",IF($AR$5=99999,TRIM($AR$4),TRIM(LEFT($AR$4,$AR$5-1))))</f>
        <v/>
      </c>
      <c r="AS6">
        <f>IF($AS$4="","",IF($AS$5=99999,TRIM($AS$4),TRIM(LEFT($AS$4,$AS$5-1))))</f>
        <v/>
      </c>
      <c r="AT6">
        <f>IF($AT$4="","",IF($AT$5=99999,TRIM($AT$4),TRIM(LEFT($AT$4,$AT$5-1))))</f>
        <v/>
      </c>
      <c r="AU6">
        <f>IF($AU$4="","",IF($AU$5=99999,TRIM($AU$4),TRIM(LEFT($AU$4,$AU$5-1))))</f>
        <v/>
      </c>
      <c r="AV6">
        <f>IF($AV$4="","",IF($AV$5=99999,TRIM($AV$4),TRIM(LEFT($AV$4,$AV$5-1))))</f>
        <v/>
      </c>
      <c r="AW6">
        <f>IF($AW$4="","",IF($AW$5=99999,TRIM($AW$4),TRIM(LEFT($AW$4,$AW$5-1))))</f>
        <v/>
      </c>
      <c r="AX6">
        <f>IF($AX$4="","",IF($AX$5=99999,TRIM($AX$4),TRIM(LEFT($AX$4,$AX$5-1))))</f>
        <v/>
      </c>
      <c r="AY6">
        <f>IF($AY$4="","",IF($AY$5=99999,TRIM($AY$4),TRIM(LEFT($AY$4,$AY$5-1))))</f>
        <v/>
      </c>
      <c r="AZ6">
        <f>IF($B$3="",9,IF($AM6=0,10,IF(AND($AR$6&lt;&gt;"",ISNUMBER(SEARCH($AR$6,$AK6))),1,IF(AND($AS$6&lt;&gt;"",ISNUMBER(SEARCH($AS$6,$AK6))),2,IF(AND($AT$6&lt;&gt;"",ISNUMBER(SEARCH($AT$6,$AK6))),3,IF(AND($AU$6&lt;&gt;"",ISNUMBER(SEARCH($AU$6,$AK6))),4,IF(AND($AV$6&lt;&gt;"",ISNUMBER(SEARCH($AV$6,$AK6))),5,IF(AND($AW$6&lt;&gt;"",ISNUMBER(SEARCH($AW$6,$AK6))),6,IF(AND($AX$6&lt;&gt;"",ISNUMBER(SEARCH($AX$6,$AK6))),7,IF(AND($AY$6&lt;&gt;"",ISNUMBER(SEARCH($AY$6,$AK6))),8,0))))))))))</f>
        <v/>
      </c>
      <c r="BA6">
        <f>SUMPRODUCT(($AZ$5:$AZ$41=$AZ6)*($BC$5:$BC$41&lt;$BC6))+1</f>
        <v/>
      </c>
      <c r="BB6">
        <f>IF(INDEX($BF$4:$BF$13,$AZ6)=0,0,INDEX($BE$4:$BE$13,$AZ6)+$BA6-1)</f>
        <v/>
      </c>
      <c r="BC6" t="n">
        <v>5</v>
      </c>
      <c r="BD6">
        <f>COUNTIF($AZ$5:$AZ$41,3)</f>
        <v/>
      </c>
      <c r="BE6">
        <f>IF($BD5=0,$BE5,$BF5+1)</f>
        <v/>
      </c>
      <c r="BF6">
        <f>IF($BD6=0,0,$BE6+$BD6)</f>
        <v/>
      </c>
      <c r="BH6">
        <f>IFERROR(MATCH(6,$BF$4:$BF$13,0),0)</f>
        <v/>
      </c>
      <c r="BI6">
        <f>IF(6=$BG$4,1,0)</f>
        <v/>
      </c>
      <c r="BJ6">
        <f>IF(OR($BH6&gt;0,$BI6=1),0,IFERROR(INDEX($BC$5:$BC$41,MATCH(6,$BB$5:$BB$41,0)),0))</f>
        <v/>
      </c>
      <c r="BK6">
        <f>IF($BJ6&gt;0,IF(INDEX($AZ$5:$AZ$41,MATCH(6,$BB$5:$BB$41,0))=10,1,0),IF($BH6=10,1,0))</f>
        <v/>
      </c>
    </row>
    <row r="7" ht="15" customHeight="1">
      <c r="A7" s="649">
        <f>IF($BJ7&gt;0,INDEX($BA$5:$BA$41,MATCH(7,$BB$5:$BB$41,0)),IF(OR($BI7=1,$BH7&gt;0),"∑",""))</f>
        <v/>
      </c>
      <c r="B7" s="650">
        <f>IF($BJ7&gt;0,IF(INDEX('Final Calculation Sheet'!$F$4:$F$40,$BJ7-3)="","",INDEX('Final Calculation Sheet'!$F$4:$F$40,$BJ7-3)),"")</f>
        <v/>
      </c>
      <c r="C7" s="650">
        <f>IF($BJ7&gt;0,IF(INDEX('Final Calculation Sheet'!$G$4:$G$40,$BJ7-3)="","",INDEX('Final Calculation Sheet'!$G$4:$G$40,$BJ7-3)),IF(OR($BI7=1,$BH7&gt;0),IF($BI7=1,37,INDEX($BD$4:$BD$13,$BH7))&amp;" lot(s)",""))</f>
        <v/>
      </c>
      <c r="D7" s="651">
        <f>IF($BJ7&gt;0,IF(INDEX('Final Calculation Sheet'!$B$4:$B$40,$BJ7-3)="","",INDEX('Final Calculation Sheet'!$B$4:$B$40,$BJ7-3)),IF(OR($BI7=1,$BH7&gt;0),IF($BI7=1,"GRAND TOTAL  —  matching + remaining",IF($BH7=10,"REMAINING  —  did not match the search",IF($BH7=9,"ALL LOTS  —  nothing typed in the box","GROUP "&amp;$BH7&amp;" TOTAL  —  lots matching  "&amp;INDEX($AR$6:$AY$6,$BH7)))),""))</f>
        <v/>
      </c>
      <c r="E7" s="651">
        <f>IF($BJ7&gt;0,IF(INDEX('Final Calculation Sheet'!$D$4:$D$40,$BJ7-3)="","",INDEX('Final Calculation Sheet'!$D$4:$D$40,$BJ7-3)),IF(OR($BI7=1,$BH7&gt;0),"–",""))</f>
        <v/>
      </c>
      <c r="F7" s="651">
        <f>IF($BJ7&gt;0,IF(INDEX('Final Calculation Sheet'!$A$4:$A$40,$BJ7-3)="","",INDEX('Final Calculation Sheet'!$A$4:$A$40,$BJ7-3)),IF($BI7=1,SUM('Final Calculation Sheet'!$A$4:$A$40),IF($BH7&gt;0,SUMIFS('Final Calculation Sheet'!$A$4:$A$40,$AZ$5:$AZ$41,$BH7),"")))</f>
        <v/>
      </c>
      <c r="G7" s="651">
        <f>IF($BJ7&gt;0,IF(INDEX('Final Calculation Sheet'!$E$4:$E$40,$BJ7-3)="","",INDEX('Final Calculation Sheet'!$E$4:$E$40,$BJ7-3)),IF(OR($BI7=1,$BH7&gt;0),"–",""))</f>
        <v/>
      </c>
      <c r="H7" s="652">
        <f>IF($BJ7&gt;0,IF(INDEX('Final Calculation Sheet'!$C$4:$C$40,$BJ7-3)="","",INDEX('Final Calculation Sheet'!$C$4:$C$40,$BJ7-3)),IF(OR($BI7=1,$BH7&gt;0),"–",""))</f>
        <v/>
      </c>
      <c r="I7" s="652">
        <f>IF($BJ7&gt;0,IF(INDEX('Final Calculation Sheet'!$H$4:$H$40,$BJ7-3)="","",INDEX('Final Calculation Sheet'!$H$4:$H$40,$BJ7-3)),IF($BI7=1,SUM('Final Calculation Sheet'!$H$4:$H$40),IF($BH7&gt;0,SUMIFS('Final Calculation Sheet'!$H$4:$H$40,$AZ$5:$AZ$41,$BH7),"")))</f>
        <v/>
      </c>
      <c r="J7" s="652">
        <f>IF($BJ7&gt;0,IF(INDEX('Final Calculation Sheet'!$I$4:$I$40,$BJ7-3)="","",INDEX('Final Calculation Sheet'!$I$4:$I$40,$BJ7-3)),IF($BI7=1,SUM('Final Calculation Sheet'!$I$4:$I$40),IF($BH7&gt;0,SUMIFS('Final Calculation Sheet'!$I$4:$I$40,$AZ$5:$AZ$41,$BH7),"")))</f>
        <v/>
      </c>
      <c r="K7" s="652">
        <f>IF($BJ7&gt;0,IF(INDEX('Final Calculation Sheet'!$J$4:$J$40,$BJ7-3)="","",INDEX('Final Calculation Sheet'!$J$4:$J$40,$BJ7-3)),IF($BI7=1,SUM('Final Calculation Sheet'!$J$4:$J$40),IF($BH7&gt;0,SUMIFS('Final Calculation Sheet'!$J$4:$J$40,$AZ$5:$AZ$41,$BH7),"")))</f>
        <v/>
      </c>
      <c r="L7" s="652">
        <f>IF($BJ7&gt;0,IF(INDEX('Final Calculation Sheet'!$K$4:$K$40,$BJ7-3)="","",INDEX('Final Calculation Sheet'!$K$4:$K$40,$BJ7-3)),IF($BI7=1,SUM('Final Calculation Sheet'!$K$4:$K$40),IF($BH7&gt;0,SUMIFS('Final Calculation Sheet'!$K$4:$K$40,$AZ$5:$AZ$41,$BH7),"")))</f>
        <v/>
      </c>
      <c r="M7" s="652">
        <f>IF($BJ7&gt;0,IF(INDEX('Final Calculation Sheet'!$L$4:$L$40,$BJ7-3)="","",INDEX('Final Calculation Sheet'!$L$4:$L$40,$BJ7-3)),IF($BI7=1,SUM('Final Calculation Sheet'!$L$4:$L$40),IF($BH7&gt;0,SUMIFS('Final Calculation Sheet'!$L$4:$L$40,$AZ$5:$AZ$41,$BH7),"")))</f>
        <v/>
      </c>
      <c r="N7" s="652">
        <f>IF($BJ7&gt;0,IF(INDEX('Final Calculation Sheet'!$M$4:$M$40,$BJ7-3)="","",INDEX('Final Calculation Sheet'!$M$4:$M$40,$BJ7-3)),IF($BI7=1,SUM('Final Calculation Sheet'!$M$4:$M$40),IF($BH7&gt;0,SUMIFS('Final Calculation Sheet'!$M$4:$M$40,$AZ$5:$AZ$41,$BH7),"")))</f>
        <v/>
      </c>
      <c r="O7" s="653">
        <f>IF($BJ7&gt;0,IF(INDEX('Final Calculation Sheet'!$N$4:$N$40,$BJ7-3)="","",INDEX('Final Calculation Sheet'!$N$4:$N$40,$BJ7-3)),IF($BI7=1,SUM('Final Calculation Sheet'!$N$4:$N$40),IF($BH7&gt;0,SUMIFS('Final Calculation Sheet'!$N$4:$N$40,$AZ$5:$AZ$41,$BH7),"")))</f>
        <v/>
      </c>
      <c r="P7" s="652">
        <f>IF($BJ7&gt;0,IF(INDEX('Final Calculation Sheet'!$O$4:$O$40,$BJ7-3)="","",INDEX('Final Calculation Sheet'!$O$4:$O$40,$BJ7-3)),IF($BI7=1,SUM('Final Calculation Sheet'!$O$4:$O$40),IF($BH7&gt;0,SUMIFS('Final Calculation Sheet'!$O$4:$O$40,$AZ$5:$AZ$41,$BH7),"")))</f>
        <v/>
      </c>
      <c r="Q7" s="652">
        <f>IF($BJ7&gt;0,IF(INDEX('Final Calculation Sheet'!$P$4:$P$40,$BJ7-3)="","",INDEX('Final Calculation Sheet'!$P$4:$P$40,$BJ7-3)),IF($BI7=1,SUM('Final Calculation Sheet'!$P$4:$P$40),IF($BH7&gt;0,SUMIFS('Final Calculation Sheet'!$P$4:$P$40,$AZ$5:$AZ$41,$BH7),"")))</f>
        <v/>
      </c>
      <c r="R7" s="654">
        <f>IF($BJ7&gt;0,IF(INDEX('Final Calculation Sheet'!$Q$4:$Q$40,$BJ7-3)="","",INDEX('Final Calculation Sheet'!$Q$4:$Q$40,$BJ7-3)),IF(OR($BI7=1,$BH7&gt;0),"–",""))</f>
        <v/>
      </c>
      <c r="S7" s="652">
        <f>IF($BJ7&gt;0,IF(INDEX('Final Calculation Sheet'!$R$4:$R$40,$BJ7-3)="","",INDEX('Final Calculation Sheet'!$R$4:$R$40,$BJ7-3)),IF($BI7=1,SUM('Final Calculation Sheet'!$R$4:$R$40),IF($BH7&gt;0,SUMIFS('Final Calculation Sheet'!$R$4:$R$40,$AZ$5:$AZ$41,$BH7),"")))</f>
        <v/>
      </c>
      <c r="T7" s="652">
        <f>IF($BJ7&gt;0,IF(INDEX('Final Calculation Sheet'!$S$4:$S$40,$BJ7-3)="","",INDEX('Final Calculation Sheet'!$S$4:$S$40,$BJ7-3)),IF($BI7=1,SUM('Final Calculation Sheet'!$S$4:$S$40),IF($BH7&gt;0,SUMIFS('Final Calculation Sheet'!$S$4:$S$40,$AZ$5:$AZ$41,$BH7),"")))</f>
        <v/>
      </c>
      <c r="U7" s="652">
        <f>IF($BJ7&gt;0,IF(INDEX('Final Calculation Sheet'!$T$4:$T$40,$BJ7-3)="","",INDEX('Final Calculation Sheet'!$T$4:$T$40,$BJ7-3)),IF($BI7=1,SUM('Final Calculation Sheet'!$T$4:$T$40),IF($BH7&gt;0,SUMIFS('Final Calculation Sheet'!$T$4:$T$40,$AZ$5:$AZ$41,$BH7),"")))</f>
        <v/>
      </c>
      <c r="V7" s="655">
        <f>IF($BJ7&gt;0,IF(INDEX('Final Calculation Sheet'!$U$4:$U$40,$BJ7-3)="","",INDEX('Final Calculation Sheet'!$U$4:$U$40,$BJ7-3)),IF($BI7=1,SUM('Final Calculation Sheet'!$U$4:$U$40),IF($BH7&gt;0,SUMIFS('Final Calculation Sheet'!$U$4:$U$40,$AZ$5:$AZ$41,$BH7),"")))</f>
        <v/>
      </c>
      <c r="W7" s="652">
        <f>IF($BJ7&gt;0,IF(INDEX('Final Calculation Sheet'!$V$4:$V$40,$BJ7-3)="","",INDEX('Final Calculation Sheet'!$V$4:$V$40,$BJ7-3)),IF(OR($BI7=1,$BH7&gt;0),"–",""))</f>
        <v/>
      </c>
      <c r="X7" s="652">
        <f>IF($BJ7&gt;0,IF(INDEX('Final Calculation Sheet'!$W$4:$W$40,$BJ7-3)="","",INDEX('Final Calculation Sheet'!$W$4:$W$40,$BJ7-3)),IF($BI7=1,SUM('Final Calculation Sheet'!$W$4:$W$40),IF($BH7&gt;0,SUMIFS('Final Calculation Sheet'!$W$4:$W$40,$AZ$5:$AZ$41,$BH7),"")))</f>
        <v/>
      </c>
      <c r="Y7" s="652">
        <f>IF($BJ7&gt;0,IF(INDEX('Final Calculation Sheet'!$X$4:$X$40,$BJ7-3)="","",INDEX('Final Calculation Sheet'!$X$4:$X$40,$BJ7-3)),IF($BI7=1,SUM('Final Calculation Sheet'!$X$4:$X$40),IF($BH7&gt;0,SUMIFS('Final Calculation Sheet'!$X$4:$X$40,$AZ$5:$AZ$41,$BH7),"")))</f>
        <v/>
      </c>
      <c r="Z7" s="652">
        <f>IF($BJ7&gt;0,IF(INDEX('Final Calculation Sheet'!$Y$4:$Y$40,$BJ7-3)="","",INDEX('Final Calculation Sheet'!$Y$4:$Y$40,$BJ7-3)),IF(OR($BI7=1,$BH7&gt;0),"–",""))</f>
        <v/>
      </c>
      <c r="AA7" s="652">
        <f>IF($BJ7&gt;0,IF(INDEX('Final Calculation Sheet'!$Z$4:$Z$40,$BJ7-3)="","",INDEX('Final Calculation Sheet'!$Z$4:$Z$40,$BJ7-3)),IF($BI7=1,SUM('Final Calculation Sheet'!$Z$4:$Z$40),IF($BH7&gt;0,SUMIFS('Final Calculation Sheet'!$Z$4:$Z$40,$AZ$5:$AZ$41,$BH7),"")))</f>
        <v/>
      </c>
      <c r="AB7" s="652">
        <f>IF($BJ7&gt;0,IF(INDEX('Final Calculation Sheet'!$AA$4:$AA$40,$BJ7-3)="","",INDEX('Final Calculation Sheet'!$AA$4:$AA$40,$BJ7-3)),IF($BI7=1,SUM('Final Calculation Sheet'!$AA$4:$AA$40),IF($BH7&gt;0,SUMIFS('Final Calculation Sheet'!$AA$4:$AA$40,$AZ$5:$AZ$41,$BH7),"")))</f>
        <v/>
      </c>
      <c r="AC7" s="652">
        <f>IF($BJ7&gt;0,IF(INDEX('Final Calculation Sheet'!$AB$4:$AB$40,$BJ7-3)="","",INDEX('Final Calculation Sheet'!$AB$4:$AB$40,$BJ7-3)),IF(OR($BI7=1,$BH7&gt;0),"–",""))</f>
        <v/>
      </c>
      <c r="AD7" s="652">
        <f>IF($BJ7&gt;0,IF(INDEX('Final Calculation Sheet'!$AC$4:$AC$40,$BJ7-3)="","",INDEX('Final Calculation Sheet'!$AC$4:$AC$40,$BJ7-3)),IF($BI7=1,SUM('Final Calculation Sheet'!$AC$4:$AC$40),IF($BH7&gt;0,SUMIFS('Final Calculation Sheet'!$AC$4:$AC$40,$AZ$5:$AZ$41,$BH7),"")))</f>
        <v/>
      </c>
      <c r="AE7" s="652">
        <f>IF($BJ7&gt;0,IF(INDEX('Final Calculation Sheet'!$AD$4:$AD$40,$BJ7-3)="","",INDEX('Final Calculation Sheet'!$AD$4:$AD$40,$BJ7-3)),IF($BI7=1,SUM('Final Calculation Sheet'!$AD$4:$AD$40),IF($BH7&gt;0,SUMIFS('Final Calculation Sheet'!$AD$4:$AD$40,$AZ$5:$AZ$41,$BH7),"")))</f>
        <v/>
      </c>
      <c r="AF7" s="652">
        <f>IF($BJ7&gt;0,IF(INDEX('Final Calculation Sheet'!$AE$4:$AE$40,$BJ7-3)="","",INDEX('Final Calculation Sheet'!$AE$4:$AE$40,$BJ7-3)),IF(OR($BI7=1,$BH7&gt;0),"–",""))</f>
        <v/>
      </c>
      <c r="AG7" s="656">
        <f>IF($BJ7&gt;0,IF(INDEX('Final Calculation Sheet'!$AF$4:$AF$40,$BJ7-3)="","",INDEX('Final Calculation Sheet'!$AF$4:$AF$40,$BJ7-3)),IF(OR($BI7=1,$BH7&gt;0),"–",""))</f>
        <v/>
      </c>
      <c r="AH7" s="652">
        <f>IF($BJ7&gt;0,IF(INDEX('Final Calculation Sheet'!$AG$4:$AG$40,$BJ7-3)="","",INDEX('Final Calculation Sheet'!$AG$4:$AG$40,$BJ7-3)),IF(OR($BI7=1,$BH7&gt;0),"–",""))</f>
        <v/>
      </c>
      <c r="AI7" s="657">
        <f>IF($BJ7&gt;0,IF(INDEX('Final Calculation Sheet'!$AD$4:$AD$40,$BJ7-3)="","",IF(INDEX('Final Calculation Sheet'!$AD$4:$AD$40,$BJ7-3)&lt;=0,"SETTLED","OUTSTANDING")),IF(OR($BI7=1,$BH7&gt;0),IF(IF($BI7=1,SUM('Final Calculation Sheet'!$AD$4:$AD$40),SUMIFS('Final Calculation Sheet'!$AD$4:$AD$40,$AZ$5:$AZ$41,$BH7))&lt;=0,"ALL SETTLED","OUTSTANDING"),""))</f>
        <v/>
      </c>
      <c r="AK7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/>
      </c>
      <c r="AM7">
        <f>IF($B$3="",1,IF(AND(IF(COUNTIF($AR$9:$AY$9,1)=0,TRUE,SUMPRODUCT(($AR$9:$AY$9=1)*($AR$6:$AY$6&lt;&gt;"")*ISNUMBER(SEARCH($AR$6:$AY$6,$AK7)))&gt;0),IF(COUNTIF($AR$9:$AY$9,2)=0,TRUE,SUMPRODUCT(($AR$9:$AY$9=2)*($AR$6:$AY$6&lt;&gt;"")*ISNUMBER(SEARCH($AR$6:$AY$6,$AK7)))&gt;0),IF(COUNTIF($AR$9:$AY$9,3)=0,TRUE,SUMPRODUCT(($AR$9:$AY$9=3)*($AR$6:$AY$6&lt;&gt;"")*ISNUMBER(SEARCH($AR$6:$AY$6,$AK7)))&gt;0),IF(COUNTIF($AR$9:$AY$9,4)=0,TRUE,SUMPRODUCT(($AR$9:$AY$9=4)*($AR$6:$AY$6&lt;&gt;"")*ISNUMBER(SEARCH($AR$6:$AY$6,$AK7)))&gt;0),IF(COUNTIF($AR$9:$AY$9,5)=0,TRUE,SUMPRODUCT(($AR$9:$AY$9=5)*($AR$6:$AY$6&lt;&gt;"")*ISNUMBER(SEARCH($AR$6:$AY$6,$AK7)))&gt;0),IF(COUNTIF($AR$9:$AY$9,6)=0,TRUE,SUMPRODUCT(($AR$9:$AY$9=6)*($AR$6:$AY$6&lt;&gt;"")*ISNUMBER(SEARCH($AR$6:$AY$6,$AK7)))&gt;0),IF(COUNTIF($AR$9:$AY$9,7)=0,TRUE,SUMPRODUCT(($AR$9:$AY$9=7)*($AR$6:$AY$6&lt;&gt;"")*ISNUMBER(SEARCH($AR$6:$AY$6,$AK7)))&gt;0),IF(COUNTIF($AR$9:$AY$9,8)=0,TRUE,SUMPRODUCT(($AR$9:$AY$9=8)*($AR$6:$AY$6&lt;&gt;"")*ISNUMBER(SEARCH($AR$6:$AY$6,$AK7)))&gt;0)),1,0))</f>
        <v/>
      </c>
      <c r="AO7" t="inlineStr">
        <is>
          <t>Lot Name</t>
        </is>
      </c>
      <c r="AR7">
        <f>IF($AR$4="","",IF($AR$5=99999,"",MID($AR$4,$AR$5,1)))</f>
        <v/>
      </c>
      <c r="AS7">
        <f>IF($AS$4="","",IF($AS$5=99999,"",MID($AS$4,$AS$5,1)))</f>
        <v/>
      </c>
      <c r="AT7">
        <f>IF($AT$4="","",IF($AT$5=99999,"",MID($AT$4,$AT$5,1)))</f>
        <v/>
      </c>
      <c r="AU7">
        <f>IF($AU$4="","",IF($AU$5=99999,"",MID($AU$4,$AU$5,1)))</f>
        <v/>
      </c>
      <c r="AV7">
        <f>IF($AV$4="","",IF($AV$5=99999,"",MID($AV$4,$AV$5,1)))</f>
        <v/>
      </c>
      <c r="AW7">
        <f>IF($AW$4="","",IF($AW$5=99999,"",MID($AW$4,$AW$5,1)))</f>
        <v/>
      </c>
      <c r="AX7">
        <f>IF($AX$4="","",IF($AX$5=99999,"",MID($AX$4,$AX$5,1)))</f>
        <v/>
      </c>
      <c r="AY7">
        <f>IF($AY$4="","",IF($AY$5=99999,"",MID($AY$4,$AY$5,1)))</f>
        <v/>
      </c>
      <c r="AZ7">
        <f>IF($B$3="",9,IF($AM7=0,10,IF(AND($AR$6&lt;&gt;"",ISNUMBER(SEARCH($AR$6,$AK7))),1,IF(AND($AS$6&lt;&gt;"",ISNUMBER(SEARCH($AS$6,$AK7))),2,IF(AND($AT$6&lt;&gt;"",ISNUMBER(SEARCH($AT$6,$AK7))),3,IF(AND($AU$6&lt;&gt;"",ISNUMBER(SEARCH($AU$6,$AK7))),4,IF(AND($AV$6&lt;&gt;"",ISNUMBER(SEARCH($AV$6,$AK7))),5,IF(AND($AW$6&lt;&gt;"",ISNUMBER(SEARCH($AW$6,$AK7))),6,IF(AND($AX$6&lt;&gt;"",ISNUMBER(SEARCH($AX$6,$AK7))),7,IF(AND($AY$6&lt;&gt;"",ISNUMBER(SEARCH($AY$6,$AK7))),8,0))))))))))</f>
        <v/>
      </c>
      <c r="BA7">
        <f>SUMPRODUCT(($AZ$5:$AZ$41=$AZ7)*($BC$5:$BC$41&lt;$BC7))+1</f>
        <v/>
      </c>
      <c r="BB7">
        <f>IF(INDEX($BF$4:$BF$13,$AZ7)=0,0,INDEX($BE$4:$BE$13,$AZ7)+$BA7-1)</f>
        <v/>
      </c>
      <c r="BC7" t="n">
        <v>6</v>
      </c>
      <c r="BD7">
        <f>COUNTIF($AZ$5:$AZ$41,4)</f>
        <v/>
      </c>
      <c r="BE7">
        <f>IF($BD6=0,$BE6,$BF6+1)</f>
        <v/>
      </c>
      <c r="BF7">
        <f>IF($BD7=0,0,$BE7+$BD7)</f>
        <v/>
      </c>
      <c r="BH7">
        <f>IFERROR(MATCH(7,$BF$4:$BF$13,0),0)</f>
        <v/>
      </c>
      <c r="BI7">
        <f>IF(7=$BG$4,1,0)</f>
        <v/>
      </c>
      <c r="BJ7">
        <f>IF(OR($BH7&gt;0,$BI7=1),0,IFERROR(INDEX($BC$5:$BC$41,MATCH(7,$BB$5:$BB$41,0)),0))</f>
        <v/>
      </c>
      <c r="BK7">
        <f>IF($BJ7&gt;0,IF(INDEX($AZ$5:$AZ$41,MATCH(7,$BB$5:$BB$41,0))=10,1,0),IF($BH7=10,1,0))</f>
        <v/>
      </c>
    </row>
    <row r="8" ht="15" customHeight="1">
      <c r="A8" s="649">
        <f>IF($BJ8&gt;0,INDEX($BA$5:$BA$41,MATCH(8,$BB$5:$BB$41,0)),IF(OR($BI8=1,$BH8&gt;0),"∑",""))</f>
        <v/>
      </c>
      <c r="B8" s="650">
        <f>IF($BJ8&gt;0,IF(INDEX('Final Calculation Sheet'!$F$4:$F$40,$BJ8-3)="","",INDEX('Final Calculation Sheet'!$F$4:$F$40,$BJ8-3)),"")</f>
        <v/>
      </c>
      <c r="C8" s="650">
        <f>IF($BJ8&gt;0,IF(INDEX('Final Calculation Sheet'!$G$4:$G$40,$BJ8-3)="","",INDEX('Final Calculation Sheet'!$G$4:$G$40,$BJ8-3)),IF(OR($BI8=1,$BH8&gt;0),IF($BI8=1,37,INDEX($BD$4:$BD$13,$BH8))&amp;" lot(s)",""))</f>
        <v/>
      </c>
      <c r="D8" s="651">
        <f>IF($BJ8&gt;0,IF(INDEX('Final Calculation Sheet'!$B$4:$B$40,$BJ8-3)="","",INDEX('Final Calculation Sheet'!$B$4:$B$40,$BJ8-3)),IF(OR($BI8=1,$BH8&gt;0),IF($BI8=1,"GRAND TOTAL  —  matching + remaining",IF($BH8=10,"REMAINING  —  did not match the search",IF($BH8=9,"ALL LOTS  —  nothing typed in the box","GROUP "&amp;$BH8&amp;" TOTAL  —  lots matching  "&amp;INDEX($AR$6:$AY$6,$BH8)))),""))</f>
        <v/>
      </c>
      <c r="E8" s="651">
        <f>IF($BJ8&gt;0,IF(INDEX('Final Calculation Sheet'!$D$4:$D$40,$BJ8-3)="","",INDEX('Final Calculation Sheet'!$D$4:$D$40,$BJ8-3)),IF(OR($BI8=1,$BH8&gt;0),"–",""))</f>
        <v/>
      </c>
      <c r="F8" s="651">
        <f>IF($BJ8&gt;0,IF(INDEX('Final Calculation Sheet'!$A$4:$A$40,$BJ8-3)="","",INDEX('Final Calculation Sheet'!$A$4:$A$40,$BJ8-3)),IF($BI8=1,SUM('Final Calculation Sheet'!$A$4:$A$40),IF($BH8&gt;0,SUMIFS('Final Calculation Sheet'!$A$4:$A$40,$AZ$5:$AZ$41,$BH8),"")))</f>
        <v/>
      </c>
      <c r="G8" s="651">
        <f>IF($BJ8&gt;0,IF(INDEX('Final Calculation Sheet'!$E$4:$E$40,$BJ8-3)="","",INDEX('Final Calculation Sheet'!$E$4:$E$40,$BJ8-3)),IF(OR($BI8=1,$BH8&gt;0),"–",""))</f>
        <v/>
      </c>
      <c r="H8" s="652">
        <f>IF($BJ8&gt;0,IF(INDEX('Final Calculation Sheet'!$C$4:$C$40,$BJ8-3)="","",INDEX('Final Calculation Sheet'!$C$4:$C$40,$BJ8-3)),IF(OR($BI8=1,$BH8&gt;0),"–",""))</f>
        <v/>
      </c>
      <c r="I8" s="652">
        <f>IF($BJ8&gt;0,IF(INDEX('Final Calculation Sheet'!$H$4:$H$40,$BJ8-3)="","",INDEX('Final Calculation Sheet'!$H$4:$H$40,$BJ8-3)),IF($BI8=1,SUM('Final Calculation Sheet'!$H$4:$H$40),IF($BH8&gt;0,SUMIFS('Final Calculation Sheet'!$H$4:$H$40,$AZ$5:$AZ$41,$BH8),"")))</f>
        <v/>
      </c>
      <c r="J8" s="652">
        <f>IF($BJ8&gt;0,IF(INDEX('Final Calculation Sheet'!$I$4:$I$40,$BJ8-3)="","",INDEX('Final Calculation Sheet'!$I$4:$I$40,$BJ8-3)),IF($BI8=1,SUM('Final Calculation Sheet'!$I$4:$I$40),IF($BH8&gt;0,SUMIFS('Final Calculation Sheet'!$I$4:$I$40,$AZ$5:$AZ$41,$BH8),"")))</f>
        <v/>
      </c>
      <c r="K8" s="652">
        <f>IF($BJ8&gt;0,IF(INDEX('Final Calculation Sheet'!$J$4:$J$40,$BJ8-3)="","",INDEX('Final Calculation Sheet'!$J$4:$J$40,$BJ8-3)),IF($BI8=1,SUM('Final Calculation Sheet'!$J$4:$J$40),IF($BH8&gt;0,SUMIFS('Final Calculation Sheet'!$J$4:$J$40,$AZ$5:$AZ$41,$BH8),"")))</f>
        <v/>
      </c>
      <c r="L8" s="652">
        <f>IF($BJ8&gt;0,IF(INDEX('Final Calculation Sheet'!$K$4:$K$40,$BJ8-3)="","",INDEX('Final Calculation Sheet'!$K$4:$K$40,$BJ8-3)),IF($BI8=1,SUM('Final Calculation Sheet'!$K$4:$K$40),IF($BH8&gt;0,SUMIFS('Final Calculation Sheet'!$K$4:$K$40,$AZ$5:$AZ$41,$BH8),"")))</f>
        <v/>
      </c>
      <c r="M8" s="652">
        <f>IF($BJ8&gt;0,IF(INDEX('Final Calculation Sheet'!$L$4:$L$40,$BJ8-3)="","",INDEX('Final Calculation Sheet'!$L$4:$L$40,$BJ8-3)),IF($BI8=1,SUM('Final Calculation Sheet'!$L$4:$L$40),IF($BH8&gt;0,SUMIFS('Final Calculation Sheet'!$L$4:$L$40,$AZ$5:$AZ$41,$BH8),"")))</f>
        <v/>
      </c>
      <c r="N8" s="652">
        <f>IF($BJ8&gt;0,IF(INDEX('Final Calculation Sheet'!$M$4:$M$40,$BJ8-3)="","",INDEX('Final Calculation Sheet'!$M$4:$M$40,$BJ8-3)),IF($BI8=1,SUM('Final Calculation Sheet'!$M$4:$M$40),IF($BH8&gt;0,SUMIFS('Final Calculation Sheet'!$M$4:$M$40,$AZ$5:$AZ$41,$BH8),"")))</f>
        <v/>
      </c>
      <c r="O8" s="653">
        <f>IF($BJ8&gt;0,IF(INDEX('Final Calculation Sheet'!$N$4:$N$40,$BJ8-3)="","",INDEX('Final Calculation Sheet'!$N$4:$N$40,$BJ8-3)),IF($BI8=1,SUM('Final Calculation Sheet'!$N$4:$N$40),IF($BH8&gt;0,SUMIFS('Final Calculation Sheet'!$N$4:$N$40,$AZ$5:$AZ$41,$BH8),"")))</f>
        <v/>
      </c>
      <c r="P8" s="652">
        <f>IF($BJ8&gt;0,IF(INDEX('Final Calculation Sheet'!$O$4:$O$40,$BJ8-3)="","",INDEX('Final Calculation Sheet'!$O$4:$O$40,$BJ8-3)),IF($BI8=1,SUM('Final Calculation Sheet'!$O$4:$O$40),IF($BH8&gt;0,SUMIFS('Final Calculation Sheet'!$O$4:$O$40,$AZ$5:$AZ$41,$BH8),"")))</f>
        <v/>
      </c>
      <c r="Q8" s="652">
        <f>IF($BJ8&gt;0,IF(INDEX('Final Calculation Sheet'!$P$4:$P$40,$BJ8-3)="","",INDEX('Final Calculation Sheet'!$P$4:$P$40,$BJ8-3)),IF($BI8=1,SUM('Final Calculation Sheet'!$P$4:$P$40),IF($BH8&gt;0,SUMIFS('Final Calculation Sheet'!$P$4:$P$40,$AZ$5:$AZ$41,$BH8),"")))</f>
        <v/>
      </c>
      <c r="R8" s="654">
        <f>IF($BJ8&gt;0,IF(INDEX('Final Calculation Sheet'!$Q$4:$Q$40,$BJ8-3)="","",INDEX('Final Calculation Sheet'!$Q$4:$Q$40,$BJ8-3)),IF(OR($BI8=1,$BH8&gt;0),"–",""))</f>
        <v/>
      </c>
      <c r="S8" s="652">
        <f>IF($BJ8&gt;0,IF(INDEX('Final Calculation Sheet'!$R$4:$R$40,$BJ8-3)="","",INDEX('Final Calculation Sheet'!$R$4:$R$40,$BJ8-3)),IF($BI8=1,SUM('Final Calculation Sheet'!$R$4:$R$40),IF($BH8&gt;0,SUMIFS('Final Calculation Sheet'!$R$4:$R$40,$AZ$5:$AZ$41,$BH8),"")))</f>
        <v/>
      </c>
      <c r="T8" s="652">
        <f>IF($BJ8&gt;0,IF(INDEX('Final Calculation Sheet'!$S$4:$S$40,$BJ8-3)="","",INDEX('Final Calculation Sheet'!$S$4:$S$40,$BJ8-3)),IF($BI8=1,SUM('Final Calculation Sheet'!$S$4:$S$40),IF($BH8&gt;0,SUMIFS('Final Calculation Sheet'!$S$4:$S$40,$AZ$5:$AZ$41,$BH8),"")))</f>
        <v/>
      </c>
      <c r="U8" s="652">
        <f>IF($BJ8&gt;0,IF(INDEX('Final Calculation Sheet'!$T$4:$T$40,$BJ8-3)="","",INDEX('Final Calculation Sheet'!$T$4:$T$40,$BJ8-3)),IF($BI8=1,SUM('Final Calculation Sheet'!$T$4:$T$40),IF($BH8&gt;0,SUMIFS('Final Calculation Sheet'!$T$4:$T$40,$AZ$5:$AZ$41,$BH8),"")))</f>
        <v/>
      </c>
      <c r="V8" s="655">
        <f>IF($BJ8&gt;0,IF(INDEX('Final Calculation Sheet'!$U$4:$U$40,$BJ8-3)="","",INDEX('Final Calculation Sheet'!$U$4:$U$40,$BJ8-3)),IF($BI8=1,SUM('Final Calculation Sheet'!$U$4:$U$40),IF($BH8&gt;0,SUMIFS('Final Calculation Sheet'!$U$4:$U$40,$AZ$5:$AZ$41,$BH8),"")))</f>
        <v/>
      </c>
      <c r="W8" s="652">
        <f>IF($BJ8&gt;0,IF(INDEX('Final Calculation Sheet'!$V$4:$V$40,$BJ8-3)="","",INDEX('Final Calculation Sheet'!$V$4:$V$40,$BJ8-3)),IF(OR($BI8=1,$BH8&gt;0),"–",""))</f>
        <v/>
      </c>
      <c r="X8" s="652">
        <f>IF($BJ8&gt;0,IF(INDEX('Final Calculation Sheet'!$W$4:$W$40,$BJ8-3)="","",INDEX('Final Calculation Sheet'!$W$4:$W$40,$BJ8-3)),IF($BI8=1,SUM('Final Calculation Sheet'!$W$4:$W$40),IF($BH8&gt;0,SUMIFS('Final Calculation Sheet'!$W$4:$W$40,$AZ$5:$AZ$41,$BH8),"")))</f>
        <v/>
      </c>
      <c r="Y8" s="652">
        <f>IF($BJ8&gt;0,IF(INDEX('Final Calculation Sheet'!$X$4:$X$40,$BJ8-3)="","",INDEX('Final Calculation Sheet'!$X$4:$X$40,$BJ8-3)),IF($BI8=1,SUM('Final Calculation Sheet'!$X$4:$X$40),IF($BH8&gt;0,SUMIFS('Final Calculation Sheet'!$X$4:$X$40,$AZ$5:$AZ$41,$BH8),"")))</f>
        <v/>
      </c>
      <c r="Z8" s="652">
        <f>IF($BJ8&gt;0,IF(INDEX('Final Calculation Sheet'!$Y$4:$Y$40,$BJ8-3)="","",INDEX('Final Calculation Sheet'!$Y$4:$Y$40,$BJ8-3)),IF(OR($BI8=1,$BH8&gt;0),"–",""))</f>
        <v/>
      </c>
      <c r="AA8" s="652">
        <f>IF($BJ8&gt;0,IF(INDEX('Final Calculation Sheet'!$Z$4:$Z$40,$BJ8-3)="","",INDEX('Final Calculation Sheet'!$Z$4:$Z$40,$BJ8-3)),IF($BI8=1,SUM('Final Calculation Sheet'!$Z$4:$Z$40),IF($BH8&gt;0,SUMIFS('Final Calculation Sheet'!$Z$4:$Z$40,$AZ$5:$AZ$41,$BH8),"")))</f>
        <v/>
      </c>
      <c r="AB8" s="652">
        <f>IF($BJ8&gt;0,IF(INDEX('Final Calculation Sheet'!$AA$4:$AA$40,$BJ8-3)="","",INDEX('Final Calculation Sheet'!$AA$4:$AA$40,$BJ8-3)),IF($BI8=1,SUM('Final Calculation Sheet'!$AA$4:$AA$40),IF($BH8&gt;0,SUMIFS('Final Calculation Sheet'!$AA$4:$AA$40,$AZ$5:$AZ$41,$BH8),"")))</f>
        <v/>
      </c>
      <c r="AC8" s="652">
        <f>IF($BJ8&gt;0,IF(INDEX('Final Calculation Sheet'!$AB$4:$AB$40,$BJ8-3)="","",INDEX('Final Calculation Sheet'!$AB$4:$AB$40,$BJ8-3)),IF(OR($BI8=1,$BH8&gt;0),"–",""))</f>
        <v/>
      </c>
      <c r="AD8" s="652">
        <f>IF($BJ8&gt;0,IF(INDEX('Final Calculation Sheet'!$AC$4:$AC$40,$BJ8-3)="","",INDEX('Final Calculation Sheet'!$AC$4:$AC$40,$BJ8-3)),IF($BI8=1,SUM('Final Calculation Sheet'!$AC$4:$AC$40),IF($BH8&gt;0,SUMIFS('Final Calculation Sheet'!$AC$4:$AC$40,$AZ$5:$AZ$41,$BH8),"")))</f>
        <v/>
      </c>
      <c r="AE8" s="652">
        <f>IF($BJ8&gt;0,IF(INDEX('Final Calculation Sheet'!$AD$4:$AD$40,$BJ8-3)="","",INDEX('Final Calculation Sheet'!$AD$4:$AD$40,$BJ8-3)),IF($BI8=1,SUM('Final Calculation Sheet'!$AD$4:$AD$40),IF($BH8&gt;0,SUMIFS('Final Calculation Sheet'!$AD$4:$AD$40,$AZ$5:$AZ$41,$BH8),"")))</f>
        <v/>
      </c>
      <c r="AF8" s="652">
        <f>IF($BJ8&gt;0,IF(INDEX('Final Calculation Sheet'!$AE$4:$AE$40,$BJ8-3)="","",INDEX('Final Calculation Sheet'!$AE$4:$AE$40,$BJ8-3)),IF(OR($BI8=1,$BH8&gt;0),"–",""))</f>
        <v/>
      </c>
      <c r="AG8" s="656">
        <f>IF($BJ8&gt;0,IF(INDEX('Final Calculation Sheet'!$AF$4:$AF$40,$BJ8-3)="","",INDEX('Final Calculation Sheet'!$AF$4:$AF$40,$BJ8-3)),IF(OR($BI8=1,$BH8&gt;0),"–",""))</f>
        <v/>
      </c>
      <c r="AH8" s="652">
        <f>IF($BJ8&gt;0,IF(INDEX('Final Calculation Sheet'!$AG$4:$AG$40,$BJ8-3)="","",INDEX('Final Calculation Sheet'!$AG$4:$AG$40,$BJ8-3)),IF(OR($BI8=1,$BH8&gt;0),"–",""))</f>
        <v/>
      </c>
      <c r="AI8" s="657">
        <f>IF($BJ8&gt;0,IF(INDEX('Final Calculation Sheet'!$AD$4:$AD$40,$BJ8-3)="","",IF(INDEX('Final Calculation Sheet'!$AD$4:$AD$40,$BJ8-3)&lt;=0,"SETTLED","OUTSTANDING")),IF(OR($BI8=1,$BH8&gt;0),IF(IF($BI8=1,SUM('Final Calculation Sheet'!$AD$4:$AD$40),SUMIFS('Final Calculation Sheet'!$AD$4:$AD$40,$AZ$5:$AZ$41,$BH8))&lt;=0,"ALL SETTLED","OUTSTANDING"),""))</f>
        <v/>
      </c>
      <c r="AK8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/>
      </c>
      <c r="AM8">
        <f>IF($B$3="",1,IF(AND(IF(COUNTIF($AR$9:$AY$9,1)=0,TRUE,SUMPRODUCT(($AR$9:$AY$9=1)*($AR$6:$AY$6&lt;&gt;"")*ISNUMBER(SEARCH($AR$6:$AY$6,$AK8)))&gt;0),IF(COUNTIF($AR$9:$AY$9,2)=0,TRUE,SUMPRODUCT(($AR$9:$AY$9=2)*($AR$6:$AY$6&lt;&gt;"")*ISNUMBER(SEARCH($AR$6:$AY$6,$AK8)))&gt;0),IF(COUNTIF($AR$9:$AY$9,3)=0,TRUE,SUMPRODUCT(($AR$9:$AY$9=3)*($AR$6:$AY$6&lt;&gt;"")*ISNUMBER(SEARCH($AR$6:$AY$6,$AK8)))&gt;0),IF(COUNTIF($AR$9:$AY$9,4)=0,TRUE,SUMPRODUCT(($AR$9:$AY$9=4)*($AR$6:$AY$6&lt;&gt;"")*ISNUMBER(SEARCH($AR$6:$AY$6,$AK8)))&gt;0),IF(COUNTIF($AR$9:$AY$9,5)=0,TRUE,SUMPRODUCT(($AR$9:$AY$9=5)*($AR$6:$AY$6&lt;&gt;"")*ISNUMBER(SEARCH($AR$6:$AY$6,$AK8)))&gt;0),IF(COUNTIF($AR$9:$AY$9,6)=0,TRUE,SUMPRODUCT(($AR$9:$AY$9=6)*($AR$6:$AY$6&lt;&gt;"")*ISNUMBER(SEARCH($AR$6:$AY$6,$AK8)))&gt;0),IF(COUNTIF($AR$9:$AY$9,7)=0,TRUE,SUMPRODUCT(($AR$9:$AY$9=7)*($AR$6:$AY$6&lt;&gt;"")*ISNUMBER(SEARCH($AR$6:$AY$6,$AK8)))&gt;0),IF(COUNTIF($AR$9:$AY$9,8)=0,TRUE,SUMPRODUCT(($AR$9:$AY$9=8)*($AR$6:$AY$6&lt;&gt;"")*ISNUMBER(SEARCH($AR$6:$AY$6,$AK8)))&gt;0)),1,0))</f>
        <v/>
      </c>
      <c r="AO8" t="inlineStr">
        <is>
          <t>Bid Sheet</t>
        </is>
      </c>
      <c r="AR8" t="n">
        <v>1</v>
      </c>
      <c r="AS8">
        <f>IF($AR$7="+",$AR$8+1,$AR$8)</f>
        <v/>
      </c>
      <c r="AT8">
        <f>IF($AS$7="+",$AS$8+1,$AS$8)</f>
        <v/>
      </c>
      <c r="AU8">
        <f>IF($AT$7="+",$AT$8+1,$AT$8)</f>
        <v/>
      </c>
      <c r="AV8">
        <f>IF($AU$7="+",$AU$8+1,$AU$8)</f>
        <v/>
      </c>
      <c r="AW8">
        <f>IF($AV$7="+",$AV$8+1,$AV$8)</f>
        <v/>
      </c>
      <c r="AX8">
        <f>IF($AW$7="+",$AW$8+1,$AW$8)</f>
        <v/>
      </c>
      <c r="AY8">
        <f>IF($AX$7="+",$AX$8+1,$AX$8)</f>
        <v/>
      </c>
      <c r="AZ8">
        <f>IF($B$3="",9,IF($AM8=0,10,IF(AND($AR$6&lt;&gt;"",ISNUMBER(SEARCH($AR$6,$AK8))),1,IF(AND($AS$6&lt;&gt;"",ISNUMBER(SEARCH($AS$6,$AK8))),2,IF(AND($AT$6&lt;&gt;"",ISNUMBER(SEARCH($AT$6,$AK8))),3,IF(AND($AU$6&lt;&gt;"",ISNUMBER(SEARCH($AU$6,$AK8))),4,IF(AND($AV$6&lt;&gt;"",ISNUMBER(SEARCH($AV$6,$AK8))),5,IF(AND($AW$6&lt;&gt;"",ISNUMBER(SEARCH($AW$6,$AK8))),6,IF(AND($AX$6&lt;&gt;"",ISNUMBER(SEARCH($AX$6,$AK8))),7,IF(AND($AY$6&lt;&gt;"",ISNUMBER(SEARCH($AY$6,$AK8))),8,0))))))))))</f>
        <v/>
      </c>
      <c r="BA8">
        <f>SUMPRODUCT(($AZ$5:$AZ$41=$AZ8)*($BC$5:$BC$41&lt;$BC8))+1</f>
        <v/>
      </c>
      <c r="BB8">
        <f>IF(INDEX($BF$4:$BF$13,$AZ8)=0,0,INDEX($BE$4:$BE$13,$AZ8)+$BA8-1)</f>
        <v/>
      </c>
      <c r="BC8" t="n">
        <v>7</v>
      </c>
      <c r="BD8">
        <f>COUNTIF($AZ$5:$AZ$41,5)</f>
        <v/>
      </c>
      <c r="BE8">
        <f>IF($BD7=0,$BE7,$BF7+1)</f>
        <v/>
      </c>
      <c r="BF8">
        <f>IF($BD8=0,0,$BE8+$BD8)</f>
        <v/>
      </c>
      <c r="BH8">
        <f>IFERROR(MATCH(8,$BF$4:$BF$13,0),0)</f>
        <v/>
      </c>
      <c r="BI8">
        <f>IF(8=$BG$4,1,0)</f>
        <v/>
      </c>
      <c r="BJ8">
        <f>IF(OR($BH8&gt;0,$BI8=1),0,IFERROR(INDEX($BC$5:$BC$41,MATCH(8,$BB$5:$BB$41,0)),0))</f>
        <v/>
      </c>
      <c r="BK8">
        <f>IF($BJ8&gt;0,IF(INDEX($AZ$5:$AZ$41,MATCH(8,$BB$5:$BB$41,0))=10,1,0),IF($BH8=10,1,0))</f>
        <v/>
      </c>
    </row>
    <row r="9" ht="15" customHeight="1">
      <c r="A9" s="649">
        <f>IF($BJ9&gt;0,INDEX($BA$5:$BA$41,MATCH(9,$BB$5:$BB$41,0)),IF(OR($BI9=1,$BH9&gt;0),"∑",""))</f>
        <v/>
      </c>
      <c r="B9" s="650">
        <f>IF($BJ9&gt;0,IF(INDEX('Final Calculation Sheet'!$F$4:$F$40,$BJ9-3)="","",INDEX('Final Calculation Sheet'!$F$4:$F$40,$BJ9-3)),"")</f>
        <v/>
      </c>
      <c r="C9" s="650">
        <f>IF($BJ9&gt;0,IF(INDEX('Final Calculation Sheet'!$G$4:$G$40,$BJ9-3)="","",INDEX('Final Calculation Sheet'!$G$4:$G$40,$BJ9-3)),IF(OR($BI9=1,$BH9&gt;0),IF($BI9=1,37,INDEX($BD$4:$BD$13,$BH9))&amp;" lot(s)",""))</f>
        <v/>
      </c>
      <c r="D9" s="651">
        <f>IF($BJ9&gt;0,IF(INDEX('Final Calculation Sheet'!$B$4:$B$40,$BJ9-3)="","",INDEX('Final Calculation Sheet'!$B$4:$B$40,$BJ9-3)),IF(OR($BI9=1,$BH9&gt;0),IF($BI9=1,"GRAND TOTAL  —  matching + remaining",IF($BH9=10,"REMAINING  —  did not match the search",IF($BH9=9,"ALL LOTS  —  nothing typed in the box","GROUP "&amp;$BH9&amp;" TOTAL  —  lots matching  "&amp;INDEX($AR$6:$AY$6,$BH9)))),""))</f>
        <v/>
      </c>
      <c r="E9" s="651">
        <f>IF($BJ9&gt;0,IF(INDEX('Final Calculation Sheet'!$D$4:$D$40,$BJ9-3)="","",INDEX('Final Calculation Sheet'!$D$4:$D$40,$BJ9-3)),IF(OR($BI9=1,$BH9&gt;0),"–",""))</f>
        <v/>
      </c>
      <c r="F9" s="651">
        <f>IF($BJ9&gt;0,IF(INDEX('Final Calculation Sheet'!$A$4:$A$40,$BJ9-3)="","",INDEX('Final Calculation Sheet'!$A$4:$A$40,$BJ9-3)),IF($BI9=1,SUM('Final Calculation Sheet'!$A$4:$A$40),IF($BH9&gt;0,SUMIFS('Final Calculation Sheet'!$A$4:$A$40,$AZ$5:$AZ$41,$BH9),"")))</f>
        <v/>
      </c>
      <c r="G9" s="651">
        <f>IF($BJ9&gt;0,IF(INDEX('Final Calculation Sheet'!$E$4:$E$40,$BJ9-3)="","",INDEX('Final Calculation Sheet'!$E$4:$E$40,$BJ9-3)),IF(OR($BI9=1,$BH9&gt;0),"–",""))</f>
        <v/>
      </c>
      <c r="H9" s="652">
        <f>IF($BJ9&gt;0,IF(INDEX('Final Calculation Sheet'!$C$4:$C$40,$BJ9-3)="","",INDEX('Final Calculation Sheet'!$C$4:$C$40,$BJ9-3)),IF(OR($BI9=1,$BH9&gt;0),"–",""))</f>
        <v/>
      </c>
      <c r="I9" s="652">
        <f>IF($BJ9&gt;0,IF(INDEX('Final Calculation Sheet'!$H$4:$H$40,$BJ9-3)="","",INDEX('Final Calculation Sheet'!$H$4:$H$40,$BJ9-3)),IF($BI9=1,SUM('Final Calculation Sheet'!$H$4:$H$40),IF($BH9&gt;0,SUMIFS('Final Calculation Sheet'!$H$4:$H$40,$AZ$5:$AZ$41,$BH9),"")))</f>
        <v/>
      </c>
      <c r="J9" s="652">
        <f>IF($BJ9&gt;0,IF(INDEX('Final Calculation Sheet'!$I$4:$I$40,$BJ9-3)="","",INDEX('Final Calculation Sheet'!$I$4:$I$40,$BJ9-3)),IF($BI9=1,SUM('Final Calculation Sheet'!$I$4:$I$40),IF($BH9&gt;0,SUMIFS('Final Calculation Sheet'!$I$4:$I$40,$AZ$5:$AZ$41,$BH9),"")))</f>
        <v/>
      </c>
      <c r="K9" s="652">
        <f>IF($BJ9&gt;0,IF(INDEX('Final Calculation Sheet'!$J$4:$J$40,$BJ9-3)="","",INDEX('Final Calculation Sheet'!$J$4:$J$40,$BJ9-3)),IF($BI9=1,SUM('Final Calculation Sheet'!$J$4:$J$40),IF($BH9&gt;0,SUMIFS('Final Calculation Sheet'!$J$4:$J$40,$AZ$5:$AZ$41,$BH9),"")))</f>
        <v/>
      </c>
      <c r="L9" s="652">
        <f>IF($BJ9&gt;0,IF(INDEX('Final Calculation Sheet'!$K$4:$K$40,$BJ9-3)="","",INDEX('Final Calculation Sheet'!$K$4:$K$40,$BJ9-3)),IF($BI9=1,SUM('Final Calculation Sheet'!$K$4:$K$40),IF($BH9&gt;0,SUMIFS('Final Calculation Sheet'!$K$4:$K$40,$AZ$5:$AZ$41,$BH9),"")))</f>
        <v/>
      </c>
      <c r="M9" s="652">
        <f>IF($BJ9&gt;0,IF(INDEX('Final Calculation Sheet'!$L$4:$L$40,$BJ9-3)="","",INDEX('Final Calculation Sheet'!$L$4:$L$40,$BJ9-3)),IF($BI9=1,SUM('Final Calculation Sheet'!$L$4:$L$40),IF($BH9&gt;0,SUMIFS('Final Calculation Sheet'!$L$4:$L$40,$AZ$5:$AZ$41,$BH9),"")))</f>
        <v/>
      </c>
      <c r="N9" s="652">
        <f>IF($BJ9&gt;0,IF(INDEX('Final Calculation Sheet'!$M$4:$M$40,$BJ9-3)="","",INDEX('Final Calculation Sheet'!$M$4:$M$40,$BJ9-3)),IF($BI9=1,SUM('Final Calculation Sheet'!$M$4:$M$40),IF($BH9&gt;0,SUMIFS('Final Calculation Sheet'!$M$4:$M$40,$AZ$5:$AZ$41,$BH9),"")))</f>
        <v/>
      </c>
      <c r="O9" s="653">
        <f>IF($BJ9&gt;0,IF(INDEX('Final Calculation Sheet'!$N$4:$N$40,$BJ9-3)="","",INDEX('Final Calculation Sheet'!$N$4:$N$40,$BJ9-3)),IF($BI9=1,SUM('Final Calculation Sheet'!$N$4:$N$40),IF($BH9&gt;0,SUMIFS('Final Calculation Sheet'!$N$4:$N$40,$AZ$5:$AZ$41,$BH9),"")))</f>
        <v/>
      </c>
      <c r="P9" s="652">
        <f>IF($BJ9&gt;0,IF(INDEX('Final Calculation Sheet'!$O$4:$O$40,$BJ9-3)="","",INDEX('Final Calculation Sheet'!$O$4:$O$40,$BJ9-3)),IF($BI9=1,SUM('Final Calculation Sheet'!$O$4:$O$40),IF($BH9&gt;0,SUMIFS('Final Calculation Sheet'!$O$4:$O$40,$AZ$5:$AZ$41,$BH9),"")))</f>
        <v/>
      </c>
      <c r="Q9" s="652">
        <f>IF($BJ9&gt;0,IF(INDEX('Final Calculation Sheet'!$P$4:$P$40,$BJ9-3)="","",INDEX('Final Calculation Sheet'!$P$4:$P$40,$BJ9-3)),IF($BI9=1,SUM('Final Calculation Sheet'!$P$4:$P$40),IF($BH9&gt;0,SUMIFS('Final Calculation Sheet'!$P$4:$P$40,$AZ$5:$AZ$41,$BH9),"")))</f>
        <v/>
      </c>
      <c r="R9" s="654">
        <f>IF($BJ9&gt;0,IF(INDEX('Final Calculation Sheet'!$Q$4:$Q$40,$BJ9-3)="","",INDEX('Final Calculation Sheet'!$Q$4:$Q$40,$BJ9-3)),IF(OR($BI9=1,$BH9&gt;0),"–",""))</f>
        <v/>
      </c>
      <c r="S9" s="652">
        <f>IF($BJ9&gt;0,IF(INDEX('Final Calculation Sheet'!$R$4:$R$40,$BJ9-3)="","",INDEX('Final Calculation Sheet'!$R$4:$R$40,$BJ9-3)),IF($BI9=1,SUM('Final Calculation Sheet'!$R$4:$R$40),IF($BH9&gt;0,SUMIFS('Final Calculation Sheet'!$R$4:$R$40,$AZ$5:$AZ$41,$BH9),"")))</f>
        <v/>
      </c>
      <c r="T9" s="652">
        <f>IF($BJ9&gt;0,IF(INDEX('Final Calculation Sheet'!$S$4:$S$40,$BJ9-3)="","",INDEX('Final Calculation Sheet'!$S$4:$S$40,$BJ9-3)),IF($BI9=1,SUM('Final Calculation Sheet'!$S$4:$S$40),IF($BH9&gt;0,SUMIFS('Final Calculation Sheet'!$S$4:$S$40,$AZ$5:$AZ$41,$BH9),"")))</f>
        <v/>
      </c>
      <c r="U9" s="652">
        <f>IF($BJ9&gt;0,IF(INDEX('Final Calculation Sheet'!$T$4:$T$40,$BJ9-3)="","",INDEX('Final Calculation Sheet'!$T$4:$T$40,$BJ9-3)),IF($BI9=1,SUM('Final Calculation Sheet'!$T$4:$T$40),IF($BH9&gt;0,SUMIFS('Final Calculation Sheet'!$T$4:$T$40,$AZ$5:$AZ$41,$BH9),"")))</f>
        <v/>
      </c>
      <c r="V9" s="655">
        <f>IF($BJ9&gt;0,IF(INDEX('Final Calculation Sheet'!$U$4:$U$40,$BJ9-3)="","",INDEX('Final Calculation Sheet'!$U$4:$U$40,$BJ9-3)),IF($BI9=1,SUM('Final Calculation Sheet'!$U$4:$U$40),IF($BH9&gt;0,SUMIFS('Final Calculation Sheet'!$U$4:$U$40,$AZ$5:$AZ$41,$BH9),"")))</f>
        <v/>
      </c>
      <c r="W9" s="652">
        <f>IF($BJ9&gt;0,IF(INDEX('Final Calculation Sheet'!$V$4:$V$40,$BJ9-3)="","",INDEX('Final Calculation Sheet'!$V$4:$V$40,$BJ9-3)),IF(OR($BI9=1,$BH9&gt;0),"–",""))</f>
        <v/>
      </c>
      <c r="X9" s="652">
        <f>IF($BJ9&gt;0,IF(INDEX('Final Calculation Sheet'!$W$4:$W$40,$BJ9-3)="","",INDEX('Final Calculation Sheet'!$W$4:$W$40,$BJ9-3)),IF($BI9=1,SUM('Final Calculation Sheet'!$W$4:$W$40),IF($BH9&gt;0,SUMIFS('Final Calculation Sheet'!$W$4:$W$40,$AZ$5:$AZ$41,$BH9),"")))</f>
        <v/>
      </c>
      <c r="Y9" s="652">
        <f>IF($BJ9&gt;0,IF(INDEX('Final Calculation Sheet'!$X$4:$X$40,$BJ9-3)="","",INDEX('Final Calculation Sheet'!$X$4:$X$40,$BJ9-3)),IF($BI9=1,SUM('Final Calculation Sheet'!$X$4:$X$40),IF($BH9&gt;0,SUMIFS('Final Calculation Sheet'!$X$4:$X$40,$AZ$5:$AZ$41,$BH9),"")))</f>
        <v/>
      </c>
      <c r="Z9" s="652">
        <f>IF($BJ9&gt;0,IF(INDEX('Final Calculation Sheet'!$Y$4:$Y$40,$BJ9-3)="","",INDEX('Final Calculation Sheet'!$Y$4:$Y$40,$BJ9-3)),IF(OR($BI9=1,$BH9&gt;0),"–",""))</f>
        <v/>
      </c>
      <c r="AA9" s="652">
        <f>IF($BJ9&gt;0,IF(INDEX('Final Calculation Sheet'!$Z$4:$Z$40,$BJ9-3)="","",INDEX('Final Calculation Sheet'!$Z$4:$Z$40,$BJ9-3)),IF($BI9=1,SUM('Final Calculation Sheet'!$Z$4:$Z$40),IF($BH9&gt;0,SUMIFS('Final Calculation Sheet'!$Z$4:$Z$40,$AZ$5:$AZ$41,$BH9),"")))</f>
        <v/>
      </c>
      <c r="AB9" s="652">
        <f>IF($BJ9&gt;0,IF(INDEX('Final Calculation Sheet'!$AA$4:$AA$40,$BJ9-3)="","",INDEX('Final Calculation Sheet'!$AA$4:$AA$40,$BJ9-3)),IF($BI9=1,SUM('Final Calculation Sheet'!$AA$4:$AA$40),IF($BH9&gt;0,SUMIFS('Final Calculation Sheet'!$AA$4:$AA$40,$AZ$5:$AZ$41,$BH9),"")))</f>
        <v/>
      </c>
      <c r="AC9" s="652">
        <f>IF($BJ9&gt;0,IF(INDEX('Final Calculation Sheet'!$AB$4:$AB$40,$BJ9-3)="","",INDEX('Final Calculation Sheet'!$AB$4:$AB$40,$BJ9-3)),IF(OR($BI9=1,$BH9&gt;0),"–",""))</f>
        <v/>
      </c>
      <c r="AD9" s="652">
        <f>IF($BJ9&gt;0,IF(INDEX('Final Calculation Sheet'!$AC$4:$AC$40,$BJ9-3)="","",INDEX('Final Calculation Sheet'!$AC$4:$AC$40,$BJ9-3)),IF($BI9=1,SUM('Final Calculation Sheet'!$AC$4:$AC$40),IF($BH9&gt;0,SUMIFS('Final Calculation Sheet'!$AC$4:$AC$40,$AZ$5:$AZ$41,$BH9),"")))</f>
        <v/>
      </c>
      <c r="AE9" s="652">
        <f>IF($BJ9&gt;0,IF(INDEX('Final Calculation Sheet'!$AD$4:$AD$40,$BJ9-3)="","",INDEX('Final Calculation Sheet'!$AD$4:$AD$40,$BJ9-3)),IF($BI9=1,SUM('Final Calculation Sheet'!$AD$4:$AD$40),IF($BH9&gt;0,SUMIFS('Final Calculation Sheet'!$AD$4:$AD$40,$AZ$5:$AZ$41,$BH9),"")))</f>
        <v/>
      </c>
      <c r="AF9" s="652">
        <f>IF($BJ9&gt;0,IF(INDEX('Final Calculation Sheet'!$AE$4:$AE$40,$BJ9-3)="","",INDEX('Final Calculation Sheet'!$AE$4:$AE$40,$BJ9-3)),IF(OR($BI9=1,$BH9&gt;0),"–",""))</f>
        <v/>
      </c>
      <c r="AG9" s="656">
        <f>IF($BJ9&gt;0,IF(INDEX('Final Calculation Sheet'!$AF$4:$AF$40,$BJ9-3)="","",INDEX('Final Calculation Sheet'!$AF$4:$AF$40,$BJ9-3)),IF(OR($BI9=1,$BH9&gt;0),"–",""))</f>
        <v/>
      </c>
      <c r="AH9" s="652">
        <f>IF($BJ9&gt;0,IF(INDEX('Final Calculation Sheet'!$AG$4:$AG$40,$BJ9-3)="","",INDEX('Final Calculation Sheet'!$AG$4:$AG$40,$BJ9-3)),IF(OR($BI9=1,$BH9&gt;0),"–",""))</f>
        <v/>
      </c>
      <c r="AI9" s="657">
        <f>IF($BJ9&gt;0,IF(INDEX('Final Calculation Sheet'!$AD$4:$AD$40,$BJ9-3)="","",IF(INDEX('Final Calculation Sheet'!$AD$4:$AD$40,$BJ9-3)&lt;=0,"SETTLED","OUTSTANDING")),IF(OR($BI9=1,$BH9&gt;0),IF(IF($BI9=1,SUM('Final Calculation Sheet'!$AD$4:$AD$40),SUMIFS('Final Calculation Sheet'!$AD$4:$AD$40,$AZ$5:$AZ$41,$BH9))&lt;=0,"ALL SETTLED","OUTSTANDING"),""))</f>
        <v/>
      </c>
      <c r="AK9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/>
      </c>
      <c r="AM9">
        <f>IF($B$3="",1,IF(AND(IF(COUNTIF($AR$9:$AY$9,1)=0,TRUE,SUMPRODUCT(($AR$9:$AY$9=1)*($AR$6:$AY$6&lt;&gt;"")*ISNUMBER(SEARCH($AR$6:$AY$6,$AK9)))&gt;0),IF(COUNTIF($AR$9:$AY$9,2)=0,TRUE,SUMPRODUCT(($AR$9:$AY$9=2)*($AR$6:$AY$6&lt;&gt;"")*ISNUMBER(SEARCH($AR$6:$AY$6,$AK9)))&gt;0),IF(COUNTIF($AR$9:$AY$9,3)=0,TRUE,SUMPRODUCT(($AR$9:$AY$9=3)*($AR$6:$AY$6&lt;&gt;"")*ISNUMBER(SEARCH($AR$6:$AY$6,$AK9)))&gt;0),IF(COUNTIF($AR$9:$AY$9,4)=0,TRUE,SUMPRODUCT(($AR$9:$AY$9=4)*($AR$6:$AY$6&lt;&gt;"")*ISNUMBER(SEARCH($AR$6:$AY$6,$AK9)))&gt;0),IF(COUNTIF($AR$9:$AY$9,5)=0,TRUE,SUMPRODUCT(($AR$9:$AY$9=5)*($AR$6:$AY$6&lt;&gt;"")*ISNUMBER(SEARCH($AR$6:$AY$6,$AK9)))&gt;0),IF(COUNTIF($AR$9:$AY$9,6)=0,TRUE,SUMPRODUCT(($AR$9:$AY$9=6)*($AR$6:$AY$6&lt;&gt;"")*ISNUMBER(SEARCH($AR$6:$AY$6,$AK9)))&gt;0),IF(COUNTIF($AR$9:$AY$9,7)=0,TRUE,SUMPRODUCT(($AR$9:$AY$9=7)*($AR$6:$AY$6&lt;&gt;"")*ISNUMBER(SEARCH($AR$6:$AY$6,$AK9)))&gt;0),IF(COUNTIF($AR$9:$AY$9,8)=0,TRUE,SUMPRODUCT(($AR$9:$AY$9=8)*($AR$6:$AY$6&lt;&gt;"")*ISNUMBER(SEARCH($AR$6:$AY$6,$AK9)))&gt;0)),1,0))</f>
        <v/>
      </c>
      <c r="AO9" t="inlineStr">
        <is>
          <t>Unit</t>
        </is>
      </c>
      <c r="AR9">
        <f>IF($AR$6="",0,$AR$8)</f>
        <v/>
      </c>
      <c r="AS9">
        <f>IF($AS$6="",0,$AS$8)</f>
        <v/>
      </c>
      <c r="AT9">
        <f>IF($AT$6="",0,$AT$8)</f>
        <v/>
      </c>
      <c r="AU9">
        <f>IF($AU$6="",0,$AU$8)</f>
        <v/>
      </c>
      <c r="AV9">
        <f>IF($AV$6="",0,$AV$8)</f>
        <v/>
      </c>
      <c r="AW9">
        <f>IF($AW$6="",0,$AW$8)</f>
        <v/>
      </c>
      <c r="AX9">
        <f>IF($AX$6="",0,$AX$8)</f>
        <v/>
      </c>
      <c r="AY9">
        <f>IF($AY$6="",0,$AY$8)</f>
        <v/>
      </c>
      <c r="AZ9">
        <f>IF($B$3="",9,IF($AM9=0,10,IF(AND($AR$6&lt;&gt;"",ISNUMBER(SEARCH($AR$6,$AK9))),1,IF(AND($AS$6&lt;&gt;"",ISNUMBER(SEARCH($AS$6,$AK9))),2,IF(AND($AT$6&lt;&gt;"",ISNUMBER(SEARCH($AT$6,$AK9))),3,IF(AND($AU$6&lt;&gt;"",ISNUMBER(SEARCH($AU$6,$AK9))),4,IF(AND($AV$6&lt;&gt;"",ISNUMBER(SEARCH($AV$6,$AK9))),5,IF(AND($AW$6&lt;&gt;"",ISNUMBER(SEARCH($AW$6,$AK9))),6,IF(AND($AX$6&lt;&gt;"",ISNUMBER(SEARCH($AX$6,$AK9))),7,IF(AND($AY$6&lt;&gt;"",ISNUMBER(SEARCH($AY$6,$AK9))),8,0))))))))))</f>
        <v/>
      </c>
      <c r="BA9">
        <f>SUMPRODUCT(($AZ$5:$AZ$41=$AZ9)*($BC$5:$BC$41&lt;$BC9))+1</f>
        <v/>
      </c>
      <c r="BB9">
        <f>IF(INDEX($BF$4:$BF$13,$AZ9)=0,0,INDEX($BE$4:$BE$13,$AZ9)+$BA9-1)</f>
        <v/>
      </c>
      <c r="BC9" t="n">
        <v>8</v>
      </c>
      <c r="BD9">
        <f>COUNTIF($AZ$5:$AZ$41,6)</f>
        <v/>
      </c>
      <c r="BE9">
        <f>IF($BD8=0,$BE8,$BF8+1)</f>
        <v/>
      </c>
      <c r="BF9">
        <f>IF($BD9=0,0,$BE9+$BD9)</f>
        <v/>
      </c>
      <c r="BH9">
        <f>IFERROR(MATCH(9,$BF$4:$BF$13,0),0)</f>
        <v/>
      </c>
      <c r="BI9">
        <f>IF(9=$BG$4,1,0)</f>
        <v/>
      </c>
      <c r="BJ9">
        <f>IF(OR($BH9&gt;0,$BI9=1),0,IFERROR(INDEX($BC$5:$BC$41,MATCH(9,$BB$5:$BB$41,0)),0))</f>
        <v/>
      </c>
      <c r="BK9">
        <f>IF($BJ9&gt;0,IF(INDEX($AZ$5:$AZ$41,MATCH(9,$BB$5:$BB$41,0))=10,1,0),IF($BH9=10,1,0))</f>
        <v/>
      </c>
    </row>
    <row r="10" ht="15" customHeight="1">
      <c r="A10" s="649">
        <f>IF($BJ10&gt;0,INDEX($BA$5:$BA$41,MATCH(10,$BB$5:$BB$41,0)),IF(OR($BI10=1,$BH10&gt;0),"∑",""))</f>
        <v/>
      </c>
      <c r="B10" s="650">
        <f>IF($BJ10&gt;0,IF(INDEX('Final Calculation Sheet'!$F$4:$F$40,$BJ10-3)="","",INDEX('Final Calculation Sheet'!$F$4:$F$40,$BJ10-3)),"")</f>
        <v/>
      </c>
      <c r="C10" s="650">
        <f>IF($BJ10&gt;0,IF(INDEX('Final Calculation Sheet'!$G$4:$G$40,$BJ10-3)="","",INDEX('Final Calculation Sheet'!$G$4:$G$40,$BJ10-3)),IF(OR($BI10=1,$BH10&gt;0),IF($BI10=1,37,INDEX($BD$4:$BD$13,$BH10))&amp;" lot(s)",""))</f>
        <v/>
      </c>
      <c r="D10" s="651">
        <f>IF($BJ10&gt;0,IF(INDEX('Final Calculation Sheet'!$B$4:$B$40,$BJ10-3)="","",INDEX('Final Calculation Sheet'!$B$4:$B$40,$BJ10-3)),IF(OR($BI10=1,$BH10&gt;0),IF($BI10=1,"GRAND TOTAL  —  matching + remaining",IF($BH10=10,"REMAINING  —  did not match the search",IF($BH10=9,"ALL LOTS  —  nothing typed in the box","GROUP "&amp;$BH10&amp;" TOTAL  —  lots matching  "&amp;INDEX($AR$6:$AY$6,$BH10)))),""))</f>
        <v/>
      </c>
      <c r="E10" s="651">
        <f>IF($BJ10&gt;0,IF(INDEX('Final Calculation Sheet'!$D$4:$D$40,$BJ10-3)="","",INDEX('Final Calculation Sheet'!$D$4:$D$40,$BJ10-3)),IF(OR($BI10=1,$BH10&gt;0),"–",""))</f>
        <v/>
      </c>
      <c r="F10" s="651">
        <f>IF($BJ10&gt;0,IF(INDEX('Final Calculation Sheet'!$A$4:$A$40,$BJ10-3)="","",INDEX('Final Calculation Sheet'!$A$4:$A$40,$BJ10-3)),IF($BI10=1,SUM('Final Calculation Sheet'!$A$4:$A$40),IF($BH10&gt;0,SUMIFS('Final Calculation Sheet'!$A$4:$A$40,$AZ$5:$AZ$41,$BH10),"")))</f>
        <v/>
      </c>
      <c r="G10" s="651">
        <f>IF($BJ10&gt;0,IF(INDEX('Final Calculation Sheet'!$E$4:$E$40,$BJ10-3)="","",INDEX('Final Calculation Sheet'!$E$4:$E$40,$BJ10-3)),IF(OR($BI10=1,$BH10&gt;0),"–",""))</f>
        <v/>
      </c>
      <c r="H10" s="652">
        <f>IF($BJ10&gt;0,IF(INDEX('Final Calculation Sheet'!$C$4:$C$40,$BJ10-3)="","",INDEX('Final Calculation Sheet'!$C$4:$C$40,$BJ10-3)),IF(OR($BI10=1,$BH10&gt;0),"–",""))</f>
        <v/>
      </c>
      <c r="I10" s="652">
        <f>IF($BJ10&gt;0,IF(INDEX('Final Calculation Sheet'!$H$4:$H$40,$BJ10-3)="","",INDEX('Final Calculation Sheet'!$H$4:$H$40,$BJ10-3)),IF($BI10=1,SUM('Final Calculation Sheet'!$H$4:$H$40),IF($BH10&gt;0,SUMIFS('Final Calculation Sheet'!$H$4:$H$40,$AZ$5:$AZ$41,$BH10),"")))</f>
        <v/>
      </c>
      <c r="J10" s="652">
        <f>IF($BJ10&gt;0,IF(INDEX('Final Calculation Sheet'!$I$4:$I$40,$BJ10-3)="","",INDEX('Final Calculation Sheet'!$I$4:$I$40,$BJ10-3)),IF($BI10=1,SUM('Final Calculation Sheet'!$I$4:$I$40),IF($BH10&gt;0,SUMIFS('Final Calculation Sheet'!$I$4:$I$40,$AZ$5:$AZ$41,$BH10),"")))</f>
        <v/>
      </c>
      <c r="K10" s="652">
        <f>IF($BJ10&gt;0,IF(INDEX('Final Calculation Sheet'!$J$4:$J$40,$BJ10-3)="","",INDEX('Final Calculation Sheet'!$J$4:$J$40,$BJ10-3)),IF($BI10=1,SUM('Final Calculation Sheet'!$J$4:$J$40),IF($BH10&gt;0,SUMIFS('Final Calculation Sheet'!$J$4:$J$40,$AZ$5:$AZ$41,$BH10),"")))</f>
        <v/>
      </c>
      <c r="L10" s="652">
        <f>IF($BJ10&gt;0,IF(INDEX('Final Calculation Sheet'!$K$4:$K$40,$BJ10-3)="","",INDEX('Final Calculation Sheet'!$K$4:$K$40,$BJ10-3)),IF($BI10=1,SUM('Final Calculation Sheet'!$K$4:$K$40),IF($BH10&gt;0,SUMIFS('Final Calculation Sheet'!$K$4:$K$40,$AZ$5:$AZ$41,$BH10),"")))</f>
        <v/>
      </c>
      <c r="M10" s="652">
        <f>IF($BJ10&gt;0,IF(INDEX('Final Calculation Sheet'!$L$4:$L$40,$BJ10-3)="","",INDEX('Final Calculation Sheet'!$L$4:$L$40,$BJ10-3)),IF($BI10=1,SUM('Final Calculation Sheet'!$L$4:$L$40),IF($BH10&gt;0,SUMIFS('Final Calculation Sheet'!$L$4:$L$40,$AZ$5:$AZ$41,$BH10),"")))</f>
        <v/>
      </c>
      <c r="N10" s="652">
        <f>IF($BJ10&gt;0,IF(INDEX('Final Calculation Sheet'!$M$4:$M$40,$BJ10-3)="","",INDEX('Final Calculation Sheet'!$M$4:$M$40,$BJ10-3)),IF($BI10=1,SUM('Final Calculation Sheet'!$M$4:$M$40),IF($BH10&gt;0,SUMIFS('Final Calculation Sheet'!$M$4:$M$40,$AZ$5:$AZ$41,$BH10),"")))</f>
        <v/>
      </c>
      <c r="O10" s="653">
        <f>IF($BJ10&gt;0,IF(INDEX('Final Calculation Sheet'!$N$4:$N$40,$BJ10-3)="","",INDEX('Final Calculation Sheet'!$N$4:$N$40,$BJ10-3)),IF($BI10=1,SUM('Final Calculation Sheet'!$N$4:$N$40),IF($BH10&gt;0,SUMIFS('Final Calculation Sheet'!$N$4:$N$40,$AZ$5:$AZ$41,$BH10),"")))</f>
        <v/>
      </c>
      <c r="P10" s="652">
        <f>IF($BJ10&gt;0,IF(INDEX('Final Calculation Sheet'!$O$4:$O$40,$BJ10-3)="","",INDEX('Final Calculation Sheet'!$O$4:$O$40,$BJ10-3)),IF($BI10=1,SUM('Final Calculation Sheet'!$O$4:$O$40),IF($BH10&gt;0,SUMIFS('Final Calculation Sheet'!$O$4:$O$40,$AZ$5:$AZ$41,$BH10),"")))</f>
        <v/>
      </c>
      <c r="Q10" s="652">
        <f>IF($BJ10&gt;0,IF(INDEX('Final Calculation Sheet'!$P$4:$P$40,$BJ10-3)="","",INDEX('Final Calculation Sheet'!$P$4:$P$40,$BJ10-3)),IF($BI10=1,SUM('Final Calculation Sheet'!$P$4:$P$40),IF($BH10&gt;0,SUMIFS('Final Calculation Sheet'!$P$4:$P$40,$AZ$5:$AZ$41,$BH10),"")))</f>
        <v/>
      </c>
      <c r="R10" s="654">
        <f>IF($BJ10&gt;0,IF(INDEX('Final Calculation Sheet'!$Q$4:$Q$40,$BJ10-3)="","",INDEX('Final Calculation Sheet'!$Q$4:$Q$40,$BJ10-3)),IF(OR($BI10=1,$BH10&gt;0),"–",""))</f>
        <v/>
      </c>
      <c r="S10" s="652">
        <f>IF($BJ10&gt;0,IF(INDEX('Final Calculation Sheet'!$R$4:$R$40,$BJ10-3)="","",INDEX('Final Calculation Sheet'!$R$4:$R$40,$BJ10-3)),IF($BI10=1,SUM('Final Calculation Sheet'!$R$4:$R$40),IF($BH10&gt;0,SUMIFS('Final Calculation Sheet'!$R$4:$R$40,$AZ$5:$AZ$41,$BH10),"")))</f>
        <v/>
      </c>
      <c r="T10" s="652">
        <f>IF($BJ10&gt;0,IF(INDEX('Final Calculation Sheet'!$S$4:$S$40,$BJ10-3)="","",INDEX('Final Calculation Sheet'!$S$4:$S$40,$BJ10-3)),IF($BI10=1,SUM('Final Calculation Sheet'!$S$4:$S$40),IF($BH10&gt;0,SUMIFS('Final Calculation Sheet'!$S$4:$S$40,$AZ$5:$AZ$41,$BH10),"")))</f>
        <v/>
      </c>
      <c r="U10" s="652">
        <f>IF($BJ10&gt;0,IF(INDEX('Final Calculation Sheet'!$T$4:$T$40,$BJ10-3)="","",INDEX('Final Calculation Sheet'!$T$4:$T$40,$BJ10-3)),IF($BI10=1,SUM('Final Calculation Sheet'!$T$4:$T$40),IF($BH10&gt;0,SUMIFS('Final Calculation Sheet'!$T$4:$T$40,$AZ$5:$AZ$41,$BH10),"")))</f>
        <v/>
      </c>
      <c r="V10" s="655">
        <f>IF($BJ10&gt;0,IF(INDEX('Final Calculation Sheet'!$U$4:$U$40,$BJ10-3)="","",INDEX('Final Calculation Sheet'!$U$4:$U$40,$BJ10-3)),IF($BI10=1,SUM('Final Calculation Sheet'!$U$4:$U$40),IF($BH10&gt;0,SUMIFS('Final Calculation Sheet'!$U$4:$U$40,$AZ$5:$AZ$41,$BH10),"")))</f>
        <v/>
      </c>
      <c r="W10" s="652">
        <f>IF($BJ10&gt;0,IF(INDEX('Final Calculation Sheet'!$V$4:$V$40,$BJ10-3)="","",INDEX('Final Calculation Sheet'!$V$4:$V$40,$BJ10-3)),IF(OR($BI10=1,$BH10&gt;0),"–",""))</f>
        <v/>
      </c>
      <c r="X10" s="652">
        <f>IF($BJ10&gt;0,IF(INDEX('Final Calculation Sheet'!$W$4:$W$40,$BJ10-3)="","",INDEX('Final Calculation Sheet'!$W$4:$W$40,$BJ10-3)),IF($BI10=1,SUM('Final Calculation Sheet'!$W$4:$W$40),IF($BH10&gt;0,SUMIFS('Final Calculation Sheet'!$W$4:$W$40,$AZ$5:$AZ$41,$BH10),"")))</f>
        <v/>
      </c>
      <c r="Y10" s="652">
        <f>IF($BJ10&gt;0,IF(INDEX('Final Calculation Sheet'!$X$4:$X$40,$BJ10-3)="","",INDEX('Final Calculation Sheet'!$X$4:$X$40,$BJ10-3)),IF($BI10=1,SUM('Final Calculation Sheet'!$X$4:$X$40),IF($BH10&gt;0,SUMIFS('Final Calculation Sheet'!$X$4:$X$40,$AZ$5:$AZ$41,$BH10),"")))</f>
        <v/>
      </c>
      <c r="Z10" s="652">
        <f>IF($BJ10&gt;0,IF(INDEX('Final Calculation Sheet'!$Y$4:$Y$40,$BJ10-3)="","",INDEX('Final Calculation Sheet'!$Y$4:$Y$40,$BJ10-3)),IF(OR($BI10=1,$BH10&gt;0),"–",""))</f>
        <v/>
      </c>
      <c r="AA10" s="652">
        <f>IF($BJ10&gt;0,IF(INDEX('Final Calculation Sheet'!$Z$4:$Z$40,$BJ10-3)="","",INDEX('Final Calculation Sheet'!$Z$4:$Z$40,$BJ10-3)),IF($BI10=1,SUM('Final Calculation Sheet'!$Z$4:$Z$40),IF($BH10&gt;0,SUMIFS('Final Calculation Sheet'!$Z$4:$Z$40,$AZ$5:$AZ$41,$BH10),"")))</f>
        <v/>
      </c>
      <c r="AB10" s="652">
        <f>IF($BJ10&gt;0,IF(INDEX('Final Calculation Sheet'!$AA$4:$AA$40,$BJ10-3)="","",INDEX('Final Calculation Sheet'!$AA$4:$AA$40,$BJ10-3)),IF($BI10=1,SUM('Final Calculation Sheet'!$AA$4:$AA$40),IF($BH10&gt;0,SUMIFS('Final Calculation Sheet'!$AA$4:$AA$40,$AZ$5:$AZ$41,$BH10),"")))</f>
        <v/>
      </c>
      <c r="AC10" s="652">
        <f>IF($BJ10&gt;0,IF(INDEX('Final Calculation Sheet'!$AB$4:$AB$40,$BJ10-3)="","",INDEX('Final Calculation Sheet'!$AB$4:$AB$40,$BJ10-3)),IF(OR($BI10=1,$BH10&gt;0),"–",""))</f>
        <v/>
      </c>
      <c r="AD10" s="652">
        <f>IF($BJ10&gt;0,IF(INDEX('Final Calculation Sheet'!$AC$4:$AC$40,$BJ10-3)="","",INDEX('Final Calculation Sheet'!$AC$4:$AC$40,$BJ10-3)),IF($BI10=1,SUM('Final Calculation Sheet'!$AC$4:$AC$40),IF($BH10&gt;0,SUMIFS('Final Calculation Sheet'!$AC$4:$AC$40,$AZ$5:$AZ$41,$BH10),"")))</f>
        <v/>
      </c>
      <c r="AE10" s="652">
        <f>IF($BJ10&gt;0,IF(INDEX('Final Calculation Sheet'!$AD$4:$AD$40,$BJ10-3)="","",INDEX('Final Calculation Sheet'!$AD$4:$AD$40,$BJ10-3)),IF($BI10=1,SUM('Final Calculation Sheet'!$AD$4:$AD$40),IF($BH10&gt;0,SUMIFS('Final Calculation Sheet'!$AD$4:$AD$40,$AZ$5:$AZ$41,$BH10),"")))</f>
        <v/>
      </c>
      <c r="AF10" s="652">
        <f>IF($BJ10&gt;0,IF(INDEX('Final Calculation Sheet'!$AE$4:$AE$40,$BJ10-3)="","",INDEX('Final Calculation Sheet'!$AE$4:$AE$40,$BJ10-3)),IF(OR($BI10=1,$BH10&gt;0),"–",""))</f>
        <v/>
      </c>
      <c r="AG10" s="656">
        <f>IF($BJ10&gt;0,IF(INDEX('Final Calculation Sheet'!$AF$4:$AF$40,$BJ10-3)="","",INDEX('Final Calculation Sheet'!$AF$4:$AF$40,$BJ10-3)),IF(OR($BI10=1,$BH10&gt;0),"–",""))</f>
        <v/>
      </c>
      <c r="AH10" s="652">
        <f>IF($BJ10&gt;0,IF(INDEX('Final Calculation Sheet'!$AG$4:$AG$40,$BJ10-3)="","",INDEX('Final Calculation Sheet'!$AG$4:$AG$40,$BJ10-3)),IF(OR($BI10=1,$BH10&gt;0),"–",""))</f>
        <v/>
      </c>
      <c r="AI10" s="657">
        <f>IF($BJ10&gt;0,IF(INDEX('Final Calculation Sheet'!$AD$4:$AD$40,$BJ10-3)="","",IF(INDEX('Final Calculation Sheet'!$AD$4:$AD$40,$BJ10-3)&lt;=0,"SETTLED","OUTSTANDING")),IF(OR($BI10=1,$BH10&gt;0),IF(IF($BI10=1,SUM('Final Calculation Sheet'!$AD$4:$AD$40),SUMIFS('Final Calculation Sheet'!$AD$4:$AD$40,$AZ$5:$AZ$41,$BH10))&lt;=0,"ALL SETTLED","OUTSTANDING"),""))</f>
        <v/>
      </c>
      <c r="AK10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/>
      </c>
      <c r="AM10">
        <f>IF($B$3="",1,IF(AND(IF(COUNTIF($AR$9:$AY$9,1)=0,TRUE,SUMPRODUCT(($AR$9:$AY$9=1)*($AR$6:$AY$6&lt;&gt;"")*ISNUMBER(SEARCH($AR$6:$AY$6,$AK10)))&gt;0),IF(COUNTIF($AR$9:$AY$9,2)=0,TRUE,SUMPRODUCT(($AR$9:$AY$9=2)*($AR$6:$AY$6&lt;&gt;"")*ISNUMBER(SEARCH($AR$6:$AY$6,$AK10)))&gt;0),IF(COUNTIF($AR$9:$AY$9,3)=0,TRUE,SUMPRODUCT(($AR$9:$AY$9=3)*($AR$6:$AY$6&lt;&gt;"")*ISNUMBER(SEARCH($AR$6:$AY$6,$AK10)))&gt;0),IF(COUNTIF($AR$9:$AY$9,4)=0,TRUE,SUMPRODUCT(($AR$9:$AY$9=4)*($AR$6:$AY$6&lt;&gt;"")*ISNUMBER(SEARCH($AR$6:$AY$6,$AK10)))&gt;0),IF(COUNTIF($AR$9:$AY$9,5)=0,TRUE,SUMPRODUCT(($AR$9:$AY$9=5)*($AR$6:$AY$6&lt;&gt;"")*ISNUMBER(SEARCH($AR$6:$AY$6,$AK10)))&gt;0),IF(COUNTIF($AR$9:$AY$9,6)=0,TRUE,SUMPRODUCT(($AR$9:$AY$9=6)*($AR$6:$AY$6&lt;&gt;"")*ISNUMBER(SEARCH($AR$6:$AY$6,$AK10)))&gt;0),IF(COUNTIF($AR$9:$AY$9,7)=0,TRUE,SUMPRODUCT(($AR$9:$AY$9=7)*($AR$6:$AY$6&lt;&gt;"")*ISNUMBER(SEARCH($AR$6:$AY$6,$AK10)))&gt;0),IF(COUNTIF($AR$9:$AY$9,8)=0,TRUE,SUMPRODUCT(($AR$9:$AY$9=8)*($AR$6:$AY$6&lt;&gt;"")*ISNUMBER(SEARCH($AR$6:$AY$6,$AK10)))&gt;0)),1,0))</f>
        <v/>
      </c>
      <c r="AZ10">
        <f>IF($B$3="",9,IF($AM10=0,10,IF(AND($AR$6&lt;&gt;"",ISNUMBER(SEARCH($AR$6,$AK10))),1,IF(AND($AS$6&lt;&gt;"",ISNUMBER(SEARCH($AS$6,$AK10))),2,IF(AND($AT$6&lt;&gt;"",ISNUMBER(SEARCH($AT$6,$AK10))),3,IF(AND($AU$6&lt;&gt;"",ISNUMBER(SEARCH($AU$6,$AK10))),4,IF(AND($AV$6&lt;&gt;"",ISNUMBER(SEARCH($AV$6,$AK10))),5,IF(AND($AW$6&lt;&gt;"",ISNUMBER(SEARCH($AW$6,$AK10))),6,IF(AND($AX$6&lt;&gt;"",ISNUMBER(SEARCH($AX$6,$AK10))),7,IF(AND($AY$6&lt;&gt;"",ISNUMBER(SEARCH($AY$6,$AK10))),8,0))))))))))</f>
        <v/>
      </c>
      <c r="BA10">
        <f>SUMPRODUCT(($AZ$5:$AZ$41=$AZ10)*($BC$5:$BC$41&lt;$BC10))+1</f>
        <v/>
      </c>
      <c r="BB10">
        <f>IF(INDEX($BF$4:$BF$13,$AZ10)=0,0,INDEX($BE$4:$BE$13,$AZ10)+$BA10-1)</f>
        <v/>
      </c>
      <c r="BC10" t="n">
        <v>9</v>
      </c>
      <c r="BD10">
        <f>COUNTIF($AZ$5:$AZ$41,7)</f>
        <v/>
      </c>
      <c r="BE10">
        <f>IF($BD9=0,$BE9,$BF9+1)</f>
        <v/>
      </c>
      <c r="BF10">
        <f>IF($BD10=0,0,$BE10+$BD10)</f>
        <v/>
      </c>
      <c r="BH10">
        <f>IFERROR(MATCH(10,$BF$4:$BF$13,0),0)</f>
        <v/>
      </c>
      <c r="BI10">
        <f>IF(10=$BG$4,1,0)</f>
        <v/>
      </c>
      <c r="BJ10">
        <f>IF(OR($BH10&gt;0,$BI10=1),0,IFERROR(INDEX($BC$5:$BC$41,MATCH(10,$BB$5:$BB$41,0)),0))</f>
        <v/>
      </c>
      <c r="BK10">
        <f>IF($BJ10&gt;0,IF(INDEX($AZ$5:$AZ$41,MATCH(10,$BB$5:$BB$41,0))=10,1,0),IF($BH10=10,1,0))</f>
        <v/>
      </c>
    </row>
    <row r="11" ht="15" customHeight="1">
      <c r="A11" s="649">
        <f>IF($BJ11&gt;0,INDEX($BA$5:$BA$41,MATCH(11,$BB$5:$BB$41,0)),IF(OR($BI11=1,$BH11&gt;0),"∑",""))</f>
        <v/>
      </c>
      <c r="B11" s="650">
        <f>IF($BJ11&gt;0,IF(INDEX('Final Calculation Sheet'!$F$4:$F$40,$BJ11-3)="","",INDEX('Final Calculation Sheet'!$F$4:$F$40,$BJ11-3)),"")</f>
        <v/>
      </c>
      <c r="C11" s="650">
        <f>IF($BJ11&gt;0,IF(INDEX('Final Calculation Sheet'!$G$4:$G$40,$BJ11-3)="","",INDEX('Final Calculation Sheet'!$G$4:$G$40,$BJ11-3)),IF(OR($BI11=1,$BH11&gt;0),IF($BI11=1,37,INDEX($BD$4:$BD$13,$BH11))&amp;" lot(s)",""))</f>
        <v/>
      </c>
      <c r="D11" s="651">
        <f>IF($BJ11&gt;0,IF(INDEX('Final Calculation Sheet'!$B$4:$B$40,$BJ11-3)="","",INDEX('Final Calculation Sheet'!$B$4:$B$40,$BJ11-3)),IF(OR($BI11=1,$BH11&gt;0),IF($BI11=1,"GRAND TOTAL  —  matching + remaining",IF($BH11=10,"REMAINING  —  did not match the search",IF($BH11=9,"ALL LOTS  —  nothing typed in the box","GROUP "&amp;$BH11&amp;" TOTAL  —  lots matching  "&amp;INDEX($AR$6:$AY$6,$BH11)))),""))</f>
        <v/>
      </c>
      <c r="E11" s="651">
        <f>IF($BJ11&gt;0,IF(INDEX('Final Calculation Sheet'!$D$4:$D$40,$BJ11-3)="","",INDEX('Final Calculation Sheet'!$D$4:$D$40,$BJ11-3)),IF(OR($BI11=1,$BH11&gt;0),"–",""))</f>
        <v/>
      </c>
      <c r="F11" s="651">
        <f>IF($BJ11&gt;0,IF(INDEX('Final Calculation Sheet'!$A$4:$A$40,$BJ11-3)="","",INDEX('Final Calculation Sheet'!$A$4:$A$40,$BJ11-3)),IF($BI11=1,SUM('Final Calculation Sheet'!$A$4:$A$40),IF($BH11&gt;0,SUMIFS('Final Calculation Sheet'!$A$4:$A$40,$AZ$5:$AZ$41,$BH11),"")))</f>
        <v/>
      </c>
      <c r="G11" s="651">
        <f>IF($BJ11&gt;0,IF(INDEX('Final Calculation Sheet'!$E$4:$E$40,$BJ11-3)="","",INDEX('Final Calculation Sheet'!$E$4:$E$40,$BJ11-3)),IF(OR($BI11=1,$BH11&gt;0),"–",""))</f>
        <v/>
      </c>
      <c r="H11" s="652">
        <f>IF($BJ11&gt;0,IF(INDEX('Final Calculation Sheet'!$C$4:$C$40,$BJ11-3)="","",INDEX('Final Calculation Sheet'!$C$4:$C$40,$BJ11-3)),IF(OR($BI11=1,$BH11&gt;0),"–",""))</f>
        <v/>
      </c>
      <c r="I11" s="652">
        <f>IF($BJ11&gt;0,IF(INDEX('Final Calculation Sheet'!$H$4:$H$40,$BJ11-3)="","",INDEX('Final Calculation Sheet'!$H$4:$H$40,$BJ11-3)),IF($BI11=1,SUM('Final Calculation Sheet'!$H$4:$H$40),IF($BH11&gt;0,SUMIFS('Final Calculation Sheet'!$H$4:$H$40,$AZ$5:$AZ$41,$BH11),"")))</f>
        <v/>
      </c>
      <c r="J11" s="652">
        <f>IF($BJ11&gt;0,IF(INDEX('Final Calculation Sheet'!$I$4:$I$40,$BJ11-3)="","",INDEX('Final Calculation Sheet'!$I$4:$I$40,$BJ11-3)),IF($BI11=1,SUM('Final Calculation Sheet'!$I$4:$I$40),IF($BH11&gt;0,SUMIFS('Final Calculation Sheet'!$I$4:$I$40,$AZ$5:$AZ$41,$BH11),"")))</f>
        <v/>
      </c>
      <c r="K11" s="652">
        <f>IF($BJ11&gt;0,IF(INDEX('Final Calculation Sheet'!$J$4:$J$40,$BJ11-3)="","",INDEX('Final Calculation Sheet'!$J$4:$J$40,$BJ11-3)),IF($BI11=1,SUM('Final Calculation Sheet'!$J$4:$J$40),IF($BH11&gt;0,SUMIFS('Final Calculation Sheet'!$J$4:$J$40,$AZ$5:$AZ$41,$BH11),"")))</f>
        <v/>
      </c>
      <c r="L11" s="652">
        <f>IF($BJ11&gt;0,IF(INDEX('Final Calculation Sheet'!$K$4:$K$40,$BJ11-3)="","",INDEX('Final Calculation Sheet'!$K$4:$K$40,$BJ11-3)),IF($BI11=1,SUM('Final Calculation Sheet'!$K$4:$K$40),IF($BH11&gt;0,SUMIFS('Final Calculation Sheet'!$K$4:$K$40,$AZ$5:$AZ$41,$BH11),"")))</f>
        <v/>
      </c>
      <c r="M11" s="652">
        <f>IF($BJ11&gt;0,IF(INDEX('Final Calculation Sheet'!$L$4:$L$40,$BJ11-3)="","",INDEX('Final Calculation Sheet'!$L$4:$L$40,$BJ11-3)),IF($BI11=1,SUM('Final Calculation Sheet'!$L$4:$L$40),IF($BH11&gt;0,SUMIFS('Final Calculation Sheet'!$L$4:$L$40,$AZ$5:$AZ$41,$BH11),"")))</f>
        <v/>
      </c>
      <c r="N11" s="652">
        <f>IF($BJ11&gt;0,IF(INDEX('Final Calculation Sheet'!$M$4:$M$40,$BJ11-3)="","",INDEX('Final Calculation Sheet'!$M$4:$M$40,$BJ11-3)),IF($BI11=1,SUM('Final Calculation Sheet'!$M$4:$M$40),IF($BH11&gt;0,SUMIFS('Final Calculation Sheet'!$M$4:$M$40,$AZ$5:$AZ$41,$BH11),"")))</f>
        <v/>
      </c>
      <c r="O11" s="653">
        <f>IF($BJ11&gt;0,IF(INDEX('Final Calculation Sheet'!$N$4:$N$40,$BJ11-3)="","",INDEX('Final Calculation Sheet'!$N$4:$N$40,$BJ11-3)),IF($BI11=1,SUM('Final Calculation Sheet'!$N$4:$N$40),IF($BH11&gt;0,SUMIFS('Final Calculation Sheet'!$N$4:$N$40,$AZ$5:$AZ$41,$BH11),"")))</f>
        <v/>
      </c>
      <c r="P11" s="652">
        <f>IF($BJ11&gt;0,IF(INDEX('Final Calculation Sheet'!$O$4:$O$40,$BJ11-3)="","",INDEX('Final Calculation Sheet'!$O$4:$O$40,$BJ11-3)),IF($BI11=1,SUM('Final Calculation Sheet'!$O$4:$O$40),IF($BH11&gt;0,SUMIFS('Final Calculation Sheet'!$O$4:$O$40,$AZ$5:$AZ$41,$BH11),"")))</f>
        <v/>
      </c>
      <c r="Q11" s="652">
        <f>IF($BJ11&gt;0,IF(INDEX('Final Calculation Sheet'!$P$4:$P$40,$BJ11-3)="","",INDEX('Final Calculation Sheet'!$P$4:$P$40,$BJ11-3)),IF($BI11=1,SUM('Final Calculation Sheet'!$P$4:$P$40),IF($BH11&gt;0,SUMIFS('Final Calculation Sheet'!$P$4:$P$40,$AZ$5:$AZ$41,$BH11),"")))</f>
        <v/>
      </c>
      <c r="R11" s="654">
        <f>IF($BJ11&gt;0,IF(INDEX('Final Calculation Sheet'!$Q$4:$Q$40,$BJ11-3)="","",INDEX('Final Calculation Sheet'!$Q$4:$Q$40,$BJ11-3)),IF(OR($BI11=1,$BH11&gt;0),"–",""))</f>
        <v/>
      </c>
      <c r="S11" s="652">
        <f>IF($BJ11&gt;0,IF(INDEX('Final Calculation Sheet'!$R$4:$R$40,$BJ11-3)="","",INDEX('Final Calculation Sheet'!$R$4:$R$40,$BJ11-3)),IF($BI11=1,SUM('Final Calculation Sheet'!$R$4:$R$40),IF($BH11&gt;0,SUMIFS('Final Calculation Sheet'!$R$4:$R$40,$AZ$5:$AZ$41,$BH11),"")))</f>
        <v/>
      </c>
      <c r="T11" s="652">
        <f>IF($BJ11&gt;0,IF(INDEX('Final Calculation Sheet'!$S$4:$S$40,$BJ11-3)="","",INDEX('Final Calculation Sheet'!$S$4:$S$40,$BJ11-3)),IF($BI11=1,SUM('Final Calculation Sheet'!$S$4:$S$40),IF($BH11&gt;0,SUMIFS('Final Calculation Sheet'!$S$4:$S$40,$AZ$5:$AZ$41,$BH11),"")))</f>
        <v/>
      </c>
      <c r="U11" s="652">
        <f>IF($BJ11&gt;0,IF(INDEX('Final Calculation Sheet'!$T$4:$T$40,$BJ11-3)="","",INDEX('Final Calculation Sheet'!$T$4:$T$40,$BJ11-3)),IF($BI11=1,SUM('Final Calculation Sheet'!$T$4:$T$40),IF($BH11&gt;0,SUMIFS('Final Calculation Sheet'!$T$4:$T$40,$AZ$5:$AZ$41,$BH11),"")))</f>
        <v/>
      </c>
      <c r="V11" s="655">
        <f>IF($BJ11&gt;0,IF(INDEX('Final Calculation Sheet'!$U$4:$U$40,$BJ11-3)="","",INDEX('Final Calculation Sheet'!$U$4:$U$40,$BJ11-3)),IF($BI11=1,SUM('Final Calculation Sheet'!$U$4:$U$40),IF($BH11&gt;0,SUMIFS('Final Calculation Sheet'!$U$4:$U$40,$AZ$5:$AZ$41,$BH11),"")))</f>
        <v/>
      </c>
      <c r="W11" s="652">
        <f>IF($BJ11&gt;0,IF(INDEX('Final Calculation Sheet'!$V$4:$V$40,$BJ11-3)="","",INDEX('Final Calculation Sheet'!$V$4:$V$40,$BJ11-3)),IF(OR($BI11=1,$BH11&gt;0),"–",""))</f>
        <v/>
      </c>
      <c r="X11" s="652">
        <f>IF($BJ11&gt;0,IF(INDEX('Final Calculation Sheet'!$W$4:$W$40,$BJ11-3)="","",INDEX('Final Calculation Sheet'!$W$4:$W$40,$BJ11-3)),IF($BI11=1,SUM('Final Calculation Sheet'!$W$4:$W$40),IF($BH11&gt;0,SUMIFS('Final Calculation Sheet'!$W$4:$W$40,$AZ$5:$AZ$41,$BH11),"")))</f>
        <v/>
      </c>
      <c r="Y11" s="652">
        <f>IF($BJ11&gt;0,IF(INDEX('Final Calculation Sheet'!$X$4:$X$40,$BJ11-3)="","",INDEX('Final Calculation Sheet'!$X$4:$X$40,$BJ11-3)),IF($BI11=1,SUM('Final Calculation Sheet'!$X$4:$X$40),IF($BH11&gt;0,SUMIFS('Final Calculation Sheet'!$X$4:$X$40,$AZ$5:$AZ$41,$BH11),"")))</f>
        <v/>
      </c>
      <c r="Z11" s="652">
        <f>IF($BJ11&gt;0,IF(INDEX('Final Calculation Sheet'!$Y$4:$Y$40,$BJ11-3)="","",INDEX('Final Calculation Sheet'!$Y$4:$Y$40,$BJ11-3)),IF(OR($BI11=1,$BH11&gt;0),"–",""))</f>
        <v/>
      </c>
      <c r="AA11" s="652">
        <f>IF($BJ11&gt;0,IF(INDEX('Final Calculation Sheet'!$Z$4:$Z$40,$BJ11-3)="","",INDEX('Final Calculation Sheet'!$Z$4:$Z$40,$BJ11-3)),IF($BI11=1,SUM('Final Calculation Sheet'!$Z$4:$Z$40),IF($BH11&gt;0,SUMIFS('Final Calculation Sheet'!$Z$4:$Z$40,$AZ$5:$AZ$41,$BH11),"")))</f>
        <v/>
      </c>
      <c r="AB11" s="652">
        <f>IF($BJ11&gt;0,IF(INDEX('Final Calculation Sheet'!$AA$4:$AA$40,$BJ11-3)="","",INDEX('Final Calculation Sheet'!$AA$4:$AA$40,$BJ11-3)),IF($BI11=1,SUM('Final Calculation Sheet'!$AA$4:$AA$40),IF($BH11&gt;0,SUMIFS('Final Calculation Sheet'!$AA$4:$AA$40,$AZ$5:$AZ$41,$BH11),"")))</f>
        <v/>
      </c>
      <c r="AC11" s="652">
        <f>IF($BJ11&gt;0,IF(INDEX('Final Calculation Sheet'!$AB$4:$AB$40,$BJ11-3)="","",INDEX('Final Calculation Sheet'!$AB$4:$AB$40,$BJ11-3)),IF(OR($BI11=1,$BH11&gt;0),"–",""))</f>
        <v/>
      </c>
      <c r="AD11" s="652">
        <f>IF($BJ11&gt;0,IF(INDEX('Final Calculation Sheet'!$AC$4:$AC$40,$BJ11-3)="","",INDEX('Final Calculation Sheet'!$AC$4:$AC$40,$BJ11-3)),IF($BI11=1,SUM('Final Calculation Sheet'!$AC$4:$AC$40),IF($BH11&gt;0,SUMIFS('Final Calculation Sheet'!$AC$4:$AC$40,$AZ$5:$AZ$41,$BH11),"")))</f>
        <v/>
      </c>
      <c r="AE11" s="652">
        <f>IF($BJ11&gt;0,IF(INDEX('Final Calculation Sheet'!$AD$4:$AD$40,$BJ11-3)="","",INDEX('Final Calculation Sheet'!$AD$4:$AD$40,$BJ11-3)),IF($BI11=1,SUM('Final Calculation Sheet'!$AD$4:$AD$40),IF($BH11&gt;0,SUMIFS('Final Calculation Sheet'!$AD$4:$AD$40,$AZ$5:$AZ$41,$BH11),"")))</f>
        <v/>
      </c>
      <c r="AF11" s="652">
        <f>IF($BJ11&gt;0,IF(INDEX('Final Calculation Sheet'!$AE$4:$AE$40,$BJ11-3)="","",INDEX('Final Calculation Sheet'!$AE$4:$AE$40,$BJ11-3)),IF(OR($BI11=1,$BH11&gt;0),"–",""))</f>
        <v/>
      </c>
      <c r="AG11" s="656">
        <f>IF($BJ11&gt;0,IF(INDEX('Final Calculation Sheet'!$AF$4:$AF$40,$BJ11-3)="","",INDEX('Final Calculation Sheet'!$AF$4:$AF$40,$BJ11-3)),IF(OR($BI11=1,$BH11&gt;0),"–",""))</f>
        <v/>
      </c>
      <c r="AH11" s="652">
        <f>IF($BJ11&gt;0,IF(INDEX('Final Calculation Sheet'!$AG$4:$AG$40,$BJ11-3)="","",INDEX('Final Calculation Sheet'!$AG$4:$AG$40,$BJ11-3)),IF(OR($BI11=1,$BH11&gt;0),"–",""))</f>
        <v/>
      </c>
      <c r="AI11" s="657">
        <f>IF($BJ11&gt;0,IF(INDEX('Final Calculation Sheet'!$AD$4:$AD$40,$BJ11-3)="","",IF(INDEX('Final Calculation Sheet'!$AD$4:$AD$40,$BJ11-3)&lt;=0,"SETTLED","OUTSTANDING")),IF(OR($BI11=1,$BH11&gt;0),IF(IF($BI11=1,SUM('Final Calculation Sheet'!$AD$4:$AD$40),SUMIFS('Final Calculation Sheet'!$AD$4:$AD$40,$AZ$5:$AZ$41,$BH11))&lt;=0,"ALL SETTLED","OUTSTANDING"),""))</f>
        <v/>
      </c>
      <c r="AK11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/>
      </c>
      <c r="AM11">
        <f>IF($B$3="",1,IF(AND(IF(COUNTIF($AR$9:$AY$9,1)=0,TRUE,SUMPRODUCT(($AR$9:$AY$9=1)*($AR$6:$AY$6&lt;&gt;"")*ISNUMBER(SEARCH($AR$6:$AY$6,$AK11)))&gt;0),IF(COUNTIF($AR$9:$AY$9,2)=0,TRUE,SUMPRODUCT(($AR$9:$AY$9=2)*($AR$6:$AY$6&lt;&gt;"")*ISNUMBER(SEARCH($AR$6:$AY$6,$AK11)))&gt;0),IF(COUNTIF($AR$9:$AY$9,3)=0,TRUE,SUMPRODUCT(($AR$9:$AY$9=3)*($AR$6:$AY$6&lt;&gt;"")*ISNUMBER(SEARCH($AR$6:$AY$6,$AK11)))&gt;0),IF(COUNTIF($AR$9:$AY$9,4)=0,TRUE,SUMPRODUCT(($AR$9:$AY$9=4)*($AR$6:$AY$6&lt;&gt;"")*ISNUMBER(SEARCH($AR$6:$AY$6,$AK11)))&gt;0),IF(COUNTIF($AR$9:$AY$9,5)=0,TRUE,SUMPRODUCT(($AR$9:$AY$9=5)*($AR$6:$AY$6&lt;&gt;"")*ISNUMBER(SEARCH($AR$6:$AY$6,$AK11)))&gt;0),IF(COUNTIF($AR$9:$AY$9,6)=0,TRUE,SUMPRODUCT(($AR$9:$AY$9=6)*($AR$6:$AY$6&lt;&gt;"")*ISNUMBER(SEARCH($AR$6:$AY$6,$AK11)))&gt;0),IF(COUNTIF($AR$9:$AY$9,7)=0,TRUE,SUMPRODUCT(($AR$9:$AY$9=7)*($AR$6:$AY$6&lt;&gt;"")*ISNUMBER(SEARCH($AR$6:$AY$6,$AK11)))&gt;0),IF(COUNTIF($AR$9:$AY$9,8)=0,TRUE,SUMPRODUCT(($AR$9:$AY$9=8)*($AR$6:$AY$6&lt;&gt;"")*ISNUMBER(SEARCH($AR$6:$AY$6,$AK11)))&gt;0)),1,0))</f>
        <v/>
      </c>
      <c r="AZ11">
        <f>IF($B$3="",9,IF($AM11=0,10,IF(AND($AR$6&lt;&gt;"",ISNUMBER(SEARCH($AR$6,$AK11))),1,IF(AND($AS$6&lt;&gt;"",ISNUMBER(SEARCH($AS$6,$AK11))),2,IF(AND($AT$6&lt;&gt;"",ISNUMBER(SEARCH($AT$6,$AK11))),3,IF(AND($AU$6&lt;&gt;"",ISNUMBER(SEARCH($AU$6,$AK11))),4,IF(AND($AV$6&lt;&gt;"",ISNUMBER(SEARCH($AV$6,$AK11))),5,IF(AND($AW$6&lt;&gt;"",ISNUMBER(SEARCH($AW$6,$AK11))),6,IF(AND($AX$6&lt;&gt;"",ISNUMBER(SEARCH($AX$6,$AK11))),7,IF(AND($AY$6&lt;&gt;"",ISNUMBER(SEARCH($AY$6,$AK11))),8,0))))))))))</f>
        <v/>
      </c>
      <c r="BA11">
        <f>SUMPRODUCT(($AZ$5:$AZ$41=$AZ11)*($BC$5:$BC$41&lt;$BC11))+1</f>
        <v/>
      </c>
      <c r="BB11">
        <f>IF(INDEX($BF$4:$BF$13,$AZ11)=0,0,INDEX($BE$4:$BE$13,$AZ11)+$BA11-1)</f>
        <v/>
      </c>
      <c r="BC11" t="n">
        <v>10</v>
      </c>
      <c r="BD11">
        <f>COUNTIF($AZ$5:$AZ$41,8)</f>
        <v/>
      </c>
      <c r="BE11">
        <f>IF($BD10=0,$BE10,$BF10+1)</f>
        <v/>
      </c>
      <c r="BF11">
        <f>IF($BD11=0,0,$BE11+$BD11)</f>
        <v/>
      </c>
      <c r="BH11">
        <f>IFERROR(MATCH(11,$BF$4:$BF$13,0),0)</f>
        <v/>
      </c>
      <c r="BI11">
        <f>IF(11=$BG$4,1,0)</f>
        <v/>
      </c>
      <c r="BJ11">
        <f>IF(OR($BH11&gt;0,$BI11=1),0,IFERROR(INDEX($BC$5:$BC$41,MATCH(11,$BB$5:$BB$41,0)),0))</f>
        <v/>
      </c>
      <c r="BK11">
        <f>IF($BJ11&gt;0,IF(INDEX($AZ$5:$AZ$41,MATCH(11,$BB$5:$BB$41,0))=10,1,0),IF($BH11=10,1,0))</f>
        <v/>
      </c>
    </row>
    <row r="12" ht="15" customHeight="1">
      <c r="A12" s="649">
        <f>IF($BJ12&gt;0,INDEX($BA$5:$BA$41,MATCH(12,$BB$5:$BB$41,0)),IF(OR($BI12=1,$BH12&gt;0),"∑",""))</f>
        <v/>
      </c>
      <c r="B12" s="650">
        <f>IF($BJ12&gt;0,IF(INDEX('Final Calculation Sheet'!$F$4:$F$40,$BJ12-3)="","",INDEX('Final Calculation Sheet'!$F$4:$F$40,$BJ12-3)),"")</f>
        <v/>
      </c>
      <c r="C12" s="650">
        <f>IF($BJ12&gt;0,IF(INDEX('Final Calculation Sheet'!$G$4:$G$40,$BJ12-3)="","",INDEX('Final Calculation Sheet'!$G$4:$G$40,$BJ12-3)),IF(OR($BI12=1,$BH12&gt;0),IF($BI12=1,37,INDEX($BD$4:$BD$13,$BH12))&amp;" lot(s)",""))</f>
        <v/>
      </c>
      <c r="D12" s="651">
        <f>IF($BJ12&gt;0,IF(INDEX('Final Calculation Sheet'!$B$4:$B$40,$BJ12-3)="","",INDEX('Final Calculation Sheet'!$B$4:$B$40,$BJ12-3)),IF(OR($BI12=1,$BH12&gt;0),IF($BI12=1,"GRAND TOTAL  —  matching + remaining",IF($BH12=10,"REMAINING  —  did not match the search",IF($BH12=9,"ALL LOTS  —  nothing typed in the box","GROUP "&amp;$BH12&amp;" TOTAL  —  lots matching  "&amp;INDEX($AR$6:$AY$6,$BH12)))),""))</f>
        <v/>
      </c>
      <c r="E12" s="651">
        <f>IF($BJ12&gt;0,IF(INDEX('Final Calculation Sheet'!$D$4:$D$40,$BJ12-3)="","",INDEX('Final Calculation Sheet'!$D$4:$D$40,$BJ12-3)),IF(OR($BI12=1,$BH12&gt;0),"–",""))</f>
        <v/>
      </c>
      <c r="F12" s="651">
        <f>IF($BJ12&gt;0,IF(INDEX('Final Calculation Sheet'!$A$4:$A$40,$BJ12-3)="","",INDEX('Final Calculation Sheet'!$A$4:$A$40,$BJ12-3)),IF($BI12=1,SUM('Final Calculation Sheet'!$A$4:$A$40),IF($BH12&gt;0,SUMIFS('Final Calculation Sheet'!$A$4:$A$40,$AZ$5:$AZ$41,$BH12),"")))</f>
        <v/>
      </c>
      <c r="G12" s="651">
        <f>IF($BJ12&gt;0,IF(INDEX('Final Calculation Sheet'!$E$4:$E$40,$BJ12-3)="","",INDEX('Final Calculation Sheet'!$E$4:$E$40,$BJ12-3)),IF(OR($BI12=1,$BH12&gt;0),"–",""))</f>
        <v/>
      </c>
      <c r="H12" s="652">
        <f>IF($BJ12&gt;0,IF(INDEX('Final Calculation Sheet'!$C$4:$C$40,$BJ12-3)="","",INDEX('Final Calculation Sheet'!$C$4:$C$40,$BJ12-3)),IF(OR($BI12=1,$BH12&gt;0),"–",""))</f>
        <v/>
      </c>
      <c r="I12" s="652">
        <f>IF($BJ12&gt;0,IF(INDEX('Final Calculation Sheet'!$H$4:$H$40,$BJ12-3)="","",INDEX('Final Calculation Sheet'!$H$4:$H$40,$BJ12-3)),IF($BI12=1,SUM('Final Calculation Sheet'!$H$4:$H$40),IF($BH12&gt;0,SUMIFS('Final Calculation Sheet'!$H$4:$H$40,$AZ$5:$AZ$41,$BH12),"")))</f>
        <v/>
      </c>
      <c r="J12" s="652">
        <f>IF($BJ12&gt;0,IF(INDEX('Final Calculation Sheet'!$I$4:$I$40,$BJ12-3)="","",INDEX('Final Calculation Sheet'!$I$4:$I$40,$BJ12-3)),IF($BI12=1,SUM('Final Calculation Sheet'!$I$4:$I$40),IF($BH12&gt;0,SUMIFS('Final Calculation Sheet'!$I$4:$I$40,$AZ$5:$AZ$41,$BH12),"")))</f>
        <v/>
      </c>
      <c r="K12" s="652">
        <f>IF($BJ12&gt;0,IF(INDEX('Final Calculation Sheet'!$J$4:$J$40,$BJ12-3)="","",INDEX('Final Calculation Sheet'!$J$4:$J$40,$BJ12-3)),IF($BI12=1,SUM('Final Calculation Sheet'!$J$4:$J$40),IF($BH12&gt;0,SUMIFS('Final Calculation Sheet'!$J$4:$J$40,$AZ$5:$AZ$41,$BH12),"")))</f>
        <v/>
      </c>
      <c r="L12" s="652">
        <f>IF($BJ12&gt;0,IF(INDEX('Final Calculation Sheet'!$K$4:$K$40,$BJ12-3)="","",INDEX('Final Calculation Sheet'!$K$4:$K$40,$BJ12-3)),IF($BI12=1,SUM('Final Calculation Sheet'!$K$4:$K$40),IF($BH12&gt;0,SUMIFS('Final Calculation Sheet'!$K$4:$K$40,$AZ$5:$AZ$41,$BH12),"")))</f>
        <v/>
      </c>
      <c r="M12" s="652">
        <f>IF($BJ12&gt;0,IF(INDEX('Final Calculation Sheet'!$L$4:$L$40,$BJ12-3)="","",INDEX('Final Calculation Sheet'!$L$4:$L$40,$BJ12-3)),IF($BI12=1,SUM('Final Calculation Sheet'!$L$4:$L$40),IF($BH12&gt;0,SUMIFS('Final Calculation Sheet'!$L$4:$L$40,$AZ$5:$AZ$41,$BH12),"")))</f>
        <v/>
      </c>
      <c r="N12" s="652">
        <f>IF($BJ12&gt;0,IF(INDEX('Final Calculation Sheet'!$M$4:$M$40,$BJ12-3)="","",INDEX('Final Calculation Sheet'!$M$4:$M$40,$BJ12-3)),IF($BI12=1,SUM('Final Calculation Sheet'!$M$4:$M$40),IF($BH12&gt;0,SUMIFS('Final Calculation Sheet'!$M$4:$M$40,$AZ$5:$AZ$41,$BH12),"")))</f>
        <v/>
      </c>
      <c r="O12" s="653">
        <f>IF($BJ12&gt;0,IF(INDEX('Final Calculation Sheet'!$N$4:$N$40,$BJ12-3)="","",INDEX('Final Calculation Sheet'!$N$4:$N$40,$BJ12-3)),IF($BI12=1,SUM('Final Calculation Sheet'!$N$4:$N$40),IF($BH12&gt;0,SUMIFS('Final Calculation Sheet'!$N$4:$N$40,$AZ$5:$AZ$41,$BH12),"")))</f>
        <v/>
      </c>
      <c r="P12" s="652">
        <f>IF($BJ12&gt;0,IF(INDEX('Final Calculation Sheet'!$O$4:$O$40,$BJ12-3)="","",INDEX('Final Calculation Sheet'!$O$4:$O$40,$BJ12-3)),IF($BI12=1,SUM('Final Calculation Sheet'!$O$4:$O$40),IF($BH12&gt;0,SUMIFS('Final Calculation Sheet'!$O$4:$O$40,$AZ$5:$AZ$41,$BH12),"")))</f>
        <v/>
      </c>
      <c r="Q12" s="652">
        <f>IF($BJ12&gt;0,IF(INDEX('Final Calculation Sheet'!$P$4:$P$40,$BJ12-3)="","",INDEX('Final Calculation Sheet'!$P$4:$P$40,$BJ12-3)),IF($BI12=1,SUM('Final Calculation Sheet'!$P$4:$P$40),IF($BH12&gt;0,SUMIFS('Final Calculation Sheet'!$P$4:$P$40,$AZ$5:$AZ$41,$BH12),"")))</f>
        <v/>
      </c>
      <c r="R12" s="654">
        <f>IF($BJ12&gt;0,IF(INDEX('Final Calculation Sheet'!$Q$4:$Q$40,$BJ12-3)="","",INDEX('Final Calculation Sheet'!$Q$4:$Q$40,$BJ12-3)),IF(OR($BI12=1,$BH12&gt;0),"–",""))</f>
        <v/>
      </c>
      <c r="S12" s="652">
        <f>IF($BJ12&gt;0,IF(INDEX('Final Calculation Sheet'!$R$4:$R$40,$BJ12-3)="","",INDEX('Final Calculation Sheet'!$R$4:$R$40,$BJ12-3)),IF($BI12=1,SUM('Final Calculation Sheet'!$R$4:$R$40),IF($BH12&gt;0,SUMIFS('Final Calculation Sheet'!$R$4:$R$40,$AZ$5:$AZ$41,$BH12),"")))</f>
        <v/>
      </c>
      <c r="T12" s="652">
        <f>IF($BJ12&gt;0,IF(INDEX('Final Calculation Sheet'!$S$4:$S$40,$BJ12-3)="","",INDEX('Final Calculation Sheet'!$S$4:$S$40,$BJ12-3)),IF($BI12=1,SUM('Final Calculation Sheet'!$S$4:$S$40),IF($BH12&gt;0,SUMIFS('Final Calculation Sheet'!$S$4:$S$40,$AZ$5:$AZ$41,$BH12),"")))</f>
        <v/>
      </c>
      <c r="U12" s="652">
        <f>IF($BJ12&gt;0,IF(INDEX('Final Calculation Sheet'!$T$4:$T$40,$BJ12-3)="","",INDEX('Final Calculation Sheet'!$T$4:$T$40,$BJ12-3)),IF($BI12=1,SUM('Final Calculation Sheet'!$T$4:$T$40),IF($BH12&gt;0,SUMIFS('Final Calculation Sheet'!$T$4:$T$40,$AZ$5:$AZ$41,$BH12),"")))</f>
        <v/>
      </c>
      <c r="V12" s="655">
        <f>IF($BJ12&gt;0,IF(INDEX('Final Calculation Sheet'!$U$4:$U$40,$BJ12-3)="","",INDEX('Final Calculation Sheet'!$U$4:$U$40,$BJ12-3)),IF($BI12=1,SUM('Final Calculation Sheet'!$U$4:$U$40),IF($BH12&gt;0,SUMIFS('Final Calculation Sheet'!$U$4:$U$40,$AZ$5:$AZ$41,$BH12),"")))</f>
        <v/>
      </c>
      <c r="W12" s="652">
        <f>IF($BJ12&gt;0,IF(INDEX('Final Calculation Sheet'!$V$4:$V$40,$BJ12-3)="","",INDEX('Final Calculation Sheet'!$V$4:$V$40,$BJ12-3)),IF(OR($BI12=1,$BH12&gt;0),"–",""))</f>
        <v/>
      </c>
      <c r="X12" s="652">
        <f>IF($BJ12&gt;0,IF(INDEX('Final Calculation Sheet'!$W$4:$W$40,$BJ12-3)="","",INDEX('Final Calculation Sheet'!$W$4:$W$40,$BJ12-3)),IF($BI12=1,SUM('Final Calculation Sheet'!$W$4:$W$40),IF($BH12&gt;0,SUMIFS('Final Calculation Sheet'!$W$4:$W$40,$AZ$5:$AZ$41,$BH12),"")))</f>
        <v/>
      </c>
      <c r="Y12" s="652">
        <f>IF($BJ12&gt;0,IF(INDEX('Final Calculation Sheet'!$X$4:$X$40,$BJ12-3)="","",INDEX('Final Calculation Sheet'!$X$4:$X$40,$BJ12-3)),IF($BI12=1,SUM('Final Calculation Sheet'!$X$4:$X$40),IF($BH12&gt;0,SUMIFS('Final Calculation Sheet'!$X$4:$X$40,$AZ$5:$AZ$41,$BH12),"")))</f>
        <v/>
      </c>
      <c r="Z12" s="652">
        <f>IF($BJ12&gt;0,IF(INDEX('Final Calculation Sheet'!$Y$4:$Y$40,$BJ12-3)="","",INDEX('Final Calculation Sheet'!$Y$4:$Y$40,$BJ12-3)),IF(OR($BI12=1,$BH12&gt;0),"–",""))</f>
        <v/>
      </c>
      <c r="AA12" s="652">
        <f>IF($BJ12&gt;0,IF(INDEX('Final Calculation Sheet'!$Z$4:$Z$40,$BJ12-3)="","",INDEX('Final Calculation Sheet'!$Z$4:$Z$40,$BJ12-3)),IF($BI12=1,SUM('Final Calculation Sheet'!$Z$4:$Z$40),IF($BH12&gt;0,SUMIFS('Final Calculation Sheet'!$Z$4:$Z$40,$AZ$5:$AZ$41,$BH12),"")))</f>
        <v/>
      </c>
      <c r="AB12" s="652">
        <f>IF($BJ12&gt;0,IF(INDEX('Final Calculation Sheet'!$AA$4:$AA$40,$BJ12-3)="","",INDEX('Final Calculation Sheet'!$AA$4:$AA$40,$BJ12-3)),IF($BI12=1,SUM('Final Calculation Sheet'!$AA$4:$AA$40),IF($BH12&gt;0,SUMIFS('Final Calculation Sheet'!$AA$4:$AA$40,$AZ$5:$AZ$41,$BH12),"")))</f>
        <v/>
      </c>
      <c r="AC12" s="652">
        <f>IF($BJ12&gt;0,IF(INDEX('Final Calculation Sheet'!$AB$4:$AB$40,$BJ12-3)="","",INDEX('Final Calculation Sheet'!$AB$4:$AB$40,$BJ12-3)),IF(OR($BI12=1,$BH12&gt;0),"–",""))</f>
        <v/>
      </c>
      <c r="AD12" s="652">
        <f>IF($BJ12&gt;0,IF(INDEX('Final Calculation Sheet'!$AC$4:$AC$40,$BJ12-3)="","",INDEX('Final Calculation Sheet'!$AC$4:$AC$40,$BJ12-3)),IF($BI12=1,SUM('Final Calculation Sheet'!$AC$4:$AC$40),IF($BH12&gt;0,SUMIFS('Final Calculation Sheet'!$AC$4:$AC$40,$AZ$5:$AZ$41,$BH12),"")))</f>
        <v/>
      </c>
      <c r="AE12" s="652">
        <f>IF($BJ12&gt;0,IF(INDEX('Final Calculation Sheet'!$AD$4:$AD$40,$BJ12-3)="","",INDEX('Final Calculation Sheet'!$AD$4:$AD$40,$BJ12-3)),IF($BI12=1,SUM('Final Calculation Sheet'!$AD$4:$AD$40),IF($BH12&gt;0,SUMIFS('Final Calculation Sheet'!$AD$4:$AD$40,$AZ$5:$AZ$41,$BH12),"")))</f>
        <v/>
      </c>
      <c r="AF12" s="652">
        <f>IF($BJ12&gt;0,IF(INDEX('Final Calculation Sheet'!$AE$4:$AE$40,$BJ12-3)="","",INDEX('Final Calculation Sheet'!$AE$4:$AE$40,$BJ12-3)),IF(OR($BI12=1,$BH12&gt;0),"–",""))</f>
        <v/>
      </c>
      <c r="AG12" s="656">
        <f>IF($BJ12&gt;0,IF(INDEX('Final Calculation Sheet'!$AF$4:$AF$40,$BJ12-3)="","",INDEX('Final Calculation Sheet'!$AF$4:$AF$40,$BJ12-3)),IF(OR($BI12=1,$BH12&gt;0),"–",""))</f>
        <v/>
      </c>
      <c r="AH12" s="652">
        <f>IF($BJ12&gt;0,IF(INDEX('Final Calculation Sheet'!$AG$4:$AG$40,$BJ12-3)="","",INDEX('Final Calculation Sheet'!$AG$4:$AG$40,$BJ12-3)),IF(OR($BI12=1,$BH12&gt;0),"–",""))</f>
        <v/>
      </c>
      <c r="AI12" s="657">
        <f>IF($BJ12&gt;0,IF(INDEX('Final Calculation Sheet'!$AD$4:$AD$40,$BJ12-3)="","",IF(INDEX('Final Calculation Sheet'!$AD$4:$AD$40,$BJ12-3)&lt;=0,"SETTLED","OUTSTANDING")),IF(OR($BI12=1,$BH12&gt;0),IF(IF($BI12=1,SUM('Final Calculation Sheet'!$AD$4:$AD$40),SUMIFS('Final Calculation Sheet'!$AD$4:$AD$40,$AZ$5:$AZ$41,$BH12))&lt;=0,"ALL SETTLED","OUTSTANDING"),""))</f>
        <v/>
      </c>
      <c r="AK12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/>
      </c>
      <c r="AM12">
        <f>IF($B$3="",1,IF(AND(IF(COUNTIF($AR$9:$AY$9,1)=0,TRUE,SUMPRODUCT(($AR$9:$AY$9=1)*($AR$6:$AY$6&lt;&gt;"")*ISNUMBER(SEARCH($AR$6:$AY$6,$AK12)))&gt;0),IF(COUNTIF($AR$9:$AY$9,2)=0,TRUE,SUMPRODUCT(($AR$9:$AY$9=2)*($AR$6:$AY$6&lt;&gt;"")*ISNUMBER(SEARCH($AR$6:$AY$6,$AK12)))&gt;0),IF(COUNTIF($AR$9:$AY$9,3)=0,TRUE,SUMPRODUCT(($AR$9:$AY$9=3)*($AR$6:$AY$6&lt;&gt;"")*ISNUMBER(SEARCH($AR$6:$AY$6,$AK12)))&gt;0),IF(COUNTIF($AR$9:$AY$9,4)=0,TRUE,SUMPRODUCT(($AR$9:$AY$9=4)*($AR$6:$AY$6&lt;&gt;"")*ISNUMBER(SEARCH($AR$6:$AY$6,$AK12)))&gt;0),IF(COUNTIF($AR$9:$AY$9,5)=0,TRUE,SUMPRODUCT(($AR$9:$AY$9=5)*($AR$6:$AY$6&lt;&gt;"")*ISNUMBER(SEARCH($AR$6:$AY$6,$AK12)))&gt;0),IF(COUNTIF($AR$9:$AY$9,6)=0,TRUE,SUMPRODUCT(($AR$9:$AY$9=6)*($AR$6:$AY$6&lt;&gt;"")*ISNUMBER(SEARCH($AR$6:$AY$6,$AK12)))&gt;0),IF(COUNTIF($AR$9:$AY$9,7)=0,TRUE,SUMPRODUCT(($AR$9:$AY$9=7)*($AR$6:$AY$6&lt;&gt;"")*ISNUMBER(SEARCH($AR$6:$AY$6,$AK12)))&gt;0),IF(COUNTIF($AR$9:$AY$9,8)=0,TRUE,SUMPRODUCT(($AR$9:$AY$9=8)*($AR$6:$AY$6&lt;&gt;"")*ISNUMBER(SEARCH($AR$6:$AY$6,$AK12)))&gt;0)),1,0))</f>
        <v/>
      </c>
      <c r="AZ12">
        <f>IF($B$3="",9,IF($AM12=0,10,IF(AND($AR$6&lt;&gt;"",ISNUMBER(SEARCH($AR$6,$AK12))),1,IF(AND($AS$6&lt;&gt;"",ISNUMBER(SEARCH($AS$6,$AK12))),2,IF(AND($AT$6&lt;&gt;"",ISNUMBER(SEARCH($AT$6,$AK12))),3,IF(AND($AU$6&lt;&gt;"",ISNUMBER(SEARCH($AU$6,$AK12))),4,IF(AND($AV$6&lt;&gt;"",ISNUMBER(SEARCH($AV$6,$AK12))),5,IF(AND($AW$6&lt;&gt;"",ISNUMBER(SEARCH($AW$6,$AK12))),6,IF(AND($AX$6&lt;&gt;"",ISNUMBER(SEARCH($AX$6,$AK12))),7,IF(AND($AY$6&lt;&gt;"",ISNUMBER(SEARCH($AY$6,$AK12))),8,0))))))))))</f>
        <v/>
      </c>
      <c r="BA12">
        <f>SUMPRODUCT(($AZ$5:$AZ$41=$AZ12)*($BC$5:$BC$41&lt;$BC12))+1</f>
        <v/>
      </c>
      <c r="BB12">
        <f>IF(INDEX($BF$4:$BF$13,$AZ12)=0,0,INDEX($BE$4:$BE$13,$AZ12)+$BA12-1)</f>
        <v/>
      </c>
      <c r="BC12" t="n">
        <v>11</v>
      </c>
      <c r="BD12">
        <f>COUNTIF($AZ$5:$AZ$41,9)</f>
        <v/>
      </c>
      <c r="BE12">
        <f>IF($BD11=0,$BE11,$BF11+1)</f>
        <v/>
      </c>
      <c r="BF12">
        <f>IF($BD12=0,0,$BE12+$BD12)</f>
        <v/>
      </c>
      <c r="BH12">
        <f>IFERROR(MATCH(12,$BF$4:$BF$13,0),0)</f>
        <v/>
      </c>
      <c r="BI12">
        <f>IF(12=$BG$4,1,0)</f>
        <v/>
      </c>
      <c r="BJ12">
        <f>IF(OR($BH12&gt;0,$BI12=1),0,IFERROR(INDEX($BC$5:$BC$41,MATCH(12,$BB$5:$BB$41,0)),0))</f>
        <v/>
      </c>
      <c r="BK12">
        <f>IF($BJ12&gt;0,IF(INDEX($AZ$5:$AZ$41,MATCH(12,$BB$5:$BB$41,0))=10,1,0),IF($BH12=10,1,0))</f>
        <v/>
      </c>
    </row>
    <row r="13" ht="15" customHeight="1">
      <c r="A13" s="649">
        <f>IF($BJ13&gt;0,INDEX($BA$5:$BA$41,MATCH(13,$BB$5:$BB$41,0)),IF(OR($BI13=1,$BH13&gt;0),"∑",""))</f>
        <v/>
      </c>
      <c r="B13" s="650">
        <f>IF($BJ13&gt;0,IF(INDEX('Final Calculation Sheet'!$F$4:$F$40,$BJ13-3)="","",INDEX('Final Calculation Sheet'!$F$4:$F$40,$BJ13-3)),"")</f>
        <v/>
      </c>
      <c r="C13" s="650">
        <f>IF($BJ13&gt;0,IF(INDEX('Final Calculation Sheet'!$G$4:$G$40,$BJ13-3)="","",INDEX('Final Calculation Sheet'!$G$4:$G$40,$BJ13-3)),IF(OR($BI13=1,$BH13&gt;0),IF($BI13=1,37,INDEX($BD$4:$BD$13,$BH13))&amp;" lot(s)",""))</f>
        <v/>
      </c>
      <c r="D13" s="651">
        <f>IF($BJ13&gt;0,IF(INDEX('Final Calculation Sheet'!$B$4:$B$40,$BJ13-3)="","",INDEX('Final Calculation Sheet'!$B$4:$B$40,$BJ13-3)),IF(OR($BI13=1,$BH13&gt;0),IF($BI13=1,"GRAND TOTAL  —  matching + remaining",IF($BH13=10,"REMAINING  —  did not match the search",IF($BH13=9,"ALL LOTS  —  nothing typed in the box","GROUP "&amp;$BH13&amp;" TOTAL  —  lots matching  "&amp;INDEX($AR$6:$AY$6,$BH13)))),""))</f>
        <v/>
      </c>
      <c r="E13" s="651">
        <f>IF($BJ13&gt;0,IF(INDEX('Final Calculation Sheet'!$D$4:$D$40,$BJ13-3)="","",INDEX('Final Calculation Sheet'!$D$4:$D$40,$BJ13-3)),IF(OR($BI13=1,$BH13&gt;0),"–",""))</f>
        <v/>
      </c>
      <c r="F13" s="651">
        <f>IF($BJ13&gt;0,IF(INDEX('Final Calculation Sheet'!$A$4:$A$40,$BJ13-3)="","",INDEX('Final Calculation Sheet'!$A$4:$A$40,$BJ13-3)),IF($BI13=1,SUM('Final Calculation Sheet'!$A$4:$A$40),IF($BH13&gt;0,SUMIFS('Final Calculation Sheet'!$A$4:$A$40,$AZ$5:$AZ$41,$BH13),"")))</f>
        <v/>
      </c>
      <c r="G13" s="651">
        <f>IF($BJ13&gt;0,IF(INDEX('Final Calculation Sheet'!$E$4:$E$40,$BJ13-3)="","",INDEX('Final Calculation Sheet'!$E$4:$E$40,$BJ13-3)),IF(OR($BI13=1,$BH13&gt;0),"–",""))</f>
        <v/>
      </c>
      <c r="H13" s="652">
        <f>IF($BJ13&gt;0,IF(INDEX('Final Calculation Sheet'!$C$4:$C$40,$BJ13-3)="","",INDEX('Final Calculation Sheet'!$C$4:$C$40,$BJ13-3)),IF(OR($BI13=1,$BH13&gt;0),"–",""))</f>
        <v/>
      </c>
      <c r="I13" s="652">
        <f>IF($BJ13&gt;0,IF(INDEX('Final Calculation Sheet'!$H$4:$H$40,$BJ13-3)="","",INDEX('Final Calculation Sheet'!$H$4:$H$40,$BJ13-3)),IF($BI13=1,SUM('Final Calculation Sheet'!$H$4:$H$40),IF($BH13&gt;0,SUMIFS('Final Calculation Sheet'!$H$4:$H$40,$AZ$5:$AZ$41,$BH13),"")))</f>
        <v/>
      </c>
      <c r="J13" s="652">
        <f>IF($BJ13&gt;0,IF(INDEX('Final Calculation Sheet'!$I$4:$I$40,$BJ13-3)="","",INDEX('Final Calculation Sheet'!$I$4:$I$40,$BJ13-3)),IF($BI13=1,SUM('Final Calculation Sheet'!$I$4:$I$40),IF($BH13&gt;0,SUMIFS('Final Calculation Sheet'!$I$4:$I$40,$AZ$5:$AZ$41,$BH13),"")))</f>
        <v/>
      </c>
      <c r="K13" s="652">
        <f>IF($BJ13&gt;0,IF(INDEX('Final Calculation Sheet'!$J$4:$J$40,$BJ13-3)="","",INDEX('Final Calculation Sheet'!$J$4:$J$40,$BJ13-3)),IF($BI13=1,SUM('Final Calculation Sheet'!$J$4:$J$40),IF($BH13&gt;0,SUMIFS('Final Calculation Sheet'!$J$4:$J$40,$AZ$5:$AZ$41,$BH13),"")))</f>
        <v/>
      </c>
      <c r="L13" s="652">
        <f>IF($BJ13&gt;0,IF(INDEX('Final Calculation Sheet'!$K$4:$K$40,$BJ13-3)="","",INDEX('Final Calculation Sheet'!$K$4:$K$40,$BJ13-3)),IF($BI13=1,SUM('Final Calculation Sheet'!$K$4:$K$40),IF($BH13&gt;0,SUMIFS('Final Calculation Sheet'!$K$4:$K$40,$AZ$5:$AZ$41,$BH13),"")))</f>
        <v/>
      </c>
      <c r="M13" s="652">
        <f>IF($BJ13&gt;0,IF(INDEX('Final Calculation Sheet'!$L$4:$L$40,$BJ13-3)="","",INDEX('Final Calculation Sheet'!$L$4:$L$40,$BJ13-3)),IF($BI13=1,SUM('Final Calculation Sheet'!$L$4:$L$40),IF($BH13&gt;0,SUMIFS('Final Calculation Sheet'!$L$4:$L$40,$AZ$5:$AZ$41,$BH13),"")))</f>
        <v/>
      </c>
      <c r="N13" s="652">
        <f>IF($BJ13&gt;0,IF(INDEX('Final Calculation Sheet'!$M$4:$M$40,$BJ13-3)="","",INDEX('Final Calculation Sheet'!$M$4:$M$40,$BJ13-3)),IF($BI13=1,SUM('Final Calculation Sheet'!$M$4:$M$40),IF($BH13&gt;0,SUMIFS('Final Calculation Sheet'!$M$4:$M$40,$AZ$5:$AZ$41,$BH13),"")))</f>
        <v/>
      </c>
      <c r="O13" s="653">
        <f>IF($BJ13&gt;0,IF(INDEX('Final Calculation Sheet'!$N$4:$N$40,$BJ13-3)="","",INDEX('Final Calculation Sheet'!$N$4:$N$40,$BJ13-3)),IF($BI13=1,SUM('Final Calculation Sheet'!$N$4:$N$40),IF($BH13&gt;0,SUMIFS('Final Calculation Sheet'!$N$4:$N$40,$AZ$5:$AZ$41,$BH13),"")))</f>
        <v/>
      </c>
      <c r="P13" s="652">
        <f>IF($BJ13&gt;0,IF(INDEX('Final Calculation Sheet'!$O$4:$O$40,$BJ13-3)="","",INDEX('Final Calculation Sheet'!$O$4:$O$40,$BJ13-3)),IF($BI13=1,SUM('Final Calculation Sheet'!$O$4:$O$40),IF($BH13&gt;0,SUMIFS('Final Calculation Sheet'!$O$4:$O$40,$AZ$5:$AZ$41,$BH13),"")))</f>
        <v/>
      </c>
      <c r="Q13" s="652">
        <f>IF($BJ13&gt;0,IF(INDEX('Final Calculation Sheet'!$P$4:$P$40,$BJ13-3)="","",INDEX('Final Calculation Sheet'!$P$4:$P$40,$BJ13-3)),IF($BI13=1,SUM('Final Calculation Sheet'!$P$4:$P$40),IF($BH13&gt;0,SUMIFS('Final Calculation Sheet'!$P$4:$P$40,$AZ$5:$AZ$41,$BH13),"")))</f>
        <v/>
      </c>
      <c r="R13" s="654">
        <f>IF($BJ13&gt;0,IF(INDEX('Final Calculation Sheet'!$Q$4:$Q$40,$BJ13-3)="","",INDEX('Final Calculation Sheet'!$Q$4:$Q$40,$BJ13-3)),IF(OR($BI13=1,$BH13&gt;0),"–",""))</f>
        <v/>
      </c>
      <c r="S13" s="652">
        <f>IF($BJ13&gt;0,IF(INDEX('Final Calculation Sheet'!$R$4:$R$40,$BJ13-3)="","",INDEX('Final Calculation Sheet'!$R$4:$R$40,$BJ13-3)),IF($BI13=1,SUM('Final Calculation Sheet'!$R$4:$R$40),IF($BH13&gt;0,SUMIFS('Final Calculation Sheet'!$R$4:$R$40,$AZ$5:$AZ$41,$BH13),"")))</f>
        <v/>
      </c>
      <c r="T13" s="652">
        <f>IF($BJ13&gt;0,IF(INDEX('Final Calculation Sheet'!$S$4:$S$40,$BJ13-3)="","",INDEX('Final Calculation Sheet'!$S$4:$S$40,$BJ13-3)),IF($BI13=1,SUM('Final Calculation Sheet'!$S$4:$S$40),IF($BH13&gt;0,SUMIFS('Final Calculation Sheet'!$S$4:$S$40,$AZ$5:$AZ$41,$BH13),"")))</f>
        <v/>
      </c>
      <c r="U13" s="652">
        <f>IF($BJ13&gt;0,IF(INDEX('Final Calculation Sheet'!$T$4:$T$40,$BJ13-3)="","",INDEX('Final Calculation Sheet'!$T$4:$T$40,$BJ13-3)),IF($BI13=1,SUM('Final Calculation Sheet'!$T$4:$T$40),IF($BH13&gt;0,SUMIFS('Final Calculation Sheet'!$T$4:$T$40,$AZ$5:$AZ$41,$BH13),"")))</f>
        <v/>
      </c>
      <c r="V13" s="655">
        <f>IF($BJ13&gt;0,IF(INDEX('Final Calculation Sheet'!$U$4:$U$40,$BJ13-3)="","",INDEX('Final Calculation Sheet'!$U$4:$U$40,$BJ13-3)),IF($BI13=1,SUM('Final Calculation Sheet'!$U$4:$U$40),IF($BH13&gt;0,SUMIFS('Final Calculation Sheet'!$U$4:$U$40,$AZ$5:$AZ$41,$BH13),"")))</f>
        <v/>
      </c>
      <c r="W13" s="652">
        <f>IF($BJ13&gt;0,IF(INDEX('Final Calculation Sheet'!$V$4:$V$40,$BJ13-3)="","",INDEX('Final Calculation Sheet'!$V$4:$V$40,$BJ13-3)),IF(OR($BI13=1,$BH13&gt;0),"–",""))</f>
        <v/>
      </c>
      <c r="X13" s="652">
        <f>IF($BJ13&gt;0,IF(INDEX('Final Calculation Sheet'!$W$4:$W$40,$BJ13-3)="","",INDEX('Final Calculation Sheet'!$W$4:$W$40,$BJ13-3)),IF($BI13=1,SUM('Final Calculation Sheet'!$W$4:$W$40),IF($BH13&gt;0,SUMIFS('Final Calculation Sheet'!$W$4:$W$40,$AZ$5:$AZ$41,$BH13),"")))</f>
        <v/>
      </c>
      <c r="Y13" s="652">
        <f>IF($BJ13&gt;0,IF(INDEX('Final Calculation Sheet'!$X$4:$X$40,$BJ13-3)="","",INDEX('Final Calculation Sheet'!$X$4:$X$40,$BJ13-3)),IF($BI13=1,SUM('Final Calculation Sheet'!$X$4:$X$40),IF($BH13&gt;0,SUMIFS('Final Calculation Sheet'!$X$4:$X$40,$AZ$5:$AZ$41,$BH13),"")))</f>
        <v/>
      </c>
      <c r="Z13" s="652">
        <f>IF($BJ13&gt;0,IF(INDEX('Final Calculation Sheet'!$Y$4:$Y$40,$BJ13-3)="","",INDEX('Final Calculation Sheet'!$Y$4:$Y$40,$BJ13-3)),IF(OR($BI13=1,$BH13&gt;0),"–",""))</f>
        <v/>
      </c>
      <c r="AA13" s="652">
        <f>IF($BJ13&gt;0,IF(INDEX('Final Calculation Sheet'!$Z$4:$Z$40,$BJ13-3)="","",INDEX('Final Calculation Sheet'!$Z$4:$Z$40,$BJ13-3)),IF($BI13=1,SUM('Final Calculation Sheet'!$Z$4:$Z$40),IF($BH13&gt;0,SUMIFS('Final Calculation Sheet'!$Z$4:$Z$40,$AZ$5:$AZ$41,$BH13),"")))</f>
        <v/>
      </c>
      <c r="AB13" s="652">
        <f>IF($BJ13&gt;0,IF(INDEX('Final Calculation Sheet'!$AA$4:$AA$40,$BJ13-3)="","",INDEX('Final Calculation Sheet'!$AA$4:$AA$40,$BJ13-3)),IF($BI13=1,SUM('Final Calculation Sheet'!$AA$4:$AA$40),IF($BH13&gt;0,SUMIFS('Final Calculation Sheet'!$AA$4:$AA$40,$AZ$5:$AZ$41,$BH13),"")))</f>
        <v/>
      </c>
      <c r="AC13" s="652">
        <f>IF($BJ13&gt;0,IF(INDEX('Final Calculation Sheet'!$AB$4:$AB$40,$BJ13-3)="","",INDEX('Final Calculation Sheet'!$AB$4:$AB$40,$BJ13-3)),IF(OR($BI13=1,$BH13&gt;0),"–",""))</f>
        <v/>
      </c>
      <c r="AD13" s="652">
        <f>IF($BJ13&gt;0,IF(INDEX('Final Calculation Sheet'!$AC$4:$AC$40,$BJ13-3)="","",INDEX('Final Calculation Sheet'!$AC$4:$AC$40,$BJ13-3)),IF($BI13=1,SUM('Final Calculation Sheet'!$AC$4:$AC$40),IF($BH13&gt;0,SUMIFS('Final Calculation Sheet'!$AC$4:$AC$40,$AZ$5:$AZ$41,$BH13),"")))</f>
        <v/>
      </c>
      <c r="AE13" s="652">
        <f>IF($BJ13&gt;0,IF(INDEX('Final Calculation Sheet'!$AD$4:$AD$40,$BJ13-3)="","",INDEX('Final Calculation Sheet'!$AD$4:$AD$40,$BJ13-3)),IF($BI13=1,SUM('Final Calculation Sheet'!$AD$4:$AD$40),IF($BH13&gt;0,SUMIFS('Final Calculation Sheet'!$AD$4:$AD$40,$AZ$5:$AZ$41,$BH13),"")))</f>
        <v/>
      </c>
      <c r="AF13" s="652">
        <f>IF($BJ13&gt;0,IF(INDEX('Final Calculation Sheet'!$AE$4:$AE$40,$BJ13-3)="","",INDEX('Final Calculation Sheet'!$AE$4:$AE$40,$BJ13-3)),IF(OR($BI13=1,$BH13&gt;0),"–",""))</f>
        <v/>
      </c>
      <c r="AG13" s="656">
        <f>IF($BJ13&gt;0,IF(INDEX('Final Calculation Sheet'!$AF$4:$AF$40,$BJ13-3)="","",INDEX('Final Calculation Sheet'!$AF$4:$AF$40,$BJ13-3)),IF(OR($BI13=1,$BH13&gt;0),"–",""))</f>
        <v/>
      </c>
      <c r="AH13" s="652">
        <f>IF($BJ13&gt;0,IF(INDEX('Final Calculation Sheet'!$AG$4:$AG$40,$BJ13-3)="","",INDEX('Final Calculation Sheet'!$AG$4:$AG$40,$BJ13-3)),IF(OR($BI13=1,$BH13&gt;0),"–",""))</f>
        <v/>
      </c>
      <c r="AI13" s="657">
        <f>IF($BJ13&gt;0,IF(INDEX('Final Calculation Sheet'!$AD$4:$AD$40,$BJ13-3)="","",IF(INDEX('Final Calculation Sheet'!$AD$4:$AD$40,$BJ13-3)&lt;=0,"SETTLED","OUTSTANDING")),IF(OR($BI13=1,$BH13&gt;0),IF(IF($BI13=1,SUM('Final Calculation Sheet'!$AD$4:$AD$40),SUMIFS('Final Calculation Sheet'!$AD$4:$AD$40,$AZ$5:$AZ$41,$BH13))&lt;=0,"ALL SETTLED","OUTSTANDING"),""))</f>
        <v/>
      </c>
      <c r="AK13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/>
      </c>
      <c r="AM13">
        <f>IF($B$3="",1,IF(AND(IF(COUNTIF($AR$9:$AY$9,1)=0,TRUE,SUMPRODUCT(($AR$9:$AY$9=1)*($AR$6:$AY$6&lt;&gt;"")*ISNUMBER(SEARCH($AR$6:$AY$6,$AK13)))&gt;0),IF(COUNTIF($AR$9:$AY$9,2)=0,TRUE,SUMPRODUCT(($AR$9:$AY$9=2)*($AR$6:$AY$6&lt;&gt;"")*ISNUMBER(SEARCH($AR$6:$AY$6,$AK13)))&gt;0),IF(COUNTIF($AR$9:$AY$9,3)=0,TRUE,SUMPRODUCT(($AR$9:$AY$9=3)*($AR$6:$AY$6&lt;&gt;"")*ISNUMBER(SEARCH($AR$6:$AY$6,$AK13)))&gt;0),IF(COUNTIF($AR$9:$AY$9,4)=0,TRUE,SUMPRODUCT(($AR$9:$AY$9=4)*($AR$6:$AY$6&lt;&gt;"")*ISNUMBER(SEARCH($AR$6:$AY$6,$AK13)))&gt;0),IF(COUNTIF($AR$9:$AY$9,5)=0,TRUE,SUMPRODUCT(($AR$9:$AY$9=5)*($AR$6:$AY$6&lt;&gt;"")*ISNUMBER(SEARCH($AR$6:$AY$6,$AK13)))&gt;0),IF(COUNTIF($AR$9:$AY$9,6)=0,TRUE,SUMPRODUCT(($AR$9:$AY$9=6)*($AR$6:$AY$6&lt;&gt;"")*ISNUMBER(SEARCH($AR$6:$AY$6,$AK13)))&gt;0),IF(COUNTIF($AR$9:$AY$9,7)=0,TRUE,SUMPRODUCT(($AR$9:$AY$9=7)*($AR$6:$AY$6&lt;&gt;"")*ISNUMBER(SEARCH($AR$6:$AY$6,$AK13)))&gt;0),IF(COUNTIF($AR$9:$AY$9,8)=0,TRUE,SUMPRODUCT(($AR$9:$AY$9=8)*($AR$6:$AY$6&lt;&gt;"")*ISNUMBER(SEARCH($AR$6:$AY$6,$AK13)))&gt;0)),1,0))</f>
        <v/>
      </c>
      <c r="AZ13">
        <f>IF($B$3="",9,IF($AM13=0,10,IF(AND($AR$6&lt;&gt;"",ISNUMBER(SEARCH($AR$6,$AK13))),1,IF(AND($AS$6&lt;&gt;"",ISNUMBER(SEARCH($AS$6,$AK13))),2,IF(AND($AT$6&lt;&gt;"",ISNUMBER(SEARCH($AT$6,$AK13))),3,IF(AND($AU$6&lt;&gt;"",ISNUMBER(SEARCH($AU$6,$AK13))),4,IF(AND($AV$6&lt;&gt;"",ISNUMBER(SEARCH($AV$6,$AK13))),5,IF(AND($AW$6&lt;&gt;"",ISNUMBER(SEARCH($AW$6,$AK13))),6,IF(AND($AX$6&lt;&gt;"",ISNUMBER(SEARCH($AX$6,$AK13))),7,IF(AND($AY$6&lt;&gt;"",ISNUMBER(SEARCH($AY$6,$AK13))),8,0))))))))))</f>
        <v/>
      </c>
      <c r="BA13">
        <f>SUMPRODUCT(($AZ$5:$AZ$41=$AZ13)*($BC$5:$BC$41&lt;$BC13))+1</f>
        <v/>
      </c>
      <c r="BB13">
        <f>IF(INDEX($BF$4:$BF$13,$AZ13)=0,0,INDEX($BE$4:$BE$13,$AZ13)+$BA13-1)</f>
        <v/>
      </c>
      <c r="BC13" t="n">
        <v>12</v>
      </c>
      <c r="BD13">
        <f>COUNTIF($AZ$5:$AZ$41,10)</f>
        <v/>
      </c>
      <c r="BE13">
        <f>IF($BD12=0,$BE12,$BF12+1)</f>
        <v/>
      </c>
      <c r="BF13">
        <f>IF($BD13=0,0,$BE13+$BD13)</f>
        <v/>
      </c>
      <c r="BH13">
        <f>IFERROR(MATCH(13,$BF$4:$BF$13,0),0)</f>
        <v/>
      </c>
      <c r="BI13">
        <f>IF(13=$BG$4,1,0)</f>
        <v/>
      </c>
      <c r="BJ13">
        <f>IF(OR($BH13&gt;0,$BI13=1),0,IFERROR(INDEX($BC$5:$BC$41,MATCH(13,$BB$5:$BB$41,0)),0))</f>
        <v/>
      </c>
      <c r="BK13">
        <f>IF($BJ13&gt;0,IF(INDEX($AZ$5:$AZ$41,MATCH(13,$BB$5:$BB$41,0))=10,1,0),IF($BH13=10,1,0))</f>
        <v/>
      </c>
    </row>
    <row r="14" ht="15" customHeight="1">
      <c r="A14" s="649">
        <f>IF($BJ14&gt;0,INDEX($BA$5:$BA$41,MATCH(14,$BB$5:$BB$41,0)),IF(OR($BI14=1,$BH14&gt;0),"∑",""))</f>
        <v/>
      </c>
      <c r="B14" s="650">
        <f>IF($BJ14&gt;0,IF(INDEX('Final Calculation Sheet'!$F$4:$F$40,$BJ14-3)="","",INDEX('Final Calculation Sheet'!$F$4:$F$40,$BJ14-3)),"")</f>
        <v/>
      </c>
      <c r="C14" s="650">
        <f>IF($BJ14&gt;0,IF(INDEX('Final Calculation Sheet'!$G$4:$G$40,$BJ14-3)="","",INDEX('Final Calculation Sheet'!$G$4:$G$40,$BJ14-3)),IF(OR($BI14=1,$BH14&gt;0),IF($BI14=1,37,INDEX($BD$4:$BD$13,$BH14))&amp;" lot(s)",""))</f>
        <v/>
      </c>
      <c r="D14" s="651">
        <f>IF($BJ14&gt;0,IF(INDEX('Final Calculation Sheet'!$B$4:$B$40,$BJ14-3)="","",INDEX('Final Calculation Sheet'!$B$4:$B$40,$BJ14-3)),IF(OR($BI14=1,$BH14&gt;0),IF($BI14=1,"GRAND TOTAL  —  matching + remaining",IF($BH14=10,"REMAINING  —  did not match the search",IF($BH14=9,"ALL LOTS  —  nothing typed in the box","GROUP "&amp;$BH14&amp;" TOTAL  —  lots matching  "&amp;INDEX($AR$6:$AY$6,$BH14)))),""))</f>
        <v/>
      </c>
      <c r="E14" s="651">
        <f>IF($BJ14&gt;0,IF(INDEX('Final Calculation Sheet'!$D$4:$D$40,$BJ14-3)="","",INDEX('Final Calculation Sheet'!$D$4:$D$40,$BJ14-3)),IF(OR($BI14=1,$BH14&gt;0),"–",""))</f>
        <v/>
      </c>
      <c r="F14" s="651">
        <f>IF($BJ14&gt;0,IF(INDEX('Final Calculation Sheet'!$A$4:$A$40,$BJ14-3)="","",INDEX('Final Calculation Sheet'!$A$4:$A$40,$BJ14-3)),IF($BI14=1,SUM('Final Calculation Sheet'!$A$4:$A$40),IF($BH14&gt;0,SUMIFS('Final Calculation Sheet'!$A$4:$A$40,$AZ$5:$AZ$41,$BH14),"")))</f>
        <v/>
      </c>
      <c r="G14" s="651">
        <f>IF($BJ14&gt;0,IF(INDEX('Final Calculation Sheet'!$E$4:$E$40,$BJ14-3)="","",INDEX('Final Calculation Sheet'!$E$4:$E$40,$BJ14-3)),IF(OR($BI14=1,$BH14&gt;0),"–",""))</f>
        <v/>
      </c>
      <c r="H14" s="652">
        <f>IF($BJ14&gt;0,IF(INDEX('Final Calculation Sheet'!$C$4:$C$40,$BJ14-3)="","",INDEX('Final Calculation Sheet'!$C$4:$C$40,$BJ14-3)),IF(OR($BI14=1,$BH14&gt;0),"–",""))</f>
        <v/>
      </c>
      <c r="I14" s="652">
        <f>IF($BJ14&gt;0,IF(INDEX('Final Calculation Sheet'!$H$4:$H$40,$BJ14-3)="","",INDEX('Final Calculation Sheet'!$H$4:$H$40,$BJ14-3)),IF($BI14=1,SUM('Final Calculation Sheet'!$H$4:$H$40),IF($BH14&gt;0,SUMIFS('Final Calculation Sheet'!$H$4:$H$40,$AZ$5:$AZ$41,$BH14),"")))</f>
        <v/>
      </c>
      <c r="J14" s="652">
        <f>IF($BJ14&gt;0,IF(INDEX('Final Calculation Sheet'!$I$4:$I$40,$BJ14-3)="","",INDEX('Final Calculation Sheet'!$I$4:$I$40,$BJ14-3)),IF($BI14=1,SUM('Final Calculation Sheet'!$I$4:$I$40),IF($BH14&gt;0,SUMIFS('Final Calculation Sheet'!$I$4:$I$40,$AZ$5:$AZ$41,$BH14),"")))</f>
        <v/>
      </c>
      <c r="K14" s="652">
        <f>IF($BJ14&gt;0,IF(INDEX('Final Calculation Sheet'!$J$4:$J$40,$BJ14-3)="","",INDEX('Final Calculation Sheet'!$J$4:$J$40,$BJ14-3)),IF($BI14=1,SUM('Final Calculation Sheet'!$J$4:$J$40),IF($BH14&gt;0,SUMIFS('Final Calculation Sheet'!$J$4:$J$40,$AZ$5:$AZ$41,$BH14),"")))</f>
        <v/>
      </c>
      <c r="L14" s="652">
        <f>IF($BJ14&gt;0,IF(INDEX('Final Calculation Sheet'!$K$4:$K$40,$BJ14-3)="","",INDEX('Final Calculation Sheet'!$K$4:$K$40,$BJ14-3)),IF($BI14=1,SUM('Final Calculation Sheet'!$K$4:$K$40),IF($BH14&gt;0,SUMIFS('Final Calculation Sheet'!$K$4:$K$40,$AZ$5:$AZ$41,$BH14),"")))</f>
        <v/>
      </c>
      <c r="M14" s="652">
        <f>IF($BJ14&gt;0,IF(INDEX('Final Calculation Sheet'!$L$4:$L$40,$BJ14-3)="","",INDEX('Final Calculation Sheet'!$L$4:$L$40,$BJ14-3)),IF($BI14=1,SUM('Final Calculation Sheet'!$L$4:$L$40),IF($BH14&gt;0,SUMIFS('Final Calculation Sheet'!$L$4:$L$40,$AZ$5:$AZ$41,$BH14),"")))</f>
        <v/>
      </c>
      <c r="N14" s="652">
        <f>IF($BJ14&gt;0,IF(INDEX('Final Calculation Sheet'!$M$4:$M$40,$BJ14-3)="","",INDEX('Final Calculation Sheet'!$M$4:$M$40,$BJ14-3)),IF($BI14=1,SUM('Final Calculation Sheet'!$M$4:$M$40),IF($BH14&gt;0,SUMIFS('Final Calculation Sheet'!$M$4:$M$40,$AZ$5:$AZ$41,$BH14),"")))</f>
        <v/>
      </c>
      <c r="O14" s="653">
        <f>IF($BJ14&gt;0,IF(INDEX('Final Calculation Sheet'!$N$4:$N$40,$BJ14-3)="","",INDEX('Final Calculation Sheet'!$N$4:$N$40,$BJ14-3)),IF($BI14=1,SUM('Final Calculation Sheet'!$N$4:$N$40),IF($BH14&gt;0,SUMIFS('Final Calculation Sheet'!$N$4:$N$40,$AZ$5:$AZ$41,$BH14),"")))</f>
        <v/>
      </c>
      <c r="P14" s="652">
        <f>IF($BJ14&gt;0,IF(INDEX('Final Calculation Sheet'!$O$4:$O$40,$BJ14-3)="","",INDEX('Final Calculation Sheet'!$O$4:$O$40,$BJ14-3)),IF($BI14=1,SUM('Final Calculation Sheet'!$O$4:$O$40),IF($BH14&gt;0,SUMIFS('Final Calculation Sheet'!$O$4:$O$40,$AZ$5:$AZ$41,$BH14),"")))</f>
        <v/>
      </c>
      <c r="Q14" s="652">
        <f>IF($BJ14&gt;0,IF(INDEX('Final Calculation Sheet'!$P$4:$P$40,$BJ14-3)="","",INDEX('Final Calculation Sheet'!$P$4:$P$40,$BJ14-3)),IF($BI14=1,SUM('Final Calculation Sheet'!$P$4:$P$40),IF($BH14&gt;0,SUMIFS('Final Calculation Sheet'!$P$4:$P$40,$AZ$5:$AZ$41,$BH14),"")))</f>
        <v/>
      </c>
      <c r="R14" s="654">
        <f>IF($BJ14&gt;0,IF(INDEX('Final Calculation Sheet'!$Q$4:$Q$40,$BJ14-3)="","",INDEX('Final Calculation Sheet'!$Q$4:$Q$40,$BJ14-3)),IF(OR($BI14=1,$BH14&gt;0),"–",""))</f>
        <v/>
      </c>
      <c r="S14" s="652">
        <f>IF($BJ14&gt;0,IF(INDEX('Final Calculation Sheet'!$R$4:$R$40,$BJ14-3)="","",INDEX('Final Calculation Sheet'!$R$4:$R$40,$BJ14-3)),IF($BI14=1,SUM('Final Calculation Sheet'!$R$4:$R$40),IF($BH14&gt;0,SUMIFS('Final Calculation Sheet'!$R$4:$R$40,$AZ$5:$AZ$41,$BH14),"")))</f>
        <v/>
      </c>
      <c r="T14" s="652">
        <f>IF($BJ14&gt;0,IF(INDEX('Final Calculation Sheet'!$S$4:$S$40,$BJ14-3)="","",INDEX('Final Calculation Sheet'!$S$4:$S$40,$BJ14-3)),IF($BI14=1,SUM('Final Calculation Sheet'!$S$4:$S$40),IF($BH14&gt;0,SUMIFS('Final Calculation Sheet'!$S$4:$S$40,$AZ$5:$AZ$41,$BH14),"")))</f>
        <v/>
      </c>
      <c r="U14" s="652">
        <f>IF($BJ14&gt;0,IF(INDEX('Final Calculation Sheet'!$T$4:$T$40,$BJ14-3)="","",INDEX('Final Calculation Sheet'!$T$4:$T$40,$BJ14-3)),IF($BI14=1,SUM('Final Calculation Sheet'!$T$4:$T$40),IF($BH14&gt;0,SUMIFS('Final Calculation Sheet'!$T$4:$T$40,$AZ$5:$AZ$41,$BH14),"")))</f>
        <v/>
      </c>
      <c r="V14" s="655">
        <f>IF($BJ14&gt;0,IF(INDEX('Final Calculation Sheet'!$U$4:$U$40,$BJ14-3)="","",INDEX('Final Calculation Sheet'!$U$4:$U$40,$BJ14-3)),IF($BI14=1,SUM('Final Calculation Sheet'!$U$4:$U$40),IF($BH14&gt;0,SUMIFS('Final Calculation Sheet'!$U$4:$U$40,$AZ$5:$AZ$41,$BH14),"")))</f>
        <v/>
      </c>
      <c r="W14" s="652">
        <f>IF($BJ14&gt;0,IF(INDEX('Final Calculation Sheet'!$V$4:$V$40,$BJ14-3)="","",INDEX('Final Calculation Sheet'!$V$4:$V$40,$BJ14-3)),IF(OR($BI14=1,$BH14&gt;0),"–",""))</f>
        <v/>
      </c>
      <c r="X14" s="652">
        <f>IF($BJ14&gt;0,IF(INDEX('Final Calculation Sheet'!$W$4:$W$40,$BJ14-3)="","",INDEX('Final Calculation Sheet'!$W$4:$W$40,$BJ14-3)),IF($BI14=1,SUM('Final Calculation Sheet'!$W$4:$W$40),IF($BH14&gt;0,SUMIFS('Final Calculation Sheet'!$W$4:$W$40,$AZ$5:$AZ$41,$BH14),"")))</f>
        <v/>
      </c>
      <c r="Y14" s="652">
        <f>IF($BJ14&gt;0,IF(INDEX('Final Calculation Sheet'!$X$4:$X$40,$BJ14-3)="","",INDEX('Final Calculation Sheet'!$X$4:$X$40,$BJ14-3)),IF($BI14=1,SUM('Final Calculation Sheet'!$X$4:$X$40),IF($BH14&gt;0,SUMIFS('Final Calculation Sheet'!$X$4:$X$40,$AZ$5:$AZ$41,$BH14),"")))</f>
        <v/>
      </c>
      <c r="Z14" s="652">
        <f>IF($BJ14&gt;0,IF(INDEX('Final Calculation Sheet'!$Y$4:$Y$40,$BJ14-3)="","",INDEX('Final Calculation Sheet'!$Y$4:$Y$40,$BJ14-3)),IF(OR($BI14=1,$BH14&gt;0),"–",""))</f>
        <v/>
      </c>
      <c r="AA14" s="652">
        <f>IF($BJ14&gt;0,IF(INDEX('Final Calculation Sheet'!$Z$4:$Z$40,$BJ14-3)="","",INDEX('Final Calculation Sheet'!$Z$4:$Z$40,$BJ14-3)),IF($BI14=1,SUM('Final Calculation Sheet'!$Z$4:$Z$40),IF($BH14&gt;0,SUMIFS('Final Calculation Sheet'!$Z$4:$Z$40,$AZ$5:$AZ$41,$BH14),"")))</f>
        <v/>
      </c>
      <c r="AB14" s="652">
        <f>IF($BJ14&gt;0,IF(INDEX('Final Calculation Sheet'!$AA$4:$AA$40,$BJ14-3)="","",INDEX('Final Calculation Sheet'!$AA$4:$AA$40,$BJ14-3)),IF($BI14=1,SUM('Final Calculation Sheet'!$AA$4:$AA$40),IF($BH14&gt;0,SUMIFS('Final Calculation Sheet'!$AA$4:$AA$40,$AZ$5:$AZ$41,$BH14),"")))</f>
        <v/>
      </c>
      <c r="AC14" s="652">
        <f>IF($BJ14&gt;0,IF(INDEX('Final Calculation Sheet'!$AB$4:$AB$40,$BJ14-3)="","",INDEX('Final Calculation Sheet'!$AB$4:$AB$40,$BJ14-3)),IF(OR($BI14=1,$BH14&gt;0),"–",""))</f>
        <v/>
      </c>
      <c r="AD14" s="652">
        <f>IF($BJ14&gt;0,IF(INDEX('Final Calculation Sheet'!$AC$4:$AC$40,$BJ14-3)="","",INDEX('Final Calculation Sheet'!$AC$4:$AC$40,$BJ14-3)),IF($BI14=1,SUM('Final Calculation Sheet'!$AC$4:$AC$40),IF($BH14&gt;0,SUMIFS('Final Calculation Sheet'!$AC$4:$AC$40,$AZ$5:$AZ$41,$BH14),"")))</f>
        <v/>
      </c>
      <c r="AE14" s="652">
        <f>IF($BJ14&gt;0,IF(INDEX('Final Calculation Sheet'!$AD$4:$AD$40,$BJ14-3)="","",INDEX('Final Calculation Sheet'!$AD$4:$AD$40,$BJ14-3)),IF($BI14=1,SUM('Final Calculation Sheet'!$AD$4:$AD$40),IF($BH14&gt;0,SUMIFS('Final Calculation Sheet'!$AD$4:$AD$40,$AZ$5:$AZ$41,$BH14),"")))</f>
        <v/>
      </c>
      <c r="AF14" s="652">
        <f>IF($BJ14&gt;0,IF(INDEX('Final Calculation Sheet'!$AE$4:$AE$40,$BJ14-3)="","",INDEX('Final Calculation Sheet'!$AE$4:$AE$40,$BJ14-3)),IF(OR($BI14=1,$BH14&gt;0),"–",""))</f>
        <v/>
      </c>
      <c r="AG14" s="656">
        <f>IF($BJ14&gt;0,IF(INDEX('Final Calculation Sheet'!$AF$4:$AF$40,$BJ14-3)="","",INDEX('Final Calculation Sheet'!$AF$4:$AF$40,$BJ14-3)),IF(OR($BI14=1,$BH14&gt;0),"–",""))</f>
        <v/>
      </c>
      <c r="AH14" s="652">
        <f>IF($BJ14&gt;0,IF(INDEX('Final Calculation Sheet'!$AG$4:$AG$40,$BJ14-3)="","",INDEX('Final Calculation Sheet'!$AG$4:$AG$40,$BJ14-3)),IF(OR($BI14=1,$BH14&gt;0),"–",""))</f>
        <v/>
      </c>
      <c r="AI14" s="657">
        <f>IF($BJ14&gt;0,IF(INDEX('Final Calculation Sheet'!$AD$4:$AD$40,$BJ14-3)="","",IF(INDEX('Final Calculation Sheet'!$AD$4:$AD$40,$BJ14-3)&lt;=0,"SETTLED","OUTSTANDING")),IF(OR($BI14=1,$BH14&gt;0),IF(IF($BI14=1,SUM('Final Calculation Sheet'!$AD$4:$AD$40),SUMIFS('Final Calculation Sheet'!$AD$4:$AD$40,$AZ$5:$AZ$41,$BH14))&lt;=0,"ALL SETTLED","OUTSTANDING"),""))</f>
        <v/>
      </c>
      <c r="AK14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/>
      </c>
      <c r="AM14">
        <f>IF($B$3="",1,IF(AND(IF(COUNTIF($AR$9:$AY$9,1)=0,TRUE,SUMPRODUCT(($AR$9:$AY$9=1)*($AR$6:$AY$6&lt;&gt;"")*ISNUMBER(SEARCH($AR$6:$AY$6,$AK14)))&gt;0),IF(COUNTIF($AR$9:$AY$9,2)=0,TRUE,SUMPRODUCT(($AR$9:$AY$9=2)*($AR$6:$AY$6&lt;&gt;"")*ISNUMBER(SEARCH($AR$6:$AY$6,$AK14)))&gt;0),IF(COUNTIF($AR$9:$AY$9,3)=0,TRUE,SUMPRODUCT(($AR$9:$AY$9=3)*($AR$6:$AY$6&lt;&gt;"")*ISNUMBER(SEARCH($AR$6:$AY$6,$AK14)))&gt;0),IF(COUNTIF($AR$9:$AY$9,4)=0,TRUE,SUMPRODUCT(($AR$9:$AY$9=4)*($AR$6:$AY$6&lt;&gt;"")*ISNUMBER(SEARCH($AR$6:$AY$6,$AK14)))&gt;0),IF(COUNTIF($AR$9:$AY$9,5)=0,TRUE,SUMPRODUCT(($AR$9:$AY$9=5)*($AR$6:$AY$6&lt;&gt;"")*ISNUMBER(SEARCH($AR$6:$AY$6,$AK14)))&gt;0),IF(COUNTIF($AR$9:$AY$9,6)=0,TRUE,SUMPRODUCT(($AR$9:$AY$9=6)*($AR$6:$AY$6&lt;&gt;"")*ISNUMBER(SEARCH($AR$6:$AY$6,$AK14)))&gt;0),IF(COUNTIF($AR$9:$AY$9,7)=0,TRUE,SUMPRODUCT(($AR$9:$AY$9=7)*($AR$6:$AY$6&lt;&gt;"")*ISNUMBER(SEARCH($AR$6:$AY$6,$AK14)))&gt;0),IF(COUNTIF($AR$9:$AY$9,8)=0,TRUE,SUMPRODUCT(($AR$9:$AY$9=8)*($AR$6:$AY$6&lt;&gt;"")*ISNUMBER(SEARCH($AR$6:$AY$6,$AK14)))&gt;0)),1,0))</f>
        <v/>
      </c>
      <c r="AZ14">
        <f>IF($B$3="",9,IF($AM14=0,10,IF(AND($AR$6&lt;&gt;"",ISNUMBER(SEARCH($AR$6,$AK14))),1,IF(AND($AS$6&lt;&gt;"",ISNUMBER(SEARCH($AS$6,$AK14))),2,IF(AND($AT$6&lt;&gt;"",ISNUMBER(SEARCH($AT$6,$AK14))),3,IF(AND($AU$6&lt;&gt;"",ISNUMBER(SEARCH($AU$6,$AK14))),4,IF(AND($AV$6&lt;&gt;"",ISNUMBER(SEARCH($AV$6,$AK14))),5,IF(AND($AW$6&lt;&gt;"",ISNUMBER(SEARCH($AW$6,$AK14))),6,IF(AND($AX$6&lt;&gt;"",ISNUMBER(SEARCH($AX$6,$AK14))),7,IF(AND($AY$6&lt;&gt;"",ISNUMBER(SEARCH($AY$6,$AK14))),8,0))))))))))</f>
        <v/>
      </c>
      <c r="BA14">
        <f>SUMPRODUCT(($AZ$5:$AZ$41=$AZ14)*($BC$5:$BC$41&lt;$BC14))+1</f>
        <v/>
      </c>
      <c r="BB14">
        <f>IF(INDEX($BF$4:$BF$13,$AZ14)=0,0,INDEX($BE$4:$BE$13,$AZ14)+$BA14-1)</f>
        <v/>
      </c>
      <c r="BC14" t="n">
        <v>13</v>
      </c>
      <c r="BH14">
        <f>IFERROR(MATCH(14,$BF$4:$BF$13,0),0)</f>
        <v/>
      </c>
      <c r="BI14">
        <f>IF(14=$BG$4,1,0)</f>
        <v/>
      </c>
      <c r="BJ14">
        <f>IF(OR($BH14&gt;0,$BI14=1),0,IFERROR(INDEX($BC$5:$BC$41,MATCH(14,$BB$5:$BB$41,0)),0))</f>
        <v/>
      </c>
      <c r="BK14">
        <f>IF($BJ14&gt;0,IF(INDEX($AZ$5:$AZ$41,MATCH(14,$BB$5:$BB$41,0))=10,1,0),IF($BH14=10,1,0))</f>
        <v/>
      </c>
    </row>
    <row r="15" ht="15" customHeight="1">
      <c r="A15" s="649">
        <f>IF($BJ15&gt;0,INDEX($BA$5:$BA$41,MATCH(15,$BB$5:$BB$41,0)),IF(OR($BI15=1,$BH15&gt;0),"∑",""))</f>
        <v/>
      </c>
      <c r="B15" s="650">
        <f>IF($BJ15&gt;0,IF(INDEX('Final Calculation Sheet'!$F$4:$F$40,$BJ15-3)="","",INDEX('Final Calculation Sheet'!$F$4:$F$40,$BJ15-3)),"")</f>
        <v/>
      </c>
      <c r="C15" s="650">
        <f>IF($BJ15&gt;0,IF(INDEX('Final Calculation Sheet'!$G$4:$G$40,$BJ15-3)="","",INDEX('Final Calculation Sheet'!$G$4:$G$40,$BJ15-3)),IF(OR($BI15=1,$BH15&gt;0),IF($BI15=1,37,INDEX($BD$4:$BD$13,$BH15))&amp;" lot(s)",""))</f>
        <v/>
      </c>
      <c r="D15" s="651">
        <f>IF($BJ15&gt;0,IF(INDEX('Final Calculation Sheet'!$B$4:$B$40,$BJ15-3)="","",INDEX('Final Calculation Sheet'!$B$4:$B$40,$BJ15-3)),IF(OR($BI15=1,$BH15&gt;0),IF($BI15=1,"GRAND TOTAL  —  matching + remaining",IF($BH15=10,"REMAINING  —  did not match the search",IF($BH15=9,"ALL LOTS  —  nothing typed in the box","GROUP "&amp;$BH15&amp;" TOTAL  —  lots matching  "&amp;INDEX($AR$6:$AY$6,$BH15)))),""))</f>
        <v/>
      </c>
      <c r="E15" s="651">
        <f>IF($BJ15&gt;0,IF(INDEX('Final Calculation Sheet'!$D$4:$D$40,$BJ15-3)="","",INDEX('Final Calculation Sheet'!$D$4:$D$40,$BJ15-3)),IF(OR($BI15=1,$BH15&gt;0),"–",""))</f>
        <v/>
      </c>
      <c r="F15" s="651">
        <f>IF($BJ15&gt;0,IF(INDEX('Final Calculation Sheet'!$A$4:$A$40,$BJ15-3)="","",INDEX('Final Calculation Sheet'!$A$4:$A$40,$BJ15-3)),IF($BI15=1,SUM('Final Calculation Sheet'!$A$4:$A$40),IF($BH15&gt;0,SUMIFS('Final Calculation Sheet'!$A$4:$A$40,$AZ$5:$AZ$41,$BH15),"")))</f>
        <v/>
      </c>
      <c r="G15" s="651">
        <f>IF($BJ15&gt;0,IF(INDEX('Final Calculation Sheet'!$E$4:$E$40,$BJ15-3)="","",INDEX('Final Calculation Sheet'!$E$4:$E$40,$BJ15-3)),IF(OR($BI15=1,$BH15&gt;0),"–",""))</f>
        <v/>
      </c>
      <c r="H15" s="652">
        <f>IF($BJ15&gt;0,IF(INDEX('Final Calculation Sheet'!$C$4:$C$40,$BJ15-3)="","",INDEX('Final Calculation Sheet'!$C$4:$C$40,$BJ15-3)),IF(OR($BI15=1,$BH15&gt;0),"–",""))</f>
        <v/>
      </c>
      <c r="I15" s="652">
        <f>IF($BJ15&gt;0,IF(INDEX('Final Calculation Sheet'!$H$4:$H$40,$BJ15-3)="","",INDEX('Final Calculation Sheet'!$H$4:$H$40,$BJ15-3)),IF($BI15=1,SUM('Final Calculation Sheet'!$H$4:$H$40),IF($BH15&gt;0,SUMIFS('Final Calculation Sheet'!$H$4:$H$40,$AZ$5:$AZ$41,$BH15),"")))</f>
        <v/>
      </c>
      <c r="J15" s="652">
        <f>IF($BJ15&gt;0,IF(INDEX('Final Calculation Sheet'!$I$4:$I$40,$BJ15-3)="","",INDEX('Final Calculation Sheet'!$I$4:$I$40,$BJ15-3)),IF($BI15=1,SUM('Final Calculation Sheet'!$I$4:$I$40),IF($BH15&gt;0,SUMIFS('Final Calculation Sheet'!$I$4:$I$40,$AZ$5:$AZ$41,$BH15),"")))</f>
        <v/>
      </c>
      <c r="K15" s="652">
        <f>IF($BJ15&gt;0,IF(INDEX('Final Calculation Sheet'!$J$4:$J$40,$BJ15-3)="","",INDEX('Final Calculation Sheet'!$J$4:$J$40,$BJ15-3)),IF($BI15=1,SUM('Final Calculation Sheet'!$J$4:$J$40),IF($BH15&gt;0,SUMIFS('Final Calculation Sheet'!$J$4:$J$40,$AZ$5:$AZ$41,$BH15),"")))</f>
        <v/>
      </c>
      <c r="L15" s="652">
        <f>IF($BJ15&gt;0,IF(INDEX('Final Calculation Sheet'!$K$4:$K$40,$BJ15-3)="","",INDEX('Final Calculation Sheet'!$K$4:$K$40,$BJ15-3)),IF($BI15=1,SUM('Final Calculation Sheet'!$K$4:$K$40),IF($BH15&gt;0,SUMIFS('Final Calculation Sheet'!$K$4:$K$40,$AZ$5:$AZ$41,$BH15),"")))</f>
        <v/>
      </c>
      <c r="M15" s="652">
        <f>IF($BJ15&gt;0,IF(INDEX('Final Calculation Sheet'!$L$4:$L$40,$BJ15-3)="","",INDEX('Final Calculation Sheet'!$L$4:$L$40,$BJ15-3)),IF($BI15=1,SUM('Final Calculation Sheet'!$L$4:$L$40),IF($BH15&gt;0,SUMIFS('Final Calculation Sheet'!$L$4:$L$40,$AZ$5:$AZ$41,$BH15),"")))</f>
        <v/>
      </c>
      <c r="N15" s="652">
        <f>IF($BJ15&gt;0,IF(INDEX('Final Calculation Sheet'!$M$4:$M$40,$BJ15-3)="","",INDEX('Final Calculation Sheet'!$M$4:$M$40,$BJ15-3)),IF($BI15=1,SUM('Final Calculation Sheet'!$M$4:$M$40),IF($BH15&gt;0,SUMIFS('Final Calculation Sheet'!$M$4:$M$40,$AZ$5:$AZ$41,$BH15),"")))</f>
        <v/>
      </c>
      <c r="O15" s="653">
        <f>IF($BJ15&gt;0,IF(INDEX('Final Calculation Sheet'!$N$4:$N$40,$BJ15-3)="","",INDEX('Final Calculation Sheet'!$N$4:$N$40,$BJ15-3)),IF($BI15=1,SUM('Final Calculation Sheet'!$N$4:$N$40),IF($BH15&gt;0,SUMIFS('Final Calculation Sheet'!$N$4:$N$40,$AZ$5:$AZ$41,$BH15),"")))</f>
        <v/>
      </c>
      <c r="P15" s="652">
        <f>IF($BJ15&gt;0,IF(INDEX('Final Calculation Sheet'!$O$4:$O$40,$BJ15-3)="","",INDEX('Final Calculation Sheet'!$O$4:$O$40,$BJ15-3)),IF($BI15=1,SUM('Final Calculation Sheet'!$O$4:$O$40),IF($BH15&gt;0,SUMIFS('Final Calculation Sheet'!$O$4:$O$40,$AZ$5:$AZ$41,$BH15),"")))</f>
        <v/>
      </c>
      <c r="Q15" s="652">
        <f>IF($BJ15&gt;0,IF(INDEX('Final Calculation Sheet'!$P$4:$P$40,$BJ15-3)="","",INDEX('Final Calculation Sheet'!$P$4:$P$40,$BJ15-3)),IF($BI15=1,SUM('Final Calculation Sheet'!$P$4:$P$40),IF($BH15&gt;0,SUMIFS('Final Calculation Sheet'!$P$4:$P$40,$AZ$5:$AZ$41,$BH15),"")))</f>
        <v/>
      </c>
      <c r="R15" s="654">
        <f>IF($BJ15&gt;0,IF(INDEX('Final Calculation Sheet'!$Q$4:$Q$40,$BJ15-3)="","",INDEX('Final Calculation Sheet'!$Q$4:$Q$40,$BJ15-3)),IF(OR($BI15=1,$BH15&gt;0),"–",""))</f>
        <v/>
      </c>
      <c r="S15" s="652">
        <f>IF($BJ15&gt;0,IF(INDEX('Final Calculation Sheet'!$R$4:$R$40,$BJ15-3)="","",INDEX('Final Calculation Sheet'!$R$4:$R$40,$BJ15-3)),IF($BI15=1,SUM('Final Calculation Sheet'!$R$4:$R$40),IF($BH15&gt;0,SUMIFS('Final Calculation Sheet'!$R$4:$R$40,$AZ$5:$AZ$41,$BH15),"")))</f>
        <v/>
      </c>
      <c r="T15" s="652">
        <f>IF($BJ15&gt;0,IF(INDEX('Final Calculation Sheet'!$S$4:$S$40,$BJ15-3)="","",INDEX('Final Calculation Sheet'!$S$4:$S$40,$BJ15-3)),IF($BI15=1,SUM('Final Calculation Sheet'!$S$4:$S$40),IF($BH15&gt;0,SUMIFS('Final Calculation Sheet'!$S$4:$S$40,$AZ$5:$AZ$41,$BH15),"")))</f>
        <v/>
      </c>
      <c r="U15" s="652">
        <f>IF($BJ15&gt;0,IF(INDEX('Final Calculation Sheet'!$T$4:$T$40,$BJ15-3)="","",INDEX('Final Calculation Sheet'!$T$4:$T$40,$BJ15-3)),IF($BI15=1,SUM('Final Calculation Sheet'!$T$4:$T$40),IF($BH15&gt;0,SUMIFS('Final Calculation Sheet'!$T$4:$T$40,$AZ$5:$AZ$41,$BH15),"")))</f>
        <v/>
      </c>
      <c r="V15" s="655">
        <f>IF($BJ15&gt;0,IF(INDEX('Final Calculation Sheet'!$U$4:$U$40,$BJ15-3)="","",INDEX('Final Calculation Sheet'!$U$4:$U$40,$BJ15-3)),IF($BI15=1,SUM('Final Calculation Sheet'!$U$4:$U$40),IF($BH15&gt;0,SUMIFS('Final Calculation Sheet'!$U$4:$U$40,$AZ$5:$AZ$41,$BH15),"")))</f>
        <v/>
      </c>
      <c r="W15" s="652">
        <f>IF($BJ15&gt;0,IF(INDEX('Final Calculation Sheet'!$V$4:$V$40,$BJ15-3)="","",INDEX('Final Calculation Sheet'!$V$4:$V$40,$BJ15-3)),IF(OR($BI15=1,$BH15&gt;0),"–",""))</f>
        <v/>
      </c>
      <c r="X15" s="652">
        <f>IF($BJ15&gt;0,IF(INDEX('Final Calculation Sheet'!$W$4:$W$40,$BJ15-3)="","",INDEX('Final Calculation Sheet'!$W$4:$W$40,$BJ15-3)),IF($BI15=1,SUM('Final Calculation Sheet'!$W$4:$W$40),IF($BH15&gt;0,SUMIFS('Final Calculation Sheet'!$W$4:$W$40,$AZ$5:$AZ$41,$BH15),"")))</f>
        <v/>
      </c>
      <c r="Y15" s="652">
        <f>IF($BJ15&gt;0,IF(INDEX('Final Calculation Sheet'!$X$4:$X$40,$BJ15-3)="","",INDEX('Final Calculation Sheet'!$X$4:$X$40,$BJ15-3)),IF($BI15=1,SUM('Final Calculation Sheet'!$X$4:$X$40),IF($BH15&gt;0,SUMIFS('Final Calculation Sheet'!$X$4:$X$40,$AZ$5:$AZ$41,$BH15),"")))</f>
        <v/>
      </c>
      <c r="Z15" s="652">
        <f>IF($BJ15&gt;0,IF(INDEX('Final Calculation Sheet'!$Y$4:$Y$40,$BJ15-3)="","",INDEX('Final Calculation Sheet'!$Y$4:$Y$40,$BJ15-3)),IF(OR($BI15=1,$BH15&gt;0),"–",""))</f>
        <v/>
      </c>
      <c r="AA15" s="652">
        <f>IF($BJ15&gt;0,IF(INDEX('Final Calculation Sheet'!$Z$4:$Z$40,$BJ15-3)="","",INDEX('Final Calculation Sheet'!$Z$4:$Z$40,$BJ15-3)),IF($BI15=1,SUM('Final Calculation Sheet'!$Z$4:$Z$40),IF($BH15&gt;0,SUMIFS('Final Calculation Sheet'!$Z$4:$Z$40,$AZ$5:$AZ$41,$BH15),"")))</f>
        <v/>
      </c>
      <c r="AB15" s="652">
        <f>IF($BJ15&gt;0,IF(INDEX('Final Calculation Sheet'!$AA$4:$AA$40,$BJ15-3)="","",INDEX('Final Calculation Sheet'!$AA$4:$AA$40,$BJ15-3)),IF($BI15=1,SUM('Final Calculation Sheet'!$AA$4:$AA$40),IF($BH15&gt;0,SUMIFS('Final Calculation Sheet'!$AA$4:$AA$40,$AZ$5:$AZ$41,$BH15),"")))</f>
        <v/>
      </c>
      <c r="AC15" s="652">
        <f>IF($BJ15&gt;0,IF(INDEX('Final Calculation Sheet'!$AB$4:$AB$40,$BJ15-3)="","",INDEX('Final Calculation Sheet'!$AB$4:$AB$40,$BJ15-3)),IF(OR($BI15=1,$BH15&gt;0),"–",""))</f>
        <v/>
      </c>
      <c r="AD15" s="652">
        <f>IF($BJ15&gt;0,IF(INDEX('Final Calculation Sheet'!$AC$4:$AC$40,$BJ15-3)="","",INDEX('Final Calculation Sheet'!$AC$4:$AC$40,$BJ15-3)),IF($BI15=1,SUM('Final Calculation Sheet'!$AC$4:$AC$40),IF($BH15&gt;0,SUMIFS('Final Calculation Sheet'!$AC$4:$AC$40,$AZ$5:$AZ$41,$BH15),"")))</f>
        <v/>
      </c>
      <c r="AE15" s="652">
        <f>IF($BJ15&gt;0,IF(INDEX('Final Calculation Sheet'!$AD$4:$AD$40,$BJ15-3)="","",INDEX('Final Calculation Sheet'!$AD$4:$AD$40,$BJ15-3)),IF($BI15=1,SUM('Final Calculation Sheet'!$AD$4:$AD$40),IF($BH15&gt;0,SUMIFS('Final Calculation Sheet'!$AD$4:$AD$40,$AZ$5:$AZ$41,$BH15),"")))</f>
        <v/>
      </c>
      <c r="AF15" s="652">
        <f>IF($BJ15&gt;0,IF(INDEX('Final Calculation Sheet'!$AE$4:$AE$40,$BJ15-3)="","",INDEX('Final Calculation Sheet'!$AE$4:$AE$40,$BJ15-3)),IF(OR($BI15=1,$BH15&gt;0),"–",""))</f>
        <v/>
      </c>
      <c r="AG15" s="656">
        <f>IF($BJ15&gt;0,IF(INDEX('Final Calculation Sheet'!$AF$4:$AF$40,$BJ15-3)="","",INDEX('Final Calculation Sheet'!$AF$4:$AF$40,$BJ15-3)),IF(OR($BI15=1,$BH15&gt;0),"–",""))</f>
        <v/>
      </c>
      <c r="AH15" s="652">
        <f>IF($BJ15&gt;0,IF(INDEX('Final Calculation Sheet'!$AG$4:$AG$40,$BJ15-3)="","",INDEX('Final Calculation Sheet'!$AG$4:$AG$40,$BJ15-3)),IF(OR($BI15=1,$BH15&gt;0),"–",""))</f>
        <v/>
      </c>
      <c r="AI15" s="657">
        <f>IF($BJ15&gt;0,IF(INDEX('Final Calculation Sheet'!$AD$4:$AD$40,$BJ15-3)="","",IF(INDEX('Final Calculation Sheet'!$AD$4:$AD$40,$BJ15-3)&lt;=0,"SETTLED","OUTSTANDING")),IF(OR($BI15=1,$BH15&gt;0),IF(IF($BI15=1,SUM('Final Calculation Sheet'!$AD$4:$AD$40),SUMIFS('Final Calculation Sheet'!$AD$4:$AD$40,$AZ$5:$AZ$41,$BH15))&lt;=0,"ALL SETTLED","OUTSTANDING"),""))</f>
        <v/>
      </c>
      <c r="AK15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/>
      </c>
      <c r="AM15">
        <f>IF($B$3="",1,IF(AND(IF(COUNTIF($AR$9:$AY$9,1)=0,TRUE,SUMPRODUCT(($AR$9:$AY$9=1)*($AR$6:$AY$6&lt;&gt;"")*ISNUMBER(SEARCH($AR$6:$AY$6,$AK15)))&gt;0),IF(COUNTIF($AR$9:$AY$9,2)=0,TRUE,SUMPRODUCT(($AR$9:$AY$9=2)*($AR$6:$AY$6&lt;&gt;"")*ISNUMBER(SEARCH($AR$6:$AY$6,$AK15)))&gt;0),IF(COUNTIF($AR$9:$AY$9,3)=0,TRUE,SUMPRODUCT(($AR$9:$AY$9=3)*($AR$6:$AY$6&lt;&gt;"")*ISNUMBER(SEARCH($AR$6:$AY$6,$AK15)))&gt;0),IF(COUNTIF($AR$9:$AY$9,4)=0,TRUE,SUMPRODUCT(($AR$9:$AY$9=4)*($AR$6:$AY$6&lt;&gt;"")*ISNUMBER(SEARCH($AR$6:$AY$6,$AK15)))&gt;0),IF(COUNTIF($AR$9:$AY$9,5)=0,TRUE,SUMPRODUCT(($AR$9:$AY$9=5)*($AR$6:$AY$6&lt;&gt;"")*ISNUMBER(SEARCH($AR$6:$AY$6,$AK15)))&gt;0),IF(COUNTIF($AR$9:$AY$9,6)=0,TRUE,SUMPRODUCT(($AR$9:$AY$9=6)*($AR$6:$AY$6&lt;&gt;"")*ISNUMBER(SEARCH($AR$6:$AY$6,$AK15)))&gt;0),IF(COUNTIF($AR$9:$AY$9,7)=0,TRUE,SUMPRODUCT(($AR$9:$AY$9=7)*($AR$6:$AY$6&lt;&gt;"")*ISNUMBER(SEARCH($AR$6:$AY$6,$AK15)))&gt;0),IF(COUNTIF($AR$9:$AY$9,8)=0,TRUE,SUMPRODUCT(($AR$9:$AY$9=8)*($AR$6:$AY$6&lt;&gt;"")*ISNUMBER(SEARCH($AR$6:$AY$6,$AK15)))&gt;0)),1,0))</f>
        <v/>
      </c>
      <c r="AZ15">
        <f>IF($B$3="",9,IF($AM15=0,10,IF(AND($AR$6&lt;&gt;"",ISNUMBER(SEARCH($AR$6,$AK15))),1,IF(AND($AS$6&lt;&gt;"",ISNUMBER(SEARCH($AS$6,$AK15))),2,IF(AND($AT$6&lt;&gt;"",ISNUMBER(SEARCH($AT$6,$AK15))),3,IF(AND($AU$6&lt;&gt;"",ISNUMBER(SEARCH($AU$6,$AK15))),4,IF(AND($AV$6&lt;&gt;"",ISNUMBER(SEARCH($AV$6,$AK15))),5,IF(AND($AW$6&lt;&gt;"",ISNUMBER(SEARCH($AW$6,$AK15))),6,IF(AND($AX$6&lt;&gt;"",ISNUMBER(SEARCH($AX$6,$AK15))),7,IF(AND($AY$6&lt;&gt;"",ISNUMBER(SEARCH($AY$6,$AK15))),8,0))))))))))</f>
        <v/>
      </c>
      <c r="BA15">
        <f>SUMPRODUCT(($AZ$5:$AZ$41=$AZ15)*($BC$5:$BC$41&lt;$BC15))+1</f>
        <v/>
      </c>
      <c r="BB15">
        <f>IF(INDEX($BF$4:$BF$13,$AZ15)=0,0,INDEX($BE$4:$BE$13,$AZ15)+$BA15-1)</f>
        <v/>
      </c>
      <c r="BC15" t="n">
        <v>14</v>
      </c>
      <c r="BH15">
        <f>IFERROR(MATCH(15,$BF$4:$BF$13,0),0)</f>
        <v/>
      </c>
      <c r="BI15">
        <f>IF(15=$BG$4,1,0)</f>
        <v/>
      </c>
      <c r="BJ15">
        <f>IF(OR($BH15&gt;0,$BI15=1),0,IFERROR(INDEX($BC$5:$BC$41,MATCH(15,$BB$5:$BB$41,0)),0))</f>
        <v/>
      </c>
      <c r="BK15">
        <f>IF($BJ15&gt;0,IF(INDEX($AZ$5:$AZ$41,MATCH(15,$BB$5:$BB$41,0))=10,1,0),IF($BH15=10,1,0))</f>
        <v/>
      </c>
    </row>
    <row r="16" ht="15" customHeight="1">
      <c r="A16" s="649">
        <f>IF($BJ16&gt;0,INDEX($BA$5:$BA$41,MATCH(16,$BB$5:$BB$41,0)),IF(OR($BI16=1,$BH16&gt;0),"∑",""))</f>
        <v/>
      </c>
      <c r="B16" s="650">
        <f>IF($BJ16&gt;0,IF(INDEX('Final Calculation Sheet'!$F$4:$F$40,$BJ16-3)="","",INDEX('Final Calculation Sheet'!$F$4:$F$40,$BJ16-3)),"")</f>
        <v/>
      </c>
      <c r="C16" s="650">
        <f>IF($BJ16&gt;0,IF(INDEX('Final Calculation Sheet'!$G$4:$G$40,$BJ16-3)="","",INDEX('Final Calculation Sheet'!$G$4:$G$40,$BJ16-3)),IF(OR($BI16=1,$BH16&gt;0),IF($BI16=1,37,INDEX($BD$4:$BD$13,$BH16))&amp;" lot(s)",""))</f>
        <v/>
      </c>
      <c r="D16" s="651">
        <f>IF($BJ16&gt;0,IF(INDEX('Final Calculation Sheet'!$B$4:$B$40,$BJ16-3)="","",INDEX('Final Calculation Sheet'!$B$4:$B$40,$BJ16-3)),IF(OR($BI16=1,$BH16&gt;0),IF($BI16=1,"GRAND TOTAL  —  matching + remaining",IF($BH16=10,"REMAINING  —  did not match the search",IF($BH16=9,"ALL LOTS  —  nothing typed in the box","GROUP "&amp;$BH16&amp;" TOTAL  —  lots matching  "&amp;INDEX($AR$6:$AY$6,$BH16)))),""))</f>
        <v/>
      </c>
      <c r="E16" s="651">
        <f>IF($BJ16&gt;0,IF(INDEX('Final Calculation Sheet'!$D$4:$D$40,$BJ16-3)="","",INDEX('Final Calculation Sheet'!$D$4:$D$40,$BJ16-3)),IF(OR($BI16=1,$BH16&gt;0),"–",""))</f>
        <v/>
      </c>
      <c r="F16" s="651">
        <f>IF($BJ16&gt;0,IF(INDEX('Final Calculation Sheet'!$A$4:$A$40,$BJ16-3)="","",INDEX('Final Calculation Sheet'!$A$4:$A$40,$BJ16-3)),IF($BI16=1,SUM('Final Calculation Sheet'!$A$4:$A$40),IF($BH16&gt;0,SUMIFS('Final Calculation Sheet'!$A$4:$A$40,$AZ$5:$AZ$41,$BH16),"")))</f>
        <v/>
      </c>
      <c r="G16" s="651">
        <f>IF($BJ16&gt;0,IF(INDEX('Final Calculation Sheet'!$E$4:$E$40,$BJ16-3)="","",INDEX('Final Calculation Sheet'!$E$4:$E$40,$BJ16-3)),IF(OR($BI16=1,$BH16&gt;0),"–",""))</f>
        <v/>
      </c>
      <c r="H16" s="652">
        <f>IF($BJ16&gt;0,IF(INDEX('Final Calculation Sheet'!$C$4:$C$40,$BJ16-3)="","",INDEX('Final Calculation Sheet'!$C$4:$C$40,$BJ16-3)),IF(OR($BI16=1,$BH16&gt;0),"–",""))</f>
        <v/>
      </c>
      <c r="I16" s="652">
        <f>IF($BJ16&gt;0,IF(INDEX('Final Calculation Sheet'!$H$4:$H$40,$BJ16-3)="","",INDEX('Final Calculation Sheet'!$H$4:$H$40,$BJ16-3)),IF($BI16=1,SUM('Final Calculation Sheet'!$H$4:$H$40),IF($BH16&gt;0,SUMIFS('Final Calculation Sheet'!$H$4:$H$40,$AZ$5:$AZ$41,$BH16),"")))</f>
        <v/>
      </c>
      <c r="J16" s="652">
        <f>IF($BJ16&gt;0,IF(INDEX('Final Calculation Sheet'!$I$4:$I$40,$BJ16-3)="","",INDEX('Final Calculation Sheet'!$I$4:$I$40,$BJ16-3)),IF($BI16=1,SUM('Final Calculation Sheet'!$I$4:$I$40),IF($BH16&gt;0,SUMIFS('Final Calculation Sheet'!$I$4:$I$40,$AZ$5:$AZ$41,$BH16),"")))</f>
        <v/>
      </c>
      <c r="K16" s="652">
        <f>IF($BJ16&gt;0,IF(INDEX('Final Calculation Sheet'!$J$4:$J$40,$BJ16-3)="","",INDEX('Final Calculation Sheet'!$J$4:$J$40,$BJ16-3)),IF($BI16=1,SUM('Final Calculation Sheet'!$J$4:$J$40),IF($BH16&gt;0,SUMIFS('Final Calculation Sheet'!$J$4:$J$40,$AZ$5:$AZ$41,$BH16),"")))</f>
        <v/>
      </c>
      <c r="L16" s="652">
        <f>IF($BJ16&gt;0,IF(INDEX('Final Calculation Sheet'!$K$4:$K$40,$BJ16-3)="","",INDEX('Final Calculation Sheet'!$K$4:$K$40,$BJ16-3)),IF($BI16=1,SUM('Final Calculation Sheet'!$K$4:$K$40),IF($BH16&gt;0,SUMIFS('Final Calculation Sheet'!$K$4:$K$40,$AZ$5:$AZ$41,$BH16),"")))</f>
        <v/>
      </c>
      <c r="M16" s="652">
        <f>IF($BJ16&gt;0,IF(INDEX('Final Calculation Sheet'!$L$4:$L$40,$BJ16-3)="","",INDEX('Final Calculation Sheet'!$L$4:$L$40,$BJ16-3)),IF($BI16=1,SUM('Final Calculation Sheet'!$L$4:$L$40),IF($BH16&gt;0,SUMIFS('Final Calculation Sheet'!$L$4:$L$40,$AZ$5:$AZ$41,$BH16),"")))</f>
        <v/>
      </c>
      <c r="N16" s="652">
        <f>IF($BJ16&gt;0,IF(INDEX('Final Calculation Sheet'!$M$4:$M$40,$BJ16-3)="","",INDEX('Final Calculation Sheet'!$M$4:$M$40,$BJ16-3)),IF($BI16=1,SUM('Final Calculation Sheet'!$M$4:$M$40),IF($BH16&gt;0,SUMIFS('Final Calculation Sheet'!$M$4:$M$40,$AZ$5:$AZ$41,$BH16),"")))</f>
        <v/>
      </c>
      <c r="O16" s="653">
        <f>IF($BJ16&gt;0,IF(INDEX('Final Calculation Sheet'!$N$4:$N$40,$BJ16-3)="","",INDEX('Final Calculation Sheet'!$N$4:$N$40,$BJ16-3)),IF($BI16=1,SUM('Final Calculation Sheet'!$N$4:$N$40),IF($BH16&gt;0,SUMIFS('Final Calculation Sheet'!$N$4:$N$40,$AZ$5:$AZ$41,$BH16),"")))</f>
        <v/>
      </c>
      <c r="P16" s="652">
        <f>IF($BJ16&gt;0,IF(INDEX('Final Calculation Sheet'!$O$4:$O$40,$BJ16-3)="","",INDEX('Final Calculation Sheet'!$O$4:$O$40,$BJ16-3)),IF($BI16=1,SUM('Final Calculation Sheet'!$O$4:$O$40),IF($BH16&gt;0,SUMIFS('Final Calculation Sheet'!$O$4:$O$40,$AZ$5:$AZ$41,$BH16),"")))</f>
        <v/>
      </c>
      <c r="Q16" s="652">
        <f>IF($BJ16&gt;0,IF(INDEX('Final Calculation Sheet'!$P$4:$P$40,$BJ16-3)="","",INDEX('Final Calculation Sheet'!$P$4:$P$40,$BJ16-3)),IF($BI16=1,SUM('Final Calculation Sheet'!$P$4:$P$40),IF($BH16&gt;0,SUMIFS('Final Calculation Sheet'!$P$4:$P$40,$AZ$5:$AZ$41,$BH16),"")))</f>
        <v/>
      </c>
      <c r="R16" s="654">
        <f>IF($BJ16&gt;0,IF(INDEX('Final Calculation Sheet'!$Q$4:$Q$40,$BJ16-3)="","",INDEX('Final Calculation Sheet'!$Q$4:$Q$40,$BJ16-3)),IF(OR($BI16=1,$BH16&gt;0),"–",""))</f>
        <v/>
      </c>
      <c r="S16" s="652">
        <f>IF($BJ16&gt;0,IF(INDEX('Final Calculation Sheet'!$R$4:$R$40,$BJ16-3)="","",INDEX('Final Calculation Sheet'!$R$4:$R$40,$BJ16-3)),IF($BI16=1,SUM('Final Calculation Sheet'!$R$4:$R$40),IF($BH16&gt;0,SUMIFS('Final Calculation Sheet'!$R$4:$R$40,$AZ$5:$AZ$41,$BH16),"")))</f>
        <v/>
      </c>
      <c r="T16" s="652">
        <f>IF($BJ16&gt;0,IF(INDEX('Final Calculation Sheet'!$S$4:$S$40,$BJ16-3)="","",INDEX('Final Calculation Sheet'!$S$4:$S$40,$BJ16-3)),IF($BI16=1,SUM('Final Calculation Sheet'!$S$4:$S$40),IF($BH16&gt;0,SUMIFS('Final Calculation Sheet'!$S$4:$S$40,$AZ$5:$AZ$41,$BH16),"")))</f>
        <v/>
      </c>
      <c r="U16" s="652">
        <f>IF($BJ16&gt;0,IF(INDEX('Final Calculation Sheet'!$T$4:$T$40,$BJ16-3)="","",INDEX('Final Calculation Sheet'!$T$4:$T$40,$BJ16-3)),IF($BI16=1,SUM('Final Calculation Sheet'!$T$4:$T$40),IF($BH16&gt;0,SUMIFS('Final Calculation Sheet'!$T$4:$T$40,$AZ$5:$AZ$41,$BH16),"")))</f>
        <v/>
      </c>
      <c r="V16" s="655">
        <f>IF($BJ16&gt;0,IF(INDEX('Final Calculation Sheet'!$U$4:$U$40,$BJ16-3)="","",INDEX('Final Calculation Sheet'!$U$4:$U$40,$BJ16-3)),IF($BI16=1,SUM('Final Calculation Sheet'!$U$4:$U$40),IF($BH16&gt;0,SUMIFS('Final Calculation Sheet'!$U$4:$U$40,$AZ$5:$AZ$41,$BH16),"")))</f>
        <v/>
      </c>
      <c r="W16" s="652">
        <f>IF($BJ16&gt;0,IF(INDEX('Final Calculation Sheet'!$V$4:$V$40,$BJ16-3)="","",INDEX('Final Calculation Sheet'!$V$4:$V$40,$BJ16-3)),IF(OR($BI16=1,$BH16&gt;0),"–",""))</f>
        <v/>
      </c>
      <c r="X16" s="652">
        <f>IF($BJ16&gt;0,IF(INDEX('Final Calculation Sheet'!$W$4:$W$40,$BJ16-3)="","",INDEX('Final Calculation Sheet'!$W$4:$W$40,$BJ16-3)),IF($BI16=1,SUM('Final Calculation Sheet'!$W$4:$W$40),IF($BH16&gt;0,SUMIFS('Final Calculation Sheet'!$W$4:$W$40,$AZ$5:$AZ$41,$BH16),"")))</f>
        <v/>
      </c>
      <c r="Y16" s="652">
        <f>IF($BJ16&gt;0,IF(INDEX('Final Calculation Sheet'!$X$4:$X$40,$BJ16-3)="","",INDEX('Final Calculation Sheet'!$X$4:$X$40,$BJ16-3)),IF($BI16=1,SUM('Final Calculation Sheet'!$X$4:$X$40),IF($BH16&gt;0,SUMIFS('Final Calculation Sheet'!$X$4:$X$40,$AZ$5:$AZ$41,$BH16),"")))</f>
        <v/>
      </c>
      <c r="Z16" s="652">
        <f>IF($BJ16&gt;0,IF(INDEX('Final Calculation Sheet'!$Y$4:$Y$40,$BJ16-3)="","",INDEX('Final Calculation Sheet'!$Y$4:$Y$40,$BJ16-3)),IF(OR($BI16=1,$BH16&gt;0),"–",""))</f>
        <v/>
      </c>
      <c r="AA16" s="652">
        <f>IF($BJ16&gt;0,IF(INDEX('Final Calculation Sheet'!$Z$4:$Z$40,$BJ16-3)="","",INDEX('Final Calculation Sheet'!$Z$4:$Z$40,$BJ16-3)),IF($BI16=1,SUM('Final Calculation Sheet'!$Z$4:$Z$40),IF($BH16&gt;0,SUMIFS('Final Calculation Sheet'!$Z$4:$Z$40,$AZ$5:$AZ$41,$BH16),"")))</f>
        <v/>
      </c>
      <c r="AB16" s="652">
        <f>IF($BJ16&gt;0,IF(INDEX('Final Calculation Sheet'!$AA$4:$AA$40,$BJ16-3)="","",INDEX('Final Calculation Sheet'!$AA$4:$AA$40,$BJ16-3)),IF($BI16=1,SUM('Final Calculation Sheet'!$AA$4:$AA$40),IF($BH16&gt;0,SUMIFS('Final Calculation Sheet'!$AA$4:$AA$40,$AZ$5:$AZ$41,$BH16),"")))</f>
        <v/>
      </c>
      <c r="AC16" s="652">
        <f>IF($BJ16&gt;0,IF(INDEX('Final Calculation Sheet'!$AB$4:$AB$40,$BJ16-3)="","",INDEX('Final Calculation Sheet'!$AB$4:$AB$40,$BJ16-3)),IF(OR($BI16=1,$BH16&gt;0),"–",""))</f>
        <v/>
      </c>
      <c r="AD16" s="652">
        <f>IF($BJ16&gt;0,IF(INDEX('Final Calculation Sheet'!$AC$4:$AC$40,$BJ16-3)="","",INDEX('Final Calculation Sheet'!$AC$4:$AC$40,$BJ16-3)),IF($BI16=1,SUM('Final Calculation Sheet'!$AC$4:$AC$40),IF($BH16&gt;0,SUMIFS('Final Calculation Sheet'!$AC$4:$AC$40,$AZ$5:$AZ$41,$BH16),"")))</f>
        <v/>
      </c>
      <c r="AE16" s="652">
        <f>IF($BJ16&gt;0,IF(INDEX('Final Calculation Sheet'!$AD$4:$AD$40,$BJ16-3)="","",INDEX('Final Calculation Sheet'!$AD$4:$AD$40,$BJ16-3)),IF($BI16=1,SUM('Final Calculation Sheet'!$AD$4:$AD$40),IF($BH16&gt;0,SUMIFS('Final Calculation Sheet'!$AD$4:$AD$40,$AZ$5:$AZ$41,$BH16),"")))</f>
        <v/>
      </c>
      <c r="AF16" s="652">
        <f>IF($BJ16&gt;0,IF(INDEX('Final Calculation Sheet'!$AE$4:$AE$40,$BJ16-3)="","",INDEX('Final Calculation Sheet'!$AE$4:$AE$40,$BJ16-3)),IF(OR($BI16=1,$BH16&gt;0),"–",""))</f>
        <v/>
      </c>
      <c r="AG16" s="656">
        <f>IF($BJ16&gt;0,IF(INDEX('Final Calculation Sheet'!$AF$4:$AF$40,$BJ16-3)="","",INDEX('Final Calculation Sheet'!$AF$4:$AF$40,$BJ16-3)),IF(OR($BI16=1,$BH16&gt;0),"–",""))</f>
        <v/>
      </c>
      <c r="AH16" s="652">
        <f>IF($BJ16&gt;0,IF(INDEX('Final Calculation Sheet'!$AG$4:$AG$40,$BJ16-3)="","",INDEX('Final Calculation Sheet'!$AG$4:$AG$40,$BJ16-3)),IF(OR($BI16=1,$BH16&gt;0),"–",""))</f>
        <v/>
      </c>
      <c r="AI16" s="657">
        <f>IF($BJ16&gt;0,IF(INDEX('Final Calculation Sheet'!$AD$4:$AD$40,$BJ16-3)="","",IF(INDEX('Final Calculation Sheet'!$AD$4:$AD$40,$BJ16-3)&lt;=0,"SETTLED","OUTSTANDING")),IF(OR($BI16=1,$BH16&gt;0),IF(IF($BI16=1,SUM('Final Calculation Sheet'!$AD$4:$AD$40),SUMIFS('Final Calculation Sheet'!$AD$4:$AD$40,$AZ$5:$AZ$41,$BH16))&lt;=0,"ALL SETTLED","OUTSTANDING"),""))</f>
        <v/>
      </c>
      <c r="AK16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/>
      </c>
      <c r="AM16">
        <f>IF($B$3="",1,IF(AND(IF(COUNTIF($AR$9:$AY$9,1)=0,TRUE,SUMPRODUCT(($AR$9:$AY$9=1)*($AR$6:$AY$6&lt;&gt;"")*ISNUMBER(SEARCH($AR$6:$AY$6,$AK16)))&gt;0),IF(COUNTIF($AR$9:$AY$9,2)=0,TRUE,SUMPRODUCT(($AR$9:$AY$9=2)*($AR$6:$AY$6&lt;&gt;"")*ISNUMBER(SEARCH($AR$6:$AY$6,$AK16)))&gt;0),IF(COUNTIF($AR$9:$AY$9,3)=0,TRUE,SUMPRODUCT(($AR$9:$AY$9=3)*($AR$6:$AY$6&lt;&gt;"")*ISNUMBER(SEARCH($AR$6:$AY$6,$AK16)))&gt;0),IF(COUNTIF($AR$9:$AY$9,4)=0,TRUE,SUMPRODUCT(($AR$9:$AY$9=4)*($AR$6:$AY$6&lt;&gt;"")*ISNUMBER(SEARCH($AR$6:$AY$6,$AK16)))&gt;0),IF(COUNTIF($AR$9:$AY$9,5)=0,TRUE,SUMPRODUCT(($AR$9:$AY$9=5)*($AR$6:$AY$6&lt;&gt;"")*ISNUMBER(SEARCH($AR$6:$AY$6,$AK16)))&gt;0),IF(COUNTIF($AR$9:$AY$9,6)=0,TRUE,SUMPRODUCT(($AR$9:$AY$9=6)*($AR$6:$AY$6&lt;&gt;"")*ISNUMBER(SEARCH($AR$6:$AY$6,$AK16)))&gt;0),IF(COUNTIF($AR$9:$AY$9,7)=0,TRUE,SUMPRODUCT(($AR$9:$AY$9=7)*($AR$6:$AY$6&lt;&gt;"")*ISNUMBER(SEARCH($AR$6:$AY$6,$AK16)))&gt;0),IF(COUNTIF($AR$9:$AY$9,8)=0,TRUE,SUMPRODUCT(($AR$9:$AY$9=8)*($AR$6:$AY$6&lt;&gt;"")*ISNUMBER(SEARCH($AR$6:$AY$6,$AK16)))&gt;0)),1,0))</f>
        <v/>
      </c>
      <c r="AZ16">
        <f>IF($B$3="",9,IF($AM16=0,10,IF(AND($AR$6&lt;&gt;"",ISNUMBER(SEARCH($AR$6,$AK16))),1,IF(AND($AS$6&lt;&gt;"",ISNUMBER(SEARCH($AS$6,$AK16))),2,IF(AND($AT$6&lt;&gt;"",ISNUMBER(SEARCH($AT$6,$AK16))),3,IF(AND($AU$6&lt;&gt;"",ISNUMBER(SEARCH($AU$6,$AK16))),4,IF(AND($AV$6&lt;&gt;"",ISNUMBER(SEARCH($AV$6,$AK16))),5,IF(AND($AW$6&lt;&gt;"",ISNUMBER(SEARCH($AW$6,$AK16))),6,IF(AND($AX$6&lt;&gt;"",ISNUMBER(SEARCH($AX$6,$AK16))),7,IF(AND($AY$6&lt;&gt;"",ISNUMBER(SEARCH($AY$6,$AK16))),8,0))))))))))</f>
        <v/>
      </c>
      <c r="BA16">
        <f>SUMPRODUCT(($AZ$5:$AZ$41=$AZ16)*($BC$5:$BC$41&lt;$BC16))+1</f>
        <v/>
      </c>
      <c r="BB16">
        <f>IF(INDEX($BF$4:$BF$13,$AZ16)=0,0,INDEX($BE$4:$BE$13,$AZ16)+$BA16-1)</f>
        <v/>
      </c>
      <c r="BC16" t="n">
        <v>15</v>
      </c>
      <c r="BH16">
        <f>IFERROR(MATCH(16,$BF$4:$BF$13,0),0)</f>
        <v/>
      </c>
      <c r="BI16">
        <f>IF(16=$BG$4,1,0)</f>
        <v/>
      </c>
      <c r="BJ16">
        <f>IF(OR($BH16&gt;0,$BI16=1),0,IFERROR(INDEX($BC$5:$BC$41,MATCH(16,$BB$5:$BB$41,0)),0))</f>
        <v/>
      </c>
      <c r="BK16">
        <f>IF($BJ16&gt;0,IF(INDEX($AZ$5:$AZ$41,MATCH(16,$BB$5:$BB$41,0))=10,1,0),IF($BH16=10,1,0))</f>
        <v/>
      </c>
    </row>
    <row r="17" ht="15" customHeight="1">
      <c r="A17" s="649">
        <f>IF($BJ17&gt;0,INDEX($BA$5:$BA$41,MATCH(17,$BB$5:$BB$41,0)),IF(OR($BI17=1,$BH17&gt;0),"∑",""))</f>
        <v/>
      </c>
      <c r="B17" s="650">
        <f>IF($BJ17&gt;0,IF(INDEX('Final Calculation Sheet'!$F$4:$F$40,$BJ17-3)="","",INDEX('Final Calculation Sheet'!$F$4:$F$40,$BJ17-3)),"")</f>
        <v/>
      </c>
      <c r="C17" s="650">
        <f>IF($BJ17&gt;0,IF(INDEX('Final Calculation Sheet'!$G$4:$G$40,$BJ17-3)="","",INDEX('Final Calculation Sheet'!$G$4:$G$40,$BJ17-3)),IF(OR($BI17=1,$BH17&gt;0),IF($BI17=1,37,INDEX($BD$4:$BD$13,$BH17))&amp;" lot(s)",""))</f>
        <v/>
      </c>
      <c r="D17" s="651">
        <f>IF($BJ17&gt;0,IF(INDEX('Final Calculation Sheet'!$B$4:$B$40,$BJ17-3)="","",INDEX('Final Calculation Sheet'!$B$4:$B$40,$BJ17-3)),IF(OR($BI17=1,$BH17&gt;0),IF($BI17=1,"GRAND TOTAL  —  matching + remaining",IF($BH17=10,"REMAINING  —  did not match the search",IF($BH17=9,"ALL LOTS  —  nothing typed in the box","GROUP "&amp;$BH17&amp;" TOTAL  —  lots matching  "&amp;INDEX($AR$6:$AY$6,$BH17)))),""))</f>
        <v/>
      </c>
      <c r="E17" s="651">
        <f>IF($BJ17&gt;0,IF(INDEX('Final Calculation Sheet'!$D$4:$D$40,$BJ17-3)="","",INDEX('Final Calculation Sheet'!$D$4:$D$40,$BJ17-3)),IF(OR($BI17=1,$BH17&gt;0),"–",""))</f>
        <v/>
      </c>
      <c r="F17" s="651">
        <f>IF($BJ17&gt;0,IF(INDEX('Final Calculation Sheet'!$A$4:$A$40,$BJ17-3)="","",INDEX('Final Calculation Sheet'!$A$4:$A$40,$BJ17-3)),IF($BI17=1,SUM('Final Calculation Sheet'!$A$4:$A$40),IF($BH17&gt;0,SUMIFS('Final Calculation Sheet'!$A$4:$A$40,$AZ$5:$AZ$41,$BH17),"")))</f>
        <v/>
      </c>
      <c r="G17" s="651">
        <f>IF($BJ17&gt;0,IF(INDEX('Final Calculation Sheet'!$E$4:$E$40,$BJ17-3)="","",INDEX('Final Calculation Sheet'!$E$4:$E$40,$BJ17-3)),IF(OR($BI17=1,$BH17&gt;0),"–",""))</f>
        <v/>
      </c>
      <c r="H17" s="652">
        <f>IF($BJ17&gt;0,IF(INDEX('Final Calculation Sheet'!$C$4:$C$40,$BJ17-3)="","",INDEX('Final Calculation Sheet'!$C$4:$C$40,$BJ17-3)),IF(OR($BI17=1,$BH17&gt;0),"–",""))</f>
        <v/>
      </c>
      <c r="I17" s="652">
        <f>IF($BJ17&gt;0,IF(INDEX('Final Calculation Sheet'!$H$4:$H$40,$BJ17-3)="","",INDEX('Final Calculation Sheet'!$H$4:$H$40,$BJ17-3)),IF($BI17=1,SUM('Final Calculation Sheet'!$H$4:$H$40),IF($BH17&gt;0,SUMIFS('Final Calculation Sheet'!$H$4:$H$40,$AZ$5:$AZ$41,$BH17),"")))</f>
        <v/>
      </c>
      <c r="J17" s="652">
        <f>IF($BJ17&gt;0,IF(INDEX('Final Calculation Sheet'!$I$4:$I$40,$BJ17-3)="","",INDEX('Final Calculation Sheet'!$I$4:$I$40,$BJ17-3)),IF($BI17=1,SUM('Final Calculation Sheet'!$I$4:$I$40),IF($BH17&gt;0,SUMIFS('Final Calculation Sheet'!$I$4:$I$40,$AZ$5:$AZ$41,$BH17),"")))</f>
        <v/>
      </c>
      <c r="K17" s="652">
        <f>IF($BJ17&gt;0,IF(INDEX('Final Calculation Sheet'!$J$4:$J$40,$BJ17-3)="","",INDEX('Final Calculation Sheet'!$J$4:$J$40,$BJ17-3)),IF($BI17=1,SUM('Final Calculation Sheet'!$J$4:$J$40),IF($BH17&gt;0,SUMIFS('Final Calculation Sheet'!$J$4:$J$40,$AZ$5:$AZ$41,$BH17),"")))</f>
        <v/>
      </c>
      <c r="L17" s="652">
        <f>IF($BJ17&gt;0,IF(INDEX('Final Calculation Sheet'!$K$4:$K$40,$BJ17-3)="","",INDEX('Final Calculation Sheet'!$K$4:$K$40,$BJ17-3)),IF($BI17=1,SUM('Final Calculation Sheet'!$K$4:$K$40),IF($BH17&gt;0,SUMIFS('Final Calculation Sheet'!$K$4:$K$40,$AZ$5:$AZ$41,$BH17),"")))</f>
        <v/>
      </c>
      <c r="M17" s="652">
        <f>IF($BJ17&gt;0,IF(INDEX('Final Calculation Sheet'!$L$4:$L$40,$BJ17-3)="","",INDEX('Final Calculation Sheet'!$L$4:$L$40,$BJ17-3)),IF($BI17=1,SUM('Final Calculation Sheet'!$L$4:$L$40),IF($BH17&gt;0,SUMIFS('Final Calculation Sheet'!$L$4:$L$40,$AZ$5:$AZ$41,$BH17),"")))</f>
        <v/>
      </c>
      <c r="N17" s="652">
        <f>IF($BJ17&gt;0,IF(INDEX('Final Calculation Sheet'!$M$4:$M$40,$BJ17-3)="","",INDEX('Final Calculation Sheet'!$M$4:$M$40,$BJ17-3)),IF($BI17=1,SUM('Final Calculation Sheet'!$M$4:$M$40),IF($BH17&gt;0,SUMIFS('Final Calculation Sheet'!$M$4:$M$40,$AZ$5:$AZ$41,$BH17),"")))</f>
        <v/>
      </c>
      <c r="O17" s="653">
        <f>IF($BJ17&gt;0,IF(INDEX('Final Calculation Sheet'!$N$4:$N$40,$BJ17-3)="","",INDEX('Final Calculation Sheet'!$N$4:$N$40,$BJ17-3)),IF($BI17=1,SUM('Final Calculation Sheet'!$N$4:$N$40),IF($BH17&gt;0,SUMIFS('Final Calculation Sheet'!$N$4:$N$40,$AZ$5:$AZ$41,$BH17),"")))</f>
        <v/>
      </c>
      <c r="P17" s="652">
        <f>IF($BJ17&gt;0,IF(INDEX('Final Calculation Sheet'!$O$4:$O$40,$BJ17-3)="","",INDEX('Final Calculation Sheet'!$O$4:$O$40,$BJ17-3)),IF($BI17=1,SUM('Final Calculation Sheet'!$O$4:$O$40),IF($BH17&gt;0,SUMIFS('Final Calculation Sheet'!$O$4:$O$40,$AZ$5:$AZ$41,$BH17),"")))</f>
        <v/>
      </c>
      <c r="Q17" s="652">
        <f>IF($BJ17&gt;0,IF(INDEX('Final Calculation Sheet'!$P$4:$P$40,$BJ17-3)="","",INDEX('Final Calculation Sheet'!$P$4:$P$40,$BJ17-3)),IF($BI17=1,SUM('Final Calculation Sheet'!$P$4:$P$40),IF($BH17&gt;0,SUMIFS('Final Calculation Sheet'!$P$4:$P$40,$AZ$5:$AZ$41,$BH17),"")))</f>
        <v/>
      </c>
      <c r="R17" s="654">
        <f>IF($BJ17&gt;0,IF(INDEX('Final Calculation Sheet'!$Q$4:$Q$40,$BJ17-3)="","",INDEX('Final Calculation Sheet'!$Q$4:$Q$40,$BJ17-3)),IF(OR($BI17=1,$BH17&gt;0),"–",""))</f>
        <v/>
      </c>
      <c r="S17" s="652">
        <f>IF($BJ17&gt;0,IF(INDEX('Final Calculation Sheet'!$R$4:$R$40,$BJ17-3)="","",INDEX('Final Calculation Sheet'!$R$4:$R$40,$BJ17-3)),IF($BI17=1,SUM('Final Calculation Sheet'!$R$4:$R$40),IF($BH17&gt;0,SUMIFS('Final Calculation Sheet'!$R$4:$R$40,$AZ$5:$AZ$41,$BH17),"")))</f>
        <v/>
      </c>
      <c r="T17" s="652">
        <f>IF($BJ17&gt;0,IF(INDEX('Final Calculation Sheet'!$S$4:$S$40,$BJ17-3)="","",INDEX('Final Calculation Sheet'!$S$4:$S$40,$BJ17-3)),IF($BI17=1,SUM('Final Calculation Sheet'!$S$4:$S$40),IF($BH17&gt;0,SUMIFS('Final Calculation Sheet'!$S$4:$S$40,$AZ$5:$AZ$41,$BH17),"")))</f>
        <v/>
      </c>
      <c r="U17" s="652">
        <f>IF($BJ17&gt;0,IF(INDEX('Final Calculation Sheet'!$T$4:$T$40,$BJ17-3)="","",INDEX('Final Calculation Sheet'!$T$4:$T$40,$BJ17-3)),IF($BI17=1,SUM('Final Calculation Sheet'!$T$4:$T$40),IF($BH17&gt;0,SUMIFS('Final Calculation Sheet'!$T$4:$T$40,$AZ$5:$AZ$41,$BH17),"")))</f>
        <v/>
      </c>
      <c r="V17" s="655">
        <f>IF($BJ17&gt;0,IF(INDEX('Final Calculation Sheet'!$U$4:$U$40,$BJ17-3)="","",INDEX('Final Calculation Sheet'!$U$4:$U$40,$BJ17-3)),IF($BI17=1,SUM('Final Calculation Sheet'!$U$4:$U$40),IF($BH17&gt;0,SUMIFS('Final Calculation Sheet'!$U$4:$U$40,$AZ$5:$AZ$41,$BH17),"")))</f>
        <v/>
      </c>
      <c r="W17" s="652">
        <f>IF($BJ17&gt;0,IF(INDEX('Final Calculation Sheet'!$V$4:$V$40,$BJ17-3)="","",INDEX('Final Calculation Sheet'!$V$4:$V$40,$BJ17-3)),IF(OR($BI17=1,$BH17&gt;0),"–",""))</f>
        <v/>
      </c>
      <c r="X17" s="652">
        <f>IF($BJ17&gt;0,IF(INDEX('Final Calculation Sheet'!$W$4:$W$40,$BJ17-3)="","",INDEX('Final Calculation Sheet'!$W$4:$W$40,$BJ17-3)),IF($BI17=1,SUM('Final Calculation Sheet'!$W$4:$W$40),IF($BH17&gt;0,SUMIFS('Final Calculation Sheet'!$W$4:$W$40,$AZ$5:$AZ$41,$BH17),"")))</f>
        <v/>
      </c>
      <c r="Y17" s="652">
        <f>IF($BJ17&gt;0,IF(INDEX('Final Calculation Sheet'!$X$4:$X$40,$BJ17-3)="","",INDEX('Final Calculation Sheet'!$X$4:$X$40,$BJ17-3)),IF($BI17=1,SUM('Final Calculation Sheet'!$X$4:$X$40),IF($BH17&gt;0,SUMIFS('Final Calculation Sheet'!$X$4:$X$40,$AZ$5:$AZ$41,$BH17),"")))</f>
        <v/>
      </c>
      <c r="Z17" s="652">
        <f>IF($BJ17&gt;0,IF(INDEX('Final Calculation Sheet'!$Y$4:$Y$40,$BJ17-3)="","",INDEX('Final Calculation Sheet'!$Y$4:$Y$40,$BJ17-3)),IF(OR($BI17=1,$BH17&gt;0),"–",""))</f>
        <v/>
      </c>
      <c r="AA17" s="652">
        <f>IF($BJ17&gt;0,IF(INDEX('Final Calculation Sheet'!$Z$4:$Z$40,$BJ17-3)="","",INDEX('Final Calculation Sheet'!$Z$4:$Z$40,$BJ17-3)),IF($BI17=1,SUM('Final Calculation Sheet'!$Z$4:$Z$40),IF($BH17&gt;0,SUMIFS('Final Calculation Sheet'!$Z$4:$Z$40,$AZ$5:$AZ$41,$BH17),"")))</f>
        <v/>
      </c>
      <c r="AB17" s="652">
        <f>IF($BJ17&gt;0,IF(INDEX('Final Calculation Sheet'!$AA$4:$AA$40,$BJ17-3)="","",INDEX('Final Calculation Sheet'!$AA$4:$AA$40,$BJ17-3)),IF($BI17=1,SUM('Final Calculation Sheet'!$AA$4:$AA$40),IF($BH17&gt;0,SUMIFS('Final Calculation Sheet'!$AA$4:$AA$40,$AZ$5:$AZ$41,$BH17),"")))</f>
        <v/>
      </c>
      <c r="AC17" s="652">
        <f>IF($BJ17&gt;0,IF(INDEX('Final Calculation Sheet'!$AB$4:$AB$40,$BJ17-3)="","",INDEX('Final Calculation Sheet'!$AB$4:$AB$40,$BJ17-3)),IF(OR($BI17=1,$BH17&gt;0),"–",""))</f>
        <v/>
      </c>
      <c r="AD17" s="652">
        <f>IF($BJ17&gt;0,IF(INDEX('Final Calculation Sheet'!$AC$4:$AC$40,$BJ17-3)="","",INDEX('Final Calculation Sheet'!$AC$4:$AC$40,$BJ17-3)),IF($BI17=1,SUM('Final Calculation Sheet'!$AC$4:$AC$40),IF($BH17&gt;0,SUMIFS('Final Calculation Sheet'!$AC$4:$AC$40,$AZ$5:$AZ$41,$BH17),"")))</f>
        <v/>
      </c>
      <c r="AE17" s="652">
        <f>IF($BJ17&gt;0,IF(INDEX('Final Calculation Sheet'!$AD$4:$AD$40,$BJ17-3)="","",INDEX('Final Calculation Sheet'!$AD$4:$AD$40,$BJ17-3)),IF($BI17=1,SUM('Final Calculation Sheet'!$AD$4:$AD$40),IF($BH17&gt;0,SUMIFS('Final Calculation Sheet'!$AD$4:$AD$40,$AZ$5:$AZ$41,$BH17),"")))</f>
        <v/>
      </c>
      <c r="AF17" s="652">
        <f>IF($BJ17&gt;0,IF(INDEX('Final Calculation Sheet'!$AE$4:$AE$40,$BJ17-3)="","",INDEX('Final Calculation Sheet'!$AE$4:$AE$40,$BJ17-3)),IF(OR($BI17=1,$BH17&gt;0),"–",""))</f>
        <v/>
      </c>
      <c r="AG17" s="656">
        <f>IF($BJ17&gt;0,IF(INDEX('Final Calculation Sheet'!$AF$4:$AF$40,$BJ17-3)="","",INDEX('Final Calculation Sheet'!$AF$4:$AF$40,$BJ17-3)),IF(OR($BI17=1,$BH17&gt;0),"–",""))</f>
        <v/>
      </c>
      <c r="AH17" s="652">
        <f>IF($BJ17&gt;0,IF(INDEX('Final Calculation Sheet'!$AG$4:$AG$40,$BJ17-3)="","",INDEX('Final Calculation Sheet'!$AG$4:$AG$40,$BJ17-3)),IF(OR($BI17=1,$BH17&gt;0),"–",""))</f>
        <v/>
      </c>
      <c r="AI17" s="657">
        <f>IF($BJ17&gt;0,IF(INDEX('Final Calculation Sheet'!$AD$4:$AD$40,$BJ17-3)="","",IF(INDEX('Final Calculation Sheet'!$AD$4:$AD$40,$BJ17-3)&lt;=0,"SETTLED","OUTSTANDING")),IF(OR($BI17=1,$BH17&gt;0),IF(IF($BI17=1,SUM('Final Calculation Sheet'!$AD$4:$AD$40),SUMIFS('Final Calculation Sheet'!$AD$4:$AD$40,$AZ$5:$AZ$41,$BH17))&lt;=0,"ALL SETTLED","OUTSTANDING"),""))</f>
        <v/>
      </c>
      <c r="AK17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/>
      </c>
      <c r="AM17">
        <f>IF($B$3="",1,IF(AND(IF(COUNTIF($AR$9:$AY$9,1)=0,TRUE,SUMPRODUCT(($AR$9:$AY$9=1)*($AR$6:$AY$6&lt;&gt;"")*ISNUMBER(SEARCH($AR$6:$AY$6,$AK17)))&gt;0),IF(COUNTIF($AR$9:$AY$9,2)=0,TRUE,SUMPRODUCT(($AR$9:$AY$9=2)*($AR$6:$AY$6&lt;&gt;"")*ISNUMBER(SEARCH($AR$6:$AY$6,$AK17)))&gt;0),IF(COUNTIF($AR$9:$AY$9,3)=0,TRUE,SUMPRODUCT(($AR$9:$AY$9=3)*($AR$6:$AY$6&lt;&gt;"")*ISNUMBER(SEARCH($AR$6:$AY$6,$AK17)))&gt;0),IF(COUNTIF($AR$9:$AY$9,4)=0,TRUE,SUMPRODUCT(($AR$9:$AY$9=4)*($AR$6:$AY$6&lt;&gt;"")*ISNUMBER(SEARCH($AR$6:$AY$6,$AK17)))&gt;0),IF(COUNTIF($AR$9:$AY$9,5)=0,TRUE,SUMPRODUCT(($AR$9:$AY$9=5)*($AR$6:$AY$6&lt;&gt;"")*ISNUMBER(SEARCH($AR$6:$AY$6,$AK17)))&gt;0),IF(COUNTIF($AR$9:$AY$9,6)=0,TRUE,SUMPRODUCT(($AR$9:$AY$9=6)*($AR$6:$AY$6&lt;&gt;"")*ISNUMBER(SEARCH($AR$6:$AY$6,$AK17)))&gt;0),IF(COUNTIF($AR$9:$AY$9,7)=0,TRUE,SUMPRODUCT(($AR$9:$AY$9=7)*($AR$6:$AY$6&lt;&gt;"")*ISNUMBER(SEARCH($AR$6:$AY$6,$AK17)))&gt;0),IF(COUNTIF($AR$9:$AY$9,8)=0,TRUE,SUMPRODUCT(($AR$9:$AY$9=8)*($AR$6:$AY$6&lt;&gt;"")*ISNUMBER(SEARCH($AR$6:$AY$6,$AK17)))&gt;0)),1,0))</f>
        <v/>
      </c>
      <c r="AZ17">
        <f>IF($B$3="",9,IF($AM17=0,10,IF(AND($AR$6&lt;&gt;"",ISNUMBER(SEARCH($AR$6,$AK17))),1,IF(AND($AS$6&lt;&gt;"",ISNUMBER(SEARCH($AS$6,$AK17))),2,IF(AND($AT$6&lt;&gt;"",ISNUMBER(SEARCH($AT$6,$AK17))),3,IF(AND($AU$6&lt;&gt;"",ISNUMBER(SEARCH($AU$6,$AK17))),4,IF(AND($AV$6&lt;&gt;"",ISNUMBER(SEARCH($AV$6,$AK17))),5,IF(AND($AW$6&lt;&gt;"",ISNUMBER(SEARCH($AW$6,$AK17))),6,IF(AND($AX$6&lt;&gt;"",ISNUMBER(SEARCH($AX$6,$AK17))),7,IF(AND($AY$6&lt;&gt;"",ISNUMBER(SEARCH($AY$6,$AK17))),8,0))))))))))</f>
        <v/>
      </c>
      <c r="BA17">
        <f>SUMPRODUCT(($AZ$5:$AZ$41=$AZ17)*($BC$5:$BC$41&lt;$BC17))+1</f>
        <v/>
      </c>
      <c r="BB17">
        <f>IF(INDEX($BF$4:$BF$13,$AZ17)=0,0,INDEX($BE$4:$BE$13,$AZ17)+$BA17-1)</f>
        <v/>
      </c>
      <c r="BC17" t="n">
        <v>16</v>
      </c>
      <c r="BH17">
        <f>IFERROR(MATCH(17,$BF$4:$BF$13,0),0)</f>
        <v/>
      </c>
      <c r="BI17">
        <f>IF(17=$BG$4,1,0)</f>
        <v/>
      </c>
      <c r="BJ17">
        <f>IF(OR($BH17&gt;0,$BI17=1),0,IFERROR(INDEX($BC$5:$BC$41,MATCH(17,$BB$5:$BB$41,0)),0))</f>
        <v/>
      </c>
      <c r="BK17">
        <f>IF($BJ17&gt;0,IF(INDEX($AZ$5:$AZ$41,MATCH(17,$BB$5:$BB$41,0))=10,1,0),IF($BH17=10,1,0))</f>
        <v/>
      </c>
    </row>
    <row r="18" ht="15" customHeight="1">
      <c r="A18" s="649">
        <f>IF($BJ18&gt;0,INDEX($BA$5:$BA$41,MATCH(18,$BB$5:$BB$41,0)),IF(OR($BI18=1,$BH18&gt;0),"∑",""))</f>
        <v/>
      </c>
      <c r="B18" s="650">
        <f>IF($BJ18&gt;0,IF(INDEX('Final Calculation Sheet'!$F$4:$F$40,$BJ18-3)="","",INDEX('Final Calculation Sheet'!$F$4:$F$40,$BJ18-3)),"")</f>
        <v/>
      </c>
      <c r="C18" s="650">
        <f>IF($BJ18&gt;0,IF(INDEX('Final Calculation Sheet'!$G$4:$G$40,$BJ18-3)="","",INDEX('Final Calculation Sheet'!$G$4:$G$40,$BJ18-3)),IF(OR($BI18=1,$BH18&gt;0),IF($BI18=1,37,INDEX($BD$4:$BD$13,$BH18))&amp;" lot(s)",""))</f>
        <v/>
      </c>
      <c r="D18" s="651">
        <f>IF($BJ18&gt;0,IF(INDEX('Final Calculation Sheet'!$B$4:$B$40,$BJ18-3)="","",INDEX('Final Calculation Sheet'!$B$4:$B$40,$BJ18-3)),IF(OR($BI18=1,$BH18&gt;0),IF($BI18=1,"GRAND TOTAL  —  matching + remaining",IF($BH18=10,"REMAINING  —  did not match the search",IF($BH18=9,"ALL LOTS  —  nothing typed in the box","GROUP "&amp;$BH18&amp;" TOTAL  —  lots matching  "&amp;INDEX($AR$6:$AY$6,$BH18)))),""))</f>
        <v/>
      </c>
      <c r="E18" s="651">
        <f>IF($BJ18&gt;0,IF(INDEX('Final Calculation Sheet'!$D$4:$D$40,$BJ18-3)="","",INDEX('Final Calculation Sheet'!$D$4:$D$40,$BJ18-3)),IF(OR($BI18=1,$BH18&gt;0),"–",""))</f>
        <v/>
      </c>
      <c r="F18" s="651">
        <f>IF($BJ18&gt;0,IF(INDEX('Final Calculation Sheet'!$A$4:$A$40,$BJ18-3)="","",INDEX('Final Calculation Sheet'!$A$4:$A$40,$BJ18-3)),IF($BI18=1,SUM('Final Calculation Sheet'!$A$4:$A$40),IF($BH18&gt;0,SUMIFS('Final Calculation Sheet'!$A$4:$A$40,$AZ$5:$AZ$41,$BH18),"")))</f>
        <v/>
      </c>
      <c r="G18" s="651">
        <f>IF($BJ18&gt;0,IF(INDEX('Final Calculation Sheet'!$E$4:$E$40,$BJ18-3)="","",INDEX('Final Calculation Sheet'!$E$4:$E$40,$BJ18-3)),IF(OR($BI18=1,$BH18&gt;0),"–",""))</f>
        <v/>
      </c>
      <c r="H18" s="652">
        <f>IF($BJ18&gt;0,IF(INDEX('Final Calculation Sheet'!$C$4:$C$40,$BJ18-3)="","",INDEX('Final Calculation Sheet'!$C$4:$C$40,$BJ18-3)),IF(OR($BI18=1,$BH18&gt;0),"–",""))</f>
        <v/>
      </c>
      <c r="I18" s="652">
        <f>IF($BJ18&gt;0,IF(INDEX('Final Calculation Sheet'!$H$4:$H$40,$BJ18-3)="","",INDEX('Final Calculation Sheet'!$H$4:$H$40,$BJ18-3)),IF($BI18=1,SUM('Final Calculation Sheet'!$H$4:$H$40),IF($BH18&gt;0,SUMIFS('Final Calculation Sheet'!$H$4:$H$40,$AZ$5:$AZ$41,$BH18),"")))</f>
        <v/>
      </c>
      <c r="J18" s="652">
        <f>IF($BJ18&gt;0,IF(INDEX('Final Calculation Sheet'!$I$4:$I$40,$BJ18-3)="","",INDEX('Final Calculation Sheet'!$I$4:$I$40,$BJ18-3)),IF($BI18=1,SUM('Final Calculation Sheet'!$I$4:$I$40),IF($BH18&gt;0,SUMIFS('Final Calculation Sheet'!$I$4:$I$40,$AZ$5:$AZ$41,$BH18),"")))</f>
        <v/>
      </c>
      <c r="K18" s="652">
        <f>IF($BJ18&gt;0,IF(INDEX('Final Calculation Sheet'!$J$4:$J$40,$BJ18-3)="","",INDEX('Final Calculation Sheet'!$J$4:$J$40,$BJ18-3)),IF($BI18=1,SUM('Final Calculation Sheet'!$J$4:$J$40),IF($BH18&gt;0,SUMIFS('Final Calculation Sheet'!$J$4:$J$40,$AZ$5:$AZ$41,$BH18),"")))</f>
        <v/>
      </c>
      <c r="L18" s="652">
        <f>IF($BJ18&gt;0,IF(INDEX('Final Calculation Sheet'!$K$4:$K$40,$BJ18-3)="","",INDEX('Final Calculation Sheet'!$K$4:$K$40,$BJ18-3)),IF($BI18=1,SUM('Final Calculation Sheet'!$K$4:$K$40),IF($BH18&gt;0,SUMIFS('Final Calculation Sheet'!$K$4:$K$40,$AZ$5:$AZ$41,$BH18),"")))</f>
        <v/>
      </c>
      <c r="M18" s="652">
        <f>IF($BJ18&gt;0,IF(INDEX('Final Calculation Sheet'!$L$4:$L$40,$BJ18-3)="","",INDEX('Final Calculation Sheet'!$L$4:$L$40,$BJ18-3)),IF($BI18=1,SUM('Final Calculation Sheet'!$L$4:$L$40),IF($BH18&gt;0,SUMIFS('Final Calculation Sheet'!$L$4:$L$40,$AZ$5:$AZ$41,$BH18),"")))</f>
        <v/>
      </c>
      <c r="N18" s="652">
        <f>IF($BJ18&gt;0,IF(INDEX('Final Calculation Sheet'!$M$4:$M$40,$BJ18-3)="","",INDEX('Final Calculation Sheet'!$M$4:$M$40,$BJ18-3)),IF($BI18=1,SUM('Final Calculation Sheet'!$M$4:$M$40),IF($BH18&gt;0,SUMIFS('Final Calculation Sheet'!$M$4:$M$40,$AZ$5:$AZ$41,$BH18),"")))</f>
        <v/>
      </c>
      <c r="O18" s="653">
        <f>IF($BJ18&gt;0,IF(INDEX('Final Calculation Sheet'!$N$4:$N$40,$BJ18-3)="","",INDEX('Final Calculation Sheet'!$N$4:$N$40,$BJ18-3)),IF($BI18=1,SUM('Final Calculation Sheet'!$N$4:$N$40),IF($BH18&gt;0,SUMIFS('Final Calculation Sheet'!$N$4:$N$40,$AZ$5:$AZ$41,$BH18),"")))</f>
        <v/>
      </c>
      <c r="P18" s="652">
        <f>IF($BJ18&gt;0,IF(INDEX('Final Calculation Sheet'!$O$4:$O$40,$BJ18-3)="","",INDEX('Final Calculation Sheet'!$O$4:$O$40,$BJ18-3)),IF($BI18=1,SUM('Final Calculation Sheet'!$O$4:$O$40),IF($BH18&gt;0,SUMIFS('Final Calculation Sheet'!$O$4:$O$40,$AZ$5:$AZ$41,$BH18),"")))</f>
        <v/>
      </c>
      <c r="Q18" s="652">
        <f>IF($BJ18&gt;0,IF(INDEX('Final Calculation Sheet'!$P$4:$P$40,$BJ18-3)="","",INDEX('Final Calculation Sheet'!$P$4:$P$40,$BJ18-3)),IF($BI18=1,SUM('Final Calculation Sheet'!$P$4:$P$40),IF($BH18&gt;0,SUMIFS('Final Calculation Sheet'!$P$4:$P$40,$AZ$5:$AZ$41,$BH18),"")))</f>
        <v/>
      </c>
      <c r="R18" s="654">
        <f>IF($BJ18&gt;0,IF(INDEX('Final Calculation Sheet'!$Q$4:$Q$40,$BJ18-3)="","",INDEX('Final Calculation Sheet'!$Q$4:$Q$40,$BJ18-3)),IF(OR($BI18=1,$BH18&gt;0),"–",""))</f>
        <v/>
      </c>
      <c r="S18" s="652">
        <f>IF($BJ18&gt;0,IF(INDEX('Final Calculation Sheet'!$R$4:$R$40,$BJ18-3)="","",INDEX('Final Calculation Sheet'!$R$4:$R$40,$BJ18-3)),IF($BI18=1,SUM('Final Calculation Sheet'!$R$4:$R$40),IF($BH18&gt;0,SUMIFS('Final Calculation Sheet'!$R$4:$R$40,$AZ$5:$AZ$41,$BH18),"")))</f>
        <v/>
      </c>
      <c r="T18" s="652">
        <f>IF($BJ18&gt;0,IF(INDEX('Final Calculation Sheet'!$S$4:$S$40,$BJ18-3)="","",INDEX('Final Calculation Sheet'!$S$4:$S$40,$BJ18-3)),IF($BI18=1,SUM('Final Calculation Sheet'!$S$4:$S$40),IF($BH18&gt;0,SUMIFS('Final Calculation Sheet'!$S$4:$S$40,$AZ$5:$AZ$41,$BH18),"")))</f>
        <v/>
      </c>
      <c r="U18" s="652">
        <f>IF($BJ18&gt;0,IF(INDEX('Final Calculation Sheet'!$T$4:$T$40,$BJ18-3)="","",INDEX('Final Calculation Sheet'!$T$4:$T$40,$BJ18-3)),IF($BI18=1,SUM('Final Calculation Sheet'!$T$4:$T$40),IF($BH18&gt;0,SUMIFS('Final Calculation Sheet'!$T$4:$T$40,$AZ$5:$AZ$41,$BH18),"")))</f>
        <v/>
      </c>
      <c r="V18" s="655">
        <f>IF($BJ18&gt;0,IF(INDEX('Final Calculation Sheet'!$U$4:$U$40,$BJ18-3)="","",INDEX('Final Calculation Sheet'!$U$4:$U$40,$BJ18-3)),IF($BI18=1,SUM('Final Calculation Sheet'!$U$4:$U$40),IF($BH18&gt;0,SUMIFS('Final Calculation Sheet'!$U$4:$U$40,$AZ$5:$AZ$41,$BH18),"")))</f>
        <v/>
      </c>
      <c r="W18" s="652">
        <f>IF($BJ18&gt;0,IF(INDEX('Final Calculation Sheet'!$V$4:$V$40,$BJ18-3)="","",INDEX('Final Calculation Sheet'!$V$4:$V$40,$BJ18-3)),IF(OR($BI18=1,$BH18&gt;0),"–",""))</f>
        <v/>
      </c>
      <c r="X18" s="652">
        <f>IF($BJ18&gt;0,IF(INDEX('Final Calculation Sheet'!$W$4:$W$40,$BJ18-3)="","",INDEX('Final Calculation Sheet'!$W$4:$W$40,$BJ18-3)),IF($BI18=1,SUM('Final Calculation Sheet'!$W$4:$W$40),IF($BH18&gt;0,SUMIFS('Final Calculation Sheet'!$W$4:$W$40,$AZ$5:$AZ$41,$BH18),"")))</f>
        <v/>
      </c>
      <c r="Y18" s="652">
        <f>IF($BJ18&gt;0,IF(INDEX('Final Calculation Sheet'!$X$4:$X$40,$BJ18-3)="","",INDEX('Final Calculation Sheet'!$X$4:$X$40,$BJ18-3)),IF($BI18=1,SUM('Final Calculation Sheet'!$X$4:$X$40),IF($BH18&gt;0,SUMIFS('Final Calculation Sheet'!$X$4:$X$40,$AZ$5:$AZ$41,$BH18),"")))</f>
        <v/>
      </c>
      <c r="Z18" s="652">
        <f>IF($BJ18&gt;0,IF(INDEX('Final Calculation Sheet'!$Y$4:$Y$40,$BJ18-3)="","",INDEX('Final Calculation Sheet'!$Y$4:$Y$40,$BJ18-3)),IF(OR($BI18=1,$BH18&gt;0),"–",""))</f>
        <v/>
      </c>
      <c r="AA18" s="652">
        <f>IF($BJ18&gt;0,IF(INDEX('Final Calculation Sheet'!$Z$4:$Z$40,$BJ18-3)="","",INDEX('Final Calculation Sheet'!$Z$4:$Z$40,$BJ18-3)),IF($BI18=1,SUM('Final Calculation Sheet'!$Z$4:$Z$40),IF($BH18&gt;0,SUMIFS('Final Calculation Sheet'!$Z$4:$Z$40,$AZ$5:$AZ$41,$BH18),"")))</f>
        <v/>
      </c>
      <c r="AB18" s="652">
        <f>IF($BJ18&gt;0,IF(INDEX('Final Calculation Sheet'!$AA$4:$AA$40,$BJ18-3)="","",INDEX('Final Calculation Sheet'!$AA$4:$AA$40,$BJ18-3)),IF($BI18=1,SUM('Final Calculation Sheet'!$AA$4:$AA$40),IF($BH18&gt;0,SUMIFS('Final Calculation Sheet'!$AA$4:$AA$40,$AZ$5:$AZ$41,$BH18),"")))</f>
        <v/>
      </c>
      <c r="AC18" s="652">
        <f>IF($BJ18&gt;0,IF(INDEX('Final Calculation Sheet'!$AB$4:$AB$40,$BJ18-3)="","",INDEX('Final Calculation Sheet'!$AB$4:$AB$40,$BJ18-3)),IF(OR($BI18=1,$BH18&gt;0),"–",""))</f>
        <v/>
      </c>
      <c r="AD18" s="652">
        <f>IF($BJ18&gt;0,IF(INDEX('Final Calculation Sheet'!$AC$4:$AC$40,$BJ18-3)="","",INDEX('Final Calculation Sheet'!$AC$4:$AC$40,$BJ18-3)),IF($BI18=1,SUM('Final Calculation Sheet'!$AC$4:$AC$40),IF($BH18&gt;0,SUMIFS('Final Calculation Sheet'!$AC$4:$AC$40,$AZ$5:$AZ$41,$BH18),"")))</f>
        <v/>
      </c>
      <c r="AE18" s="652">
        <f>IF($BJ18&gt;0,IF(INDEX('Final Calculation Sheet'!$AD$4:$AD$40,$BJ18-3)="","",INDEX('Final Calculation Sheet'!$AD$4:$AD$40,$BJ18-3)),IF($BI18=1,SUM('Final Calculation Sheet'!$AD$4:$AD$40),IF($BH18&gt;0,SUMIFS('Final Calculation Sheet'!$AD$4:$AD$40,$AZ$5:$AZ$41,$BH18),"")))</f>
        <v/>
      </c>
      <c r="AF18" s="652">
        <f>IF($BJ18&gt;0,IF(INDEX('Final Calculation Sheet'!$AE$4:$AE$40,$BJ18-3)="","",INDEX('Final Calculation Sheet'!$AE$4:$AE$40,$BJ18-3)),IF(OR($BI18=1,$BH18&gt;0),"–",""))</f>
        <v/>
      </c>
      <c r="AG18" s="656">
        <f>IF($BJ18&gt;0,IF(INDEX('Final Calculation Sheet'!$AF$4:$AF$40,$BJ18-3)="","",INDEX('Final Calculation Sheet'!$AF$4:$AF$40,$BJ18-3)),IF(OR($BI18=1,$BH18&gt;0),"–",""))</f>
        <v/>
      </c>
      <c r="AH18" s="652">
        <f>IF($BJ18&gt;0,IF(INDEX('Final Calculation Sheet'!$AG$4:$AG$40,$BJ18-3)="","",INDEX('Final Calculation Sheet'!$AG$4:$AG$40,$BJ18-3)),IF(OR($BI18=1,$BH18&gt;0),"–",""))</f>
        <v/>
      </c>
      <c r="AI18" s="657">
        <f>IF($BJ18&gt;0,IF(INDEX('Final Calculation Sheet'!$AD$4:$AD$40,$BJ18-3)="","",IF(INDEX('Final Calculation Sheet'!$AD$4:$AD$40,$BJ18-3)&lt;=0,"SETTLED","OUTSTANDING")),IF(OR($BI18=1,$BH18&gt;0),IF(IF($BI18=1,SUM('Final Calculation Sheet'!$AD$4:$AD$40),SUMIFS('Final Calculation Sheet'!$AD$4:$AD$40,$AZ$5:$AZ$41,$BH18))&lt;=0,"ALL SETTLED","OUTSTANDING"),""))</f>
        <v/>
      </c>
      <c r="AK18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/>
      </c>
      <c r="AM18">
        <f>IF($B$3="",1,IF(AND(IF(COUNTIF($AR$9:$AY$9,1)=0,TRUE,SUMPRODUCT(($AR$9:$AY$9=1)*($AR$6:$AY$6&lt;&gt;"")*ISNUMBER(SEARCH($AR$6:$AY$6,$AK18)))&gt;0),IF(COUNTIF($AR$9:$AY$9,2)=0,TRUE,SUMPRODUCT(($AR$9:$AY$9=2)*($AR$6:$AY$6&lt;&gt;"")*ISNUMBER(SEARCH($AR$6:$AY$6,$AK18)))&gt;0),IF(COUNTIF($AR$9:$AY$9,3)=0,TRUE,SUMPRODUCT(($AR$9:$AY$9=3)*($AR$6:$AY$6&lt;&gt;"")*ISNUMBER(SEARCH($AR$6:$AY$6,$AK18)))&gt;0),IF(COUNTIF($AR$9:$AY$9,4)=0,TRUE,SUMPRODUCT(($AR$9:$AY$9=4)*($AR$6:$AY$6&lt;&gt;"")*ISNUMBER(SEARCH($AR$6:$AY$6,$AK18)))&gt;0),IF(COUNTIF($AR$9:$AY$9,5)=0,TRUE,SUMPRODUCT(($AR$9:$AY$9=5)*($AR$6:$AY$6&lt;&gt;"")*ISNUMBER(SEARCH($AR$6:$AY$6,$AK18)))&gt;0),IF(COUNTIF($AR$9:$AY$9,6)=0,TRUE,SUMPRODUCT(($AR$9:$AY$9=6)*($AR$6:$AY$6&lt;&gt;"")*ISNUMBER(SEARCH($AR$6:$AY$6,$AK18)))&gt;0),IF(COUNTIF($AR$9:$AY$9,7)=0,TRUE,SUMPRODUCT(($AR$9:$AY$9=7)*($AR$6:$AY$6&lt;&gt;"")*ISNUMBER(SEARCH($AR$6:$AY$6,$AK18)))&gt;0),IF(COUNTIF($AR$9:$AY$9,8)=0,TRUE,SUMPRODUCT(($AR$9:$AY$9=8)*($AR$6:$AY$6&lt;&gt;"")*ISNUMBER(SEARCH($AR$6:$AY$6,$AK18)))&gt;0)),1,0))</f>
        <v/>
      </c>
      <c r="AZ18">
        <f>IF($B$3="",9,IF($AM18=0,10,IF(AND($AR$6&lt;&gt;"",ISNUMBER(SEARCH($AR$6,$AK18))),1,IF(AND($AS$6&lt;&gt;"",ISNUMBER(SEARCH($AS$6,$AK18))),2,IF(AND($AT$6&lt;&gt;"",ISNUMBER(SEARCH($AT$6,$AK18))),3,IF(AND($AU$6&lt;&gt;"",ISNUMBER(SEARCH($AU$6,$AK18))),4,IF(AND($AV$6&lt;&gt;"",ISNUMBER(SEARCH($AV$6,$AK18))),5,IF(AND($AW$6&lt;&gt;"",ISNUMBER(SEARCH($AW$6,$AK18))),6,IF(AND($AX$6&lt;&gt;"",ISNUMBER(SEARCH($AX$6,$AK18))),7,IF(AND($AY$6&lt;&gt;"",ISNUMBER(SEARCH($AY$6,$AK18))),8,0))))))))))</f>
        <v/>
      </c>
      <c r="BA18">
        <f>SUMPRODUCT(($AZ$5:$AZ$41=$AZ18)*($BC$5:$BC$41&lt;$BC18))+1</f>
        <v/>
      </c>
      <c r="BB18">
        <f>IF(INDEX($BF$4:$BF$13,$AZ18)=0,0,INDEX($BE$4:$BE$13,$AZ18)+$BA18-1)</f>
        <v/>
      </c>
      <c r="BC18" t="n">
        <v>17</v>
      </c>
      <c r="BH18">
        <f>IFERROR(MATCH(18,$BF$4:$BF$13,0),0)</f>
        <v/>
      </c>
      <c r="BI18">
        <f>IF(18=$BG$4,1,0)</f>
        <v/>
      </c>
      <c r="BJ18">
        <f>IF(OR($BH18&gt;0,$BI18=1),0,IFERROR(INDEX($BC$5:$BC$41,MATCH(18,$BB$5:$BB$41,0)),0))</f>
        <v/>
      </c>
      <c r="BK18">
        <f>IF($BJ18&gt;0,IF(INDEX($AZ$5:$AZ$41,MATCH(18,$BB$5:$BB$41,0))=10,1,0),IF($BH18=10,1,0))</f>
        <v/>
      </c>
    </row>
    <row r="19" ht="15" customHeight="1">
      <c r="A19" s="649">
        <f>IF($BJ19&gt;0,INDEX($BA$5:$BA$41,MATCH(19,$BB$5:$BB$41,0)),IF(OR($BI19=1,$BH19&gt;0),"∑",""))</f>
        <v/>
      </c>
      <c r="B19" s="650">
        <f>IF($BJ19&gt;0,IF(INDEX('Final Calculation Sheet'!$F$4:$F$40,$BJ19-3)="","",INDEX('Final Calculation Sheet'!$F$4:$F$40,$BJ19-3)),"")</f>
        <v/>
      </c>
      <c r="C19" s="650">
        <f>IF($BJ19&gt;0,IF(INDEX('Final Calculation Sheet'!$G$4:$G$40,$BJ19-3)="","",INDEX('Final Calculation Sheet'!$G$4:$G$40,$BJ19-3)),IF(OR($BI19=1,$BH19&gt;0),IF($BI19=1,37,INDEX($BD$4:$BD$13,$BH19))&amp;" lot(s)",""))</f>
        <v/>
      </c>
      <c r="D19" s="651">
        <f>IF($BJ19&gt;0,IF(INDEX('Final Calculation Sheet'!$B$4:$B$40,$BJ19-3)="","",INDEX('Final Calculation Sheet'!$B$4:$B$40,$BJ19-3)),IF(OR($BI19=1,$BH19&gt;0),IF($BI19=1,"GRAND TOTAL  —  matching + remaining",IF($BH19=10,"REMAINING  —  did not match the search",IF($BH19=9,"ALL LOTS  —  nothing typed in the box","GROUP "&amp;$BH19&amp;" TOTAL  —  lots matching  "&amp;INDEX($AR$6:$AY$6,$BH19)))),""))</f>
        <v/>
      </c>
      <c r="E19" s="651">
        <f>IF($BJ19&gt;0,IF(INDEX('Final Calculation Sheet'!$D$4:$D$40,$BJ19-3)="","",INDEX('Final Calculation Sheet'!$D$4:$D$40,$BJ19-3)),IF(OR($BI19=1,$BH19&gt;0),"–",""))</f>
        <v/>
      </c>
      <c r="F19" s="651">
        <f>IF($BJ19&gt;0,IF(INDEX('Final Calculation Sheet'!$A$4:$A$40,$BJ19-3)="","",INDEX('Final Calculation Sheet'!$A$4:$A$40,$BJ19-3)),IF($BI19=1,SUM('Final Calculation Sheet'!$A$4:$A$40),IF($BH19&gt;0,SUMIFS('Final Calculation Sheet'!$A$4:$A$40,$AZ$5:$AZ$41,$BH19),"")))</f>
        <v/>
      </c>
      <c r="G19" s="651">
        <f>IF($BJ19&gt;0,IF(INDEX('Final Calculation Sheet'!$E$4:$E$40,$BJ19-3)="","",INDEX('Final Calculation Sheet'!$E$4:$E$40,$BJ19-3)),IF(OR($BI19=1,$BH19&gt;0),"–",""))</f>
        <v/>
      </c>
      <c r="H19" s="652">
        <f>IF($BJ19&gt;0,IF(INDEX('Final Calculation Sheet'!$C$4:$C$40,$BJ19-3)="","",INDEX('Final Calculation Sheet'!$C$4:$C$40,$BJ19-3)),IF(OR($BI19=1,$BH19&gt;0),"–",""))</f>
        <v/>
      </c>
      <c r="I19" s="652">
        <f>IF($BJ19&gt;0,IF(INDEX('Final Calculation Sheet'!$H$4:$H$40,$BJ19-3)="","",INDEX('Final Calculation Sheet'!$H$4:$H$40,$BJ19-3)),IF($BI19=1,SUM('Final Calculation Sheet'!$H$4:$H$40),IF($BH19&gt;0,SUMIFS('Final Calculation Sheet'!$H$4:$H$40,$AZ$5:$AZ$41,$BH19),"")))</f>
        <v/>
      </c>
      <c r="J19" s="652">
        <f>IF($BJ19&gt;0,IF(INDEX('Final Calculation Sheet'!$I$4:$I$40,$BJ19-3)="","",INDEX('Final Calculation Sheet'!$I$4:$I$40,$BJ19-3)),IF($BI19=1,SUM('Final Calculation Sheet'!$I$4:$I$40),IF($BH19&gt;0,SUMIFS('Final Calculation Sheet'!$I$4:$I$40,$AZ$5:$AZ$41,$BH19),"")))</f>
        <v/>
      </c>
      <c r="K19" s="652">
        <f>IF($BJ19&gt;0,IF(INDEX('Final Calculation Sheet'!$J$4:$J$40,$BJ19-3)="","",INDEX('Final Calculation Sheet'!$J$4:$J$40,$BJ19-3)),IF($BI19=1,SUM('Final Calculation Sheet'!$J$4:$J$40),IF($BH19&gt;0,SUMIFS('Final Calculation Sheet'!$J$4:$J$40,$AZ$5:$AZ$41,$BH19),"")))</f>
        <v/>
      </c>
      <c r="L19" s="652">
        <f>IF($BJ19&gt;0,IF(INDEX('Final Calculation Sheet'!$K$4:$K$40,$BJ19-3)="","",INDEX('Final Calculation Sheet'!$K$4:$K$40,$BJ19-3)),IF($BI19=1,SUM('Final Calculation Sheet'!$K$4:$K$40),IF($BH19&gt;0,SUMIFS('Final Calculation Sheet'!$K$4:$K$40,$AZ$5:$AZ$41,$BH19),"")))</f>
        <v/>
      </c>
      <c r="M19" s="652">
        <f>IF($BJ19&gt;0,IF(INDEX('Final Calculation Sheet'!$L$4:$L$40,$BJ19-3)="","",INDEX('Final Calculation Sheet'!$L$4:$L$40,$BJ19-3)),IF($BI19=1,SUM('Final Calculation Sheet'!$L$4:$L$40),IF($BH19&gt;0,SUMIFS('Final Calculation Sheet'!$L$4:$L$40,$AZ$5:$AZ$41,$BH19),"")))</f>
        <v/>
      </c>
      <c r="N19" s="652">
        <f>IF($BJ19&gt;0,IF(INDEX('Final Calculation Sheet'!$M$4:$M$40,$BJ19-3)="","",INDEX('Final Calculation Sheet'!$M$4:$M$40,$BJ19-3)),IF($BI19=1,SUM('Final Calculation Sheet'!$M$4:$M$40),IF($BH19&gt;0,SUMIFS('Final Calculation Sheet'!$M$4:$M$40,$AZ$5:$AZ$41,$BH19),"")))</f>
        <v/>
      </c>
      <c r="O19" s="653">
        <f>IF($BJ19&gt;0,IF(INDEX('Final Calculation Sheet'!$N$4:$N$40,$BJ19-3)="","",INDEX('Final Calculation Sheet'!$N$4:$N$40,$BJ19-3)),IF($BI19=1,SUM('Final Calculation Sheet'!$N$4:$N$40),IF($BH19&gt;0,SUMIFS('Final Calculation Sheet'!$N$4:$N$40,$AZ$5:$AZ$41,$BH19),"")))</f>
        <v/>
      </c>
      <c r="P19" s="652">
        <f>IF($BJ19&gt;0,IF(INDEX('Final Calculation Sheet'!$O$4:$O$40,$BJ19-3)="","",INDEX('Final Calculation Sheet'!$O$4:$O$40,$BJ19-3)),IF($BI19=1,SUM('Final Calculation Sheet'!$O$4:$O$40),IF($BH19&gt;0,SUMIFS('Final Calculation Sheet'!$O$4:$O$40,$AZ$5:$AZ$41,$BH19),"")))</f>
        <v/>
      </c>
      <c r="Q19" s="652">
        <f>IF($BJ19&gt;0,IF(INDEX('Final Calculation Sheet'!$P$4:$P$40,$BJ19-3)="","",INDEX('Final Calculation Sheet'!$P$4:$P$40,$BJ19-3)),IF($BI19=1,SUM('Final Calculation Sheet'!$P$4:$P$40),IF($BH19&gt;0,SUMIFS('Final Calculation Sheet'!$P$4:$P$40,$AZ$5:$AZ$41,$BH19),"")))</f>
        <v/>
      </c>
      <c r="R19" s="654">
        <f>IF($BJ19&gt;0,IF(INDEX('Final Calculation Sheet'!$Q$4:$Q$40,$BJ19-3)="","",INDEX('Final Calculation Sheet'!$Q$4:$Q$40,$BJ19-3)),IF(OR($BI19=1,$BH19&gt;0),"–",""))</f>
        <v/>
      </c>
      <c r="S19" s="652">
        <f>IF($BJ19&gt;0,IF(INDEX('Final Calculation Sheet'!$R$4:$R$40,$BJ19-3)="","",INDEX('Final Calculation Sheet'!$R$4:$R$40,$BJ19-3)),IF($BI19=1,SUM('Final Calculation Sheet'!$R$4:$R$40),IF($BH19&gt;0,SUMIFS('Final Calculation Sheet'!$R$4:$R$40,$AZ$5:$AZ$41,$BH19),"")))</f>
        <v/>
      </c>
      <c r="T19" s="652">
        <f>IF($BJ19&gt;0,IF(INDEX('Final Calculation Sheet'!$S$4:$S$40,$BJ19-3)="","",INDEX('Final Calculation Sheet'!$S$4:$S$40,$BJ19-3)),IF($BI19=1,SUM('Final Calculation Sheet'!$S$4:$S$40),IF($BH19&gt;0,SUMIFS('Final Calculation Sheet'!$S$4:$S$40,$AZ$5:$AZ$41,$BH19),"")))</f>
        <v/>
      </c>
      <c r="U19" s="652">
        <f>IF($BJ19&gt;0,IF(INDEX('Final Calculation Sheet'!$T$4:$T$40,$BJ19-3)="","",INDEX('Final Calculation Sheet'!$T$4:$T$40,$BJ19-3)),IF($BI19=1,SUM('Final Calculation Sheet'!$T$4:$T$40),IF($BH19&gt;0,SUMIFS('Final Calculation Sheet'!$T$4:$T$40,$AZ$5:$AZ$41,$BH19),"")))</f>
        <v/>
      </c>
      <c r="V19" s="655">
        <f>IF($BJ19&gt;0,IF(INDEX('Final Calculation Sheet'!$U$4:$U$40,$BJ19-3)="","",INDEX('Final Calculation Sheet'!$U$4:$U$40,$BJ19-3)),IF($BI19=1,SUM('Final Calculation Sheet'!$U$4:$U$40),IF($BH19&gt;0,SUMIFS('Final Calculation Sheet'!$U$4:$U$40,$AZ$5:$AZ$41,$BH19),"")))</f>
        <v/>
      </c>
      <c r="W19" s="652">
        <f>IF($BJ19&gt;0,IF(INDEX('Final Calculation Sheet'!$V$4:$V$40,$BJ19-3)="","",INDEX('Final Calculation Sheet'!$V$4:$V$40,$BJ19-3)),IF(OR($BI19=1,$BH19&gt;0),"–",""))</f>
        <v/>
      </c>
      <c r="X19" s="652">
        <f>IF($BJ19&gt;0,IF(INDEX('Final Calculation Sheet'!$W$4:$W$40,$BJ19-3)="","",INDEX('Final Calculation Sheet'!$W$4:$W$40,$BJ19-3)),IF($BI19=1,SUM('Final Calculation Sheet'!$W$4:$W$40),IF($BH19&gt;0,SUMIFS('Final Calculation Sheet'!$W$4:$W$40,$AZ$5:$AZ$41,$BH19),"")))</f>
        <v/>
      </c>
      <c r="Y19" s="652">
        <f>IF($BJ19&gt;0,IF(INDEX('Final Calculation Sheet'!$X$4:$X$40,$BJ19-3)="","",INDEX('Final Calculation Sheet'!$X$4:$X$40,$BJ19-3)),IF($BI19=1,SUM('Final Calculation Sheet'!$X$4:$X$40),IF($BH19&gt;0,SUMIFS('Final Calculation Sheet'!$X$4:$X$40,$AZ$5:$AZ$41,$BH19),"")))</f>
        <v/>
      </c>
      <c r="Z19" s="652">
        <f>IF($BJ19&gt;0,IF(INDEX('Final Calculation Sheet'!$Y$4:$Y$40,$BJ19-3)="","",INDEX('Final Calculation Sheet'!$Y$4:$Y$40,$BJ19-3)),IF(OR($BI19=1,$BH19&gt;0),"–",""))</f>
        <v/>
      </c>
      <c r="AA19" s="652">
        <f>IF($BJ19&gt;0,IF(INDEX('Final Calculation Sheet'!$Z$4:$Z$40,$BJ19-3)="","",INDEX('Final Calculation Sheet'!$Z$4:$Z$40,$BJ19-3)),IF($BI19=1,SUM('Final Calculation Sheet'!$Z$4:$Z$40),IF($BH19&gt;0,SUMIFS('Final Calculation Sheet'!$Z$4:$Z$40,$AZ$5:$AZ$41,$BH19),"")))</f>
        <v/>
      </c>
      <c r="AB19" s="652">
        <f>IF($BJ19&gt;0,IF(INDEX('Final Calculation Sheet'!$AA$4:$AA$40,$BJ19-3)="","",INDEX('Final Calculation Sheet'!$AA$4:$AA$40,$BJ19-3)),IF($BI19=1,SUM('Final Calculation Sheet'!$AA$4:$AA$40),IF($BH19&gt;0,SUMIFS('Final Calculation Sheet'!$AA$4:$AA$40,$AZ$5:$AZ$41,$BH19),"")))</f>
        <v/>
      </c>
      <c r="AC19" s="652">
        <f>IF($BJ19&gt;0,IF(INDEX('Final Calculation Sheet'!$AB$4:$AB$40,$BJ19-3)="","",INDEX('Final Calculation Sheet'!$AB$4:$AB$40,$BJ19-3)),IF(OR($BI19=1,$BH19&gt;0),"–",""))</f>
        <v/>
      </c>
      <c r="AD19" s="652">
        <f>IF($BJ19&gt;0,IF(INDEX('Final Calculation Sheet'!$AC$4:$AC$40,$BJ19-3)="","",INDEX('Final Calculation Sheet'!$AC$4:$AC$40,$BJ19-3)),IF($BI19=1,SUM('Final Calculation Sheet'!$AC$4:$AC$40),IF($BH19&gt;0,SUMIFS('Final Calculation Sheet'!$AC$4:$AC$40,$AZ$5:$AZ$41,$BH19),"")))</f>
        <v/>
      </c>
      <c r="AE19" s="652">
        <f>IF($BJ19&gt;0,IF(INDEX('Final Calculation Sheet'!$AD$4:$AD$40,$BJ19-3)="","",INDEX('Final Calculation Sheet'!$AD$4:$AD$40,$BJ19-3)),IF($BI19=1,SUM('Final Calculation Sheet'!$AD$4:$AD$40),IF($BH19&gt;0,SUMIFS('Final Calculation Sheet'!$AD$4:$AD$40,$AZ$5:$AZ$41,$BH19),"")))</f>
        <v/>
      </c>
      <c r="AF19" s="652">
        <f>IF($BJ19&gt;0,IF(INDEX('Final Calculation Sheet'!$AE$4:$AE$40,$BJ19-3)="","",INDEX('Final Calculation Sheet'!$AE$4:$AE$40,$BJ19-3)),IF(OR($BI19=1,$BH19&gt;0),"–",""))</f>
        <v/>
      </c>
      <c r="AG19" s="656">
        <f>IF($BJ19&gt;0,IF(INDEX('Final Calculation Sheet'!$AF$4:$AF$40,$BJ19-3)="","",INDEX('Final Calculation Sheet'!$AF$4:$AF$40,$BJ19-3)),IF(OR($BI19=1,$BH19&gt;0),"–",""))</f>
        <v/>
      </c>
      <c r="AH19" s="652">
        <f>IF($BJ19&gt;0,IF(INDEX('Final Calculation Sheet'!$AG$4:$AG$40,$BJ19-3)="","",INDEX('Final Calculation Sheet'!$AG$4:$AG$40,$BJ19-3)),IF(OR($BI19=1,$BH19&gt;0),"–",""))</f>
        <v/>
      </c>
      <c r="AI19" s="657">
        <f>IF($BJ19&gt;0,IF(INDEX('Final Calculation Sheet'!$AD$4:$AD$40,$BJ19-3)="","",IF(INDEX('Final Calculation Sheet'!$AD$4:$AD$40,$BJ19-3)&lt;=0,"SETTLED","OUTSTANDING")),IF(OR($BI19=1,$BH19&gt;0),IF(IF($BI19=1,SUM('Final Calculation Sheet'!$AD$4:$AD$40),SUMIFS('Final Calculation Sheet'!$AD$4:$AD$40,$AZ$5:$AZ$41,$BH19))&lt;=0,"ALL SETTLED","OUTSTANDING"),""))</f>
        <v/>
      </c>
      <c r="AK19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/>
      </c>
      <c r="AM19">
        <f>IF($B$3="",1,IF(AND(IF(COUNTIF($AR$9:$AY$9,1)=0,TRUE,SUMPRODUCT(($AR$9:$AY$9=1)*($AR$6:$AY$6&lt;&gt;"")*ISNUMBER(SEARCH($AR$6:$AY$6,$AK19)))&gt;0),IF(COUNTIF($AR$9:$AY$9,2)=0,TRUE,SUMPRODUCT(($AR$9:$AY$9=2)*($AR$6:$AY$6&lt;&gt;"")*ISNUMBER(SEARCH($AR$6:$AY$6,$AK19)))&gt;0),IF(COUNTIF($AR$9:$AY$9,3)=0,TRUE,SUMPRODUCT(($AR$9:$AY$9=3)*($AR$6:$AY$6&lt;&gt;"")*ISNUMBER(SEARCH($AR$6:$AY$6,$AK19)))&gt;0),IF(COUNTIF($AR$9:$AY$9,4)=0,TRUE,SUMPRODUCT(($AR$9:$AY$9=4)*($AR$6:$AY$6&lt;&gt;"")*ISNUMBER(SEARCH($AR$6:$AY$6,$AK19)))&gt;0),IF(COUNTIF($AR$9:$AY$9,5)=0,TRUE,SUMPRODUCT(($AR$9:$AY$9=5)*($AR$6:$AY$6&lt;&gt;"")*ISNUMBER(SEARCH($AR$6:$AY$6,$AK19)))&gt;0),IF(COUNTIF($AR$9:$AY$9,6)=0,TRUE,SUMPRODUCT(($AR$9:$AY$9=6)*($AR$6:$AY$6&lt;&gt;"")*ISNUMBER(SEARCH($AR$6:$AY$6,$AK19)))&gt;0),IF(COUNTIF($AR$9:$AY$9,7)=0,TRUE,SUMPRODUCT(($AR$9:$AY$9=7)*($AR$6:$AY$6&lt;&gt;"")*ISNUMBER(SEARCH($AR$6:$AY$6,$AK19)))&gt;0),IF(COUNTIF($AR$9:$AY$9,8)=0,TRUE,SUMPRODUCT(($AR$9:$AY$9=8)*($AR$6:$AY$6&lt;&gt;"")*ISNUMBER(SEARCH($AR$6:$AY$6,$AK19)))&gt;0)),1,0))</f>
        <v/>
      </c>
      <c r="AZ19">
        <f>IF($B$3="",9,IF($AM19=0,10,IF(AND($AR$6&lt;&gt;"",ISNUMBER(SEARCH($AR$6,$AK19))),1,IF(AND($AS$6&lt;&gt;"",ISNUMBER(SEARCH($AS$6,$AK19))),2,IF(AND($AT$6&lt;&gt;"",ISNUMBER(SEARCH($AT$6,$AK19))),3,IF(AND($AU$6&lt;&gt;"",ISNUMBER(SEARCH($AU$6,$AK19))),4,IF(AND($AV$6&lt;&gt;"",ISNUMBER(SEARCH($AV$6,$AK19))),5,IF(AND($AW$6&lt;&gt;"",ISNUMBER(SEARCH($AW$6,$AK19))),6,IF(AND($AX$6&lt;&gt;"",ISNUMBER(SEARCH($AX$6,$AK19))),7,IF(AND($AY$6&lt;&gt;"",ISNUMBER(SEARCH($AY$6,$AK19))),8,0))))))))))</f>
        <v/>
      </c>
      <c r="BA19">
        <f>SUMPRODUCT(($AZ$5:$AZ$41=$AZ19)*($BC$5:$BC$41&lt;$BC19))+1</f>
        <v/>
      </c>
      <c r="BB19">
        <f>IF(INDEX($BF$4:$BF$13,$AZ19)=0,0,INDEX($BE$4:$BE$13,$AZ19)+$BA19-1)</f>
        <v/>
      </c>
      <c r="BC19" t="n">
        <v>18</v>
      </c>
      <c r="BH19">
        <f>IFERROR(MATCH(19,$BF$4:$BF$13,0),0)</f>
        <v/>
      </c>
      <c r="BI19">
        <f>IF(19=$BG$4,1,0)</f>
        <v/>
      </c>
      <c r="BJ19">
        <f>IF(OR($BH19&gt;0,$BI19=1),0,IFERROR(INDEX($BC$5:$BC$41,MATCH(19,$BB$5:$BB$41,0)),0))</f>
        <v/>
      </c>
      <c r="BK19">
        <f>IF($BJ19&gt;0,IF(INDEX($AZ$5:$AZ$41,MATCH(19,$BB$5:$BB$41,0))=10,1,0),IF($BH19=10,1,0))</f>
        <v/>
      </c>
    </row>
    <row r="20" ht="15" customHeight="1">
      <c r="A20" s="649">
        <f>IF($BJ20&gt;0,INDEX($BA$5:$BA$41,MATCH(20,$BB$5:$BB$41,0)),IF(OR($BI20=1,$BH20&gt;0),"∑",""))</f>
        <v/>
      </c>
      <c r="B20" s="650">
        <f>IF($BJ20&gt;0,IF(INDEX('Final Calculation Sheet'!$F$4:$F$40,$BJ20-3)="","",INDEX('Final Calculation Sheet'!$F$4:$F$40,$BJ20-3)),"")</f>
        <v/>
      </c>
      <c r="C20" s="650">
        <f>IF($BJ20&gt;0,IF(INDEX('Final Calculation Sheet'!$G$4:$G$40,$BJ20-3)="","",INDEX('Final Calculation Sheet'!$G$4:$G$40,$BJ20-3)),IF(OR($BI20=1,$BH20&gt;0),IF($BI20=1,37,INDEX($BD$4:$BD$13,$BH20))&amp;" lot(s)",""))</f>
        <v/>
      </c>
      <c r="D20" s="651">
        <f>IF($BJ20&gt;0,IF(INDEX('Final Calculation Sheet'!$B$4:$B$40,$BJ20-3)="","",INDEX('Final Calculation Sheet'!$B$4:$B$40,$BJ20-3)),IF(OR($BI20=1,$BH20&gt;0),IF($BI20=1,"GRAND TOTAL  —  matching + remaining",IF($BH20=10,"REMAINING  —  did not match the search",IF($BH20=9,"ALL LOTS  —  nothing typed in the box","GROUP "&amp;$BH20&amp;" TOTAL  —  lots matching  "&amp;INDEX($AR$6:$AY$6,$BH20)))),""))</f>
        <v/>
      </c>
      <c r="E20" s="651">
        <f>IF($BJ20&gt;0,IF(INDEX('Final Calculation Sheet'!$D$4:$D$40,$BJ20-3)="","",INDEX('Final Calculation Sheet'!$D$4:$D$40,$BJ20-3)),IF(OR($BI20=1,$BH20&gt;0),"–",""))</f>
        <v/>
      </c>
      <c r="F20" s="651">
        <f>IF($BJ20&gt;0,IF(INDEX('Final Calculation Sheet'!$A$4:$A$40,$BJ20-3)="","",INDEX('Final Calculation Sheet'!$A$4:$A$40,$BJ20-3)),IF($BI20=1,SUM('Final Calculation Sheet'!$A$4:$A$40),IF($BH20&gt;0,SUMIFS('Final Calculation Sheet'!$A$4:$A$40,$AZ$5:$AZ$41,$BH20),"")))</f>
        <v/>
      </c>
      <c r="G20" s="651">
        <f>IF($BJ20&gt;0,IF(INDEX('Final Calculation Sheet'!$E$4:$E$40,$BJ20-3)="","",INDEX('Final Calculation Sheet'!$E$4:$E$40,$BJ20-3)),IF(OR($BI20=1,$BH20&gt;0),"–",""))</f>
        <v/>
      </c>
      <c r="H20" s="652">
        <f>IF($BJ20&gt;0,IF(INDEX('Final Calculation Sheet'!$C$4:$C$40,$BJ20-3)="","",INDEX('Final Calculation Sheet'!$C$4:$C$40,$BJ20-3)),IF(OR($BI20=1,$BH20&gt;0),"–",""))</f>
        <v/>
      </c>
      <c r="I20" s="652">
        <f>IF($BJ20&gt;0,IF(INDEX('Final Calculation Sheet'!$H$4:$H$40,$BJ20-3)="","",INDEX('Final Calculation Sheet'!$H$4:$H$40,$BJ20-3)),IF($BI20=1,SUM('Final Calculation Sheet'!$H$4:$H$40),IF($BH20&gt;0,SUMIFS('Final Calculation Sheet'!$H$4:$H$40,$AZ$5:$AZ$41,$BH20),"")))</f>
        <v/>
      </c>
      <c r="J20" s="652">
        <f>IF($BJ20&gt;0,IF(INDEX('Final Calculation Sheet'!$I$4:$I$40,$BJ20-3)="","",INDEX('Final Calculation Sheet'!$I$4:$I$40,$BJ20-3)),IF($BI20=1,SUM('Final Calculation Sheet'!$I$4:$I$40),IF($BH20&gt;0,SUMIFS('Final Calculation Sheet'!$I$4:$I$40,$AZ$5:$AZ$41,$BH20),"")))</f>
        <v/>
      </c>
      <c r="K20" s="652">
        <f>IF($BJ20&gt;0,IF(INDEX('Final Calculation Sheet'!$J$4:$J$40,$BJ20-3)="","",INDEX('Final Calculation Sheet'!$J$4:$J$40,$BJ20-3)),IF($BI20=1,SUM('Final Calculation Sheet'!$J$4:$J$40),IF($BH20&gt;0,SUMIFS('Final Calculation Sheet'!$J$4:$J$40,$AZ$5:$AZ$41,$BH20),"")))</f>
        <v/>
      </c>
      <c r="L20" s="652">
        <f>IF($BJ20&gt;0,IF(INDEX('Final Calculation Sheet'!$K$4:$K$40,$BJ20-3)="","",INDEX('Final Calculation Sheet'!$K$4:$K$40,$BJ20-3)),IF($BI20=1,SUM('Final Calculation Sheet'!$K$4:$K$40),IF($BH20&gt;0,SUMIFS('Final Calculation Sheet'!$K$4:$K$40,$AZ$5:$AZ$41,$BH20),"")))</f>
        <v/>
      </c>
      <c r="M20" s="652">
        <f>IF($BJ20&gt;0,IF(INDEX('Final Calculation Sheet'!$L$4:$L$40,$BJ20-3)="","",INDEX('Final Calculation Sheet'!$L$4:$L$40,$BJ20-3)),IF($BI20=1,SUM('Final Calculation Sheet'!$L$4:$L$40),IF($BH20&gt;0,SUMIFS('Final Calculation Sheet'!$L$4:$L$40,$AZ$5:$AZ$41,$BH20),"")))</f>
        <v/>
      </c>
      <c r="N20" s="652">
        <f>IF($BJ20&gt;0,IF(INDEX('Final Calculation Sheet'!$M$4:$M$40,$BJ20-3)="","",INDEX('Final Calculation Sheet'!$M$4:$M$40,$BJ20-3)),IF($BI20=1,SUM('Final Calculation Sheet'!$M$4:$M$40),IF($BH20&gt;0,SUMIFS('Final Calculation Sheet'!$M$4:$M$40,$AZ$5:$AZ$41,$BH20),"")))</f>
        <v/>
      </c>
      <c r="O20" s="653">
        <f>IF($BJ20&gt;0,IF(INDEX('Final Calculation Sheet'!$N$4:$N$40,$BJ20-3)="","",INDEX('Final Calculation Sheet'!$N$4:$N$40,$BJ20-3)),IF($BI20=1,SUM('Final Calculation Sheet'!$N$4:$N$40),IF($BH20&gt;0,SUMIFS('Final Calculation Sheet'!$N$4:$N$40,$AZ$5:$AZ$41,$BH20),"")))</f>
        <v/>
      </c>
      <c r="P20" s="652">
        <f>IF($BJ20&gt;0,IF(INDEX('Final Calculation Sheet'!$O$4:$O$40,$BJ20-3)="","",INDEX('Final Calculation Sheet'!$O$4:$O$40,$BJ20-3)),IF($BI20=1,SUM('Final Calculation Sheet'!$O$4:$O$40),IF($BH20&gt;0,SUMIFS('Final Calculation Sheet'!$O$4:$O$40,$AZ$5:$AZ$41,$BH20),"")))</f>
        <v/>
      </c>
      <c r="Q20" s="652">
        <f>IF($BJ20&gt;0,IF(INDEX('Final Calculation Sheet'!$P$4:$P$40,$BJ20-3)="","",INDEX('Final Calculation Sheet'!$P$4:$P$40,$BJ20-3)),IF($BI20=1,SUM('Final Calculation Sheet'!$P$4:$P$40),IF($BH20&gt;0,SUMIFS('Final Calculation Sheet'!$P$4:$P$40,$AZ$5:$AZ$41,$BH20),"")))</f>
        <v/>
      </c>
      <c r="R20" s="654">
        <f>IF($BJ20&gt;0,IF(INDEX('Final Calculation Sheet'!$Q$4:$Q$40,$BJ20-3)="","",INDEX('Final Calculation Sheet'!$Q$4:$Q$40,$BJ20-3)),IF(OR($BI20=1,$BH20&gt;0),"–",""))</f>
        <v/>
      </c>
      <c r="S20" s="652">
        <f>IF($BJ20&gt;0,IF(INDEX('Final Calculation Sheet'!$R$4:$R$40,$BJ20-3)="","",INDEX('Final Calculation Sheet'!$R$4:$R$40,$BJ20-3)),IF($BI20=1,SUM('Final Calculation Sheet'!$R$4:$R$40),IF($BH20&gt;0,SUMIFS('Final Calculation Sheet'!$R$4:$R$40,$AZ$5:$AZ$41,$BH20),"")))</f>
        <v/>
      </c>
      <c r="T20" s="652">
        <f>IF($BJ20&gt;0,IF(INDEX('Final Calculation Sheet'!$S$4:$S$40,$BJ20-3)="","",INDEX('Final Calculation Sheet'!$S$4:$S$40,$BJ20-3)),IF($BI20=1,SUM('Final Calculation Sheet'!$S$4:$S$40),IF($BH20&gt;0,SUMIFS('Final Calculation Sheet'!$S$4:$S$40,$AZ$5:$AZ$41,$BH20),"")))</f>
        <v/>
      </c>
      <c r="U20" s="652">
        <f>IF($BJ20&gt;0,IF(INDEX('Final Calculation Sheet'!$T$4:$T$40,$BJ20-3)="","",INDEX('Final Calculation Sheet'!$T$4:$T$40,$BJ20-3)),IF($BI20=1,SUM('Final Calculation Sheet'!$T$4:$T$40),IF($BH20&gt;0,SUMIFS('Final Calculation Sheet'!$T$4:$T$40,$AZ$5:$AZ$41,$BH20),"")))</f>
        <v/>
      </c>
      <c r="V20" s="655">
        <f>IF($BJ20&gt;0,IF(INDEX('Final Calculation Sheet'!$U$4:$U$40,$BJ20-3)="","",INDEX('Final Calculation Sheet'!$U$4:$U$40,$BJ20-3)),IF($BI20=1,SUM('Final Calculation Sheet'!$U$4:$U$40),IF($BH20&gt;0,SUMIFS('Final Calculation Sheet'!$U$4:$U$40,$AZ$5:$AZ$41,$BH20),"")))</f>
        <v/>
      </c>
      <c r="W20" s="652">
        <f>IF($BJ20&gt;0,IF(INDEX('Final Calculation Sheet'!$V$4:$V$40,$BJ20-3)="","",INDEX('Final Calculation Sheet'!$V$4:$V$40,$BJ20-3)),IF(OR($BI20=1,$BH20&gt;0),"–",""))</f>
        <v/>
      </c>
      <c r="X20" s="652">
        <f>IF($BJ20&gt;0,IF(INDEX('Final Calculation Sheet'!$W$4:$W$40,$BJ20-3)="","",INDEX('Final Calculation Sheet'!$W$4:$W$40,$BJ20-3)),IF($BI20=1,SUM('Final Calculation Sheet'!$W$4:$W$40),IF($BH20&gt;0,SUMIFS('Final Calculation Sheet'!$W$4:$W$40,$AZ$5:$AZ$41,$BH20),"")))</f>
        <v/>
      </c>
      <c r="Y20" s="652">
        <f>IF($BJ20&gt;0,IF(INDEX('Final Calculation Sheet'!$X$4:$X$40,$BJ20-3)="","",INDEX('Final Calculation Sheet'!$X$4:$X$40,$BJ20-3)),IF($BI20=1,SUM('Final Calculation Sheet'!$X$4:$X$40),IF($BH20&gt;0,SUMIFS('Final Calculation Sheet'!$X$4:$X$40,$AZ$5:$AZ$41,$BH20),"")))</f>
        <v/>
      </c>
      <c r="Z20" s="652">
        <f>IF($BJ20&gt;0,IF(INDEX('Final Calculation Sheet'!$Y$4:$Y$40,$BJ20-3)="","",INDEX('Final Calculation Sheet'!$Y$4:$Y$40,$BJ20-3)),IF(OR($BI20=1,$BH20&gt;0),"–",""))</f>
        <v/>
      </c>
      <c r="AA20" s="652">
        <f>IF($BJ20&gt;0,IF(INDEX('Final Calculation Sheet'!$Z$4:$Z$40,$BJ20-3)="","",INDEX('Final Calculation Sheet'!$Z$4:$Z$40,$BJ20-3)),IF($BI20=1,SUM('Final Calculation Sheet'!$Z$4:$Z$40),IF($BH20&gt;0,SUMIFS('Final Calculation Sheet'!$Z$4:$Z$40,$AZ$5:$AZ$41,$BH20),"")))</f>
        <v/>
      </c>
      <c r="AB20" s="652">
        <f>IF($BJ20&gt;0,IF(INDEX('Final Calculation Sheet'!$AA$4:$AA$40,$BJ20-3)="","",INDEX('Final Calculation Sheet'!$AA$4:$AA$40,$BJ20-3)),IF($BI20=1,SUM('Final Calculation Sheet'!$AA$4:$AA$40),IF($BH20&gt;0,SUMIFS('Final Calculation Sheet'!$AA$4:$AA$40,$AZ$5:$AZ$41,$BH20),"")))</f>
        <v/>
      </c>
      <c r="AC20" s="652">
        <f>IF($BJ20&gt;0,IF(INDEX('Final Calculation Sheet'!$AB$4:$AB$40,$BJ20-3)="","",INDEX('Final Calculation Sheet'!$AB$4:$AB$40,$BJ20-3)),IF(OR($BI20=1,$BH20&gt;0),"–",""))</f>
        <v/>
      </c>
      <c r="AD20" s="652">
        <f>IF($BJ20&gt;0,IF(INDEX('Final Calculation Sheet'!$AC$4:$AC$40,$BJ20-3)="","",INDEX('Final Calculation Sheet'!$AC$4:$AC$40,$BJ20-3)),IF($BI20=1,SUM('Final Calculation Sheet'!$AC$4:$AC$40),IF($BH20&gt;0,SUMIFS('Final Calculation Sheet'!$AC$4:$AC$40,$AZ$5:$AZ$41,$BH20),"")))</f>
        <v/>
      </c>
      <c r="AE20" s="652">
        <f>IF($BJ20&gt;0,IF(INDEX('Final Calculation Sheet'!$AD$4:$AD$40,$BJ20-3)="","",INDEX('Final Calculation Sheet'!$AD$4:$AD$40,$BJ20-3)),IF($BI20=1,SUM('Final Calculation Sheet'!$AD$4:$AD$40),IF($BH20&gt;0,SUMIFS('Final Calculation Sheet'!$AD$4:$AD$40,$AZ$5:$AZ$41,$BH20),"")))</f>
        <v/>
      </c>
      <c r="AF20" s="652">
        <f>IF($BJ20&gt;0,IF(INDEX('Final Calculation Sheet'!$AE$4:$AE$40,$BJ20-3)="","",INDEX('Final Calculation Sheet'!$AE$4:$AE$40,$BJ20-3)),IF(OR($BI20=1,$BH20&gt;0),"–",""))</f>
        <v/>
      </c>
      <c r="AG20" s="656">
        <f>IF($BJ20&gt;0,IF(INDEX('Final Calculation Sheet'!$AF$4:$AF$40,$BJ20-3)="","",INDEX('Final Calculation Sheet'!$AF$4:$AF$40,$BJ20-3)),IF(OR($BI20=1,$BH20&gt;0),"–",""))</f>
        <v/>
      </c>
      <c r="AH20" s="652">
        <f>IF($BJ20&gt;0,IF(INDEX('Final Calculation Sheet'!$AG$4:$AG$40,$BJ20-3)="","",INDEX('Final Calculation Sheet'!$AG$4:$AG$40,$BJ20-3)),IF(OR($BI20=1,$BH20&gt;0),"–",""))</f>
        <v/>
      </c>
      <c r="AI20" s="657">
        <f>IF($BJ20&gt;0,IF(INDEX('Final Calculation Sheet'!$AD$4:$AD$40,$BJ20-3)="","",IF(INDEX('Final Calculation Sheet'!$AD$4:$AD$40,$BJ20-3)&lt;=0,"SETTLED","OUTSTANDING")),IF(OR($BI20=1,$BH20&gt;0),IF(IF($BI20=1,SUM('Final Calculation Sheet'!$AD$4:$AD$40),SUMIFS('Final Calculation Sheet'!$AD$4:$AD$40,$AZ$5:$AZ$41,$BH20))&lt;=0,"ALL SETTLED","OUTSTANDING"),""))</f>
        <v/>
      </c>
      <c r="AK20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/>
      </c>
      <c r="AM20">
        <f>IF($B$3="",1,IF(AND(IF(COUNTIF($AR$9:$AY$9,1)=0,TRUE,SUMPRODUCT(($AR$9:$AY$9=1)*($AR$6:$AY$6&lt;&gt;"")*ISNUMBER(SEARCH($AR$6:$AY$6,$AK20)))&gt;0),IF(COUNTIF($AR$9:$AY$9,2)=0,TRUE,SUMPRODUCT(($AR$9:$AY$9=2)*($AR$6:$AY$6&lt;&gt;"")*ISNUMBER(SEARCH($AR$6:$AY$6,$AK20)))&gt;0),IF(COUNTIF($AR$9:$AY$9,3)=0,TRUE,SUMPRODUCT(($AR$9:$AY$9=3)*($AR$6:$AY$6&lt;&gt;"")*ISNUMBER(SEARCH($AR$6:$AY$6,$AK20)))&gt;0),IF(COUNTIF($AR$9:$AY$9,4)=0,TRUE,SUMPRODUCT(($AR$9:$AY$9=4)*($AR$6:$AY$6&lt;&gt;"")*ISNUMBER(SEARCH($AR$6:$AY$6,$AK20)))&gt;0),IF(COUNTIF($AR$9:$AY$9,5)=0,TRUE,SUMPRODUCT(($AR$9:$AY$9=5)*($AR$6:$AY$6&lt;&gt;"")*ISNUMBER(SEARCH($AR$6:$AY$6,$AK20)))&gt;0),IF(COUNTIF($AR$9:$AY$9,6)=0,TRUE,SUMPRODUCT(($AR$9:$AY$9=6)*($AR$6:$AY$6&lt;&gt;"")*ISNUMBER(SEARCH($AR$6:$AY$6,$AK20)))&gt;0),IF(COUNTIF($AR$9:$AY$9,7)=0,TRUE,SUMPRODUCT(($AR$9:$AY$9=7)*($AR$6:$AY$6&lt;&gt;"")*ISNUMBER(SEARCH($AR$6:$AY$6,$AK20)))&gt;0),IF(COUNTIF($AR$9:$AY$9,8)=0,TRUE,SUMPRODUCT(($AR$9:$AY$9=8)*($AR$6:$AY$6&lt;&gt;"")*ISNUMBER(SEARCH($AR$6:$AY$6,$AK20)))&gt;0)),1,0))</f>
        <v/>
      </c>
      <c r="AZ20">
        <f>IF($B$3="",9,IF($AM20=0,10,IF(AND($AR$6&lt;&gt;"",ISNUMBER(SEARCH($AR$6,$AK20))),1,IF(AND($AS$6&lt;&gt;"",ISNUMBER(SEARCH($AS$6,$AK20))),2,IF(AND($AT$6&lt;&gt;"",ISNUMBER(SEARCH($AT$6,$AK20))),3,IF(AND($AU$6&lt;&gt;"",ISNUMBER(SEARCH($AU$6,$AK20))),4,IF(AND($AV$6&lt;&gt;"",ISNUMBER(SEARCH($AV$6,$AK20))),5,IF(AND($AW$6&lt;&gt;"",ISNUMBER(SEARCH($AW$6,$AK20))),6,IF(AND($AX$6&lt;&gt;"",ISNUMBER(SEARCH($AX$6,$AK20))),7,IF(AND($AY$6&lt;&gt;"",ISNUMBER(SEARCH($AY$6,$AK20))),8,0))))))))))</f>
        <v/>
      </c>
      <c r="BA20">
        <f>SUMPRODUCT(($AZ$5:$AZ$41=$AZ20)*($BC$5:$BC$41&lt;$BC20))+1</f>
        <v/>
      </c>
      <c r="BB20">
        <f>IF(INDEX($BF$4:$BF$13,$AZ20)=0,0,INDEX($BE$4:$BE$13,$AZ20)+$BA20-1)</f>
        <v/>
      </c>
      <c r="BC20" t="n">
        <v>19</v>
      </c>
      <c r="BH20">
        <f>IFERROR(MATCH(20,$BF$4:$BF$13,0),0)</f>
        <v/>
      </c>
      <c r="BI20">
        <f>IF(20=$BG$4,1,0)</f>
        <v/>
      </c>
      <c r="BJ20">
        <f>IF(OR($BH20&gt;0,$BI20=1),0,IFERROR(INDEX($BC$5:$BC$41,MATCH(20,$BB$5:$BB$41,0)),0))</f>
        <v/>
      </c>
      <c r="BK20">
        <f>IF($BJ20&gt;0,IF(INDEX($AZ$5:$AZ$41,MATCH(20,$BB$5:$BB$41,0))=10,1,0),IF($BH20=10,1,0))</f>
        <v/>
      </c>
    </row>
    <row r="21" ht="15" customHeight="1">
      <c r="A21" s="649">
        <f>IF($BJ21&gt;0,INDEX($BA$5:$BA$41,MATCH(21,$BB$5:$BB$41,0)),IF(OR($BI21=1,$BH21&gt;0),"∑",""))</f>
        <v/>
      </c>
      <c r="B21" s="650">
        <f>IF($BJ21&gt;0,IF(INDEX('Final Calculation Sheet'!$F$4:$F$40,$BJ21-3)="","",INDEX('Final Calculation Sheet'!$F$4:$F$40,$BJ21-3)),"")</f>
        <v/>
      </c>
      <c r="C21" s="650">
        <f>IF($BJ21&gt;0,IF(INDEX('Final Calculation Sheet'!$G$4:$G$40,$BJ21-3)="","",INDEX('Final Calculation Sheet'!$G$4:$G$40,$BJ21-3)),IF(OR($BI21=1,$BH21&gt;0),IF($BI21=1,37,INDEX($BD$4:$BD$13,$BH21))&amp;" lot(s)",""))</f>
        <v/>
      </c>
      <c r="D21" s="651">
        <f>IF($BJ21&gt;0,IF(INDEX('Final Calculation Sheet'!$B$4:$B$40,$BJ21-3)="","",INDEX('Final Calculation Sheet'!$B$4:$B$40,$BJ21-3)),IF(OR($BI21=1,$BH21&gt;0),IF($BI21=1,"GRAND TOTAL  —  matching + remaining",IF($BH21=10,"REMAINING  —  did not match the search",IF($BH21=9,"ALL LOTS  —  nothing typed in the box","GROUP "&amp;$BH21&amp;" TOTAL  —  lots matching  "&amp;INDEX($AR$6:$AY$6,$BH21)))),""))</f>
        <v/>
      </c>
      <c r="E21" s="651">
        <f>IF($BJ21&gt;0,IF(INDEX('Final Calculation Sheet'!$D$4:$D$40,$BJ21-3)="","",INDEX('Final Calculation Sheet'!$D$4:$D$40,$BJ21-3)),IF(OR($BI21=1,$BH21&gt;0),"–",""))</f>
        <v/>
      </c>
      <c r="F21" s="651">
        <f>IF($BJ21&gt;0,IF(INDEX('Final Calculation Sheet'!$A$4:$A$40,$BJ21-3)="","",INDEX('Final Calculation Sheet'!$A$4:$A$40,$BJ21-3)),IF($BI21=1,SUM('Final Calculation Sheet'!$A$4:$A$40),IF($BH21&gt;0,SUMIFS('Final Calculation Sheet'!$A$4:$A$40,$AZ$5:$AZ$41,$BH21),"")))</f>
        <v/>
      </c>
      <c r="G21" s="651">
        <f>IF($BJ21&gt;0,IF(INDEX('Final Calculation Sheet'!$E$4:$E$40,$BJ21-3)="","",INDEX('Final Calculation Sheet'!$E$4:$E$40,$BJ21-3)),IF(OR($BI21=1,$BH21&gt;0),"–",""))</f>
        <v/>
      </c>
      <c r="H21" s="652">
        <f>IF($BJ21&gt;0,IF(INDEX('Final Calculation Sheet'!$C$4:$C$40,$BJ21-3)="","",INDEX('Final Calculation Sheet'!$C$4:$C$40,$BJ21-3)),IF(OR($BI21=1,$BH21&gt;0),"–",""))</f>
        <v/>
      </c>
      <c r="I21" s="652">
        <f>IF($BJ21&gt;0,IF(INDEX('Final Calculation Sheet'!$H$4:$H$40,$BJ21-3)="","",INDEX('Final Calculation Sheet'!$H$4:$H$40,$BJ21-3)),IF($BI21=1,SUM('Final Calculation Sheet'!$H$4:$H$40),IF($BH21&gt;0,SUMIFS('Final Calculation Sheet'!$H$4:$H$40,$AZ$5:$AZ$41,$BH21),"")))</f>
        <v/>
      </c>
      <c r="J21" s="652">
        <f>IF($BJ21&gt;0,IF(INDEX('Final Calculation Sheet'!$I$4:$I$40,$BJ21-3)="","",INDEX('Final Calculation Sheet'!$I$4:$I$40,$BJ21-3)),IF($BI21=1,SUM('Final Calculation Sheet'!$I$4:$I$40),IF($BH21&gt;0,SUMIFS('Final Calculation Sheet'!$I$4:$I$40,$AZ$5:$AZ$41,$BH21),"")))</f>
        <v/>
      </c>
      <c r="K21" s="652">
        <f>IF($BJ21&gt;0,IF(INDEX('Final Calculation Sheet'!$J$4:$J$40,$BJ21-3)="","",INDEX('Final Calculation Sheet'!$J$4:$J$40,$BJ21-3)),IF($BI21=1,SUM('Final Calculation Sheet'!$J$4:$J$40),IF($BH21&gt;0,SUMIFS('Final Calculation Sheet'!$J$4:$J$40,$AZ$5:$AZ$41,$BH21),"")))</f>
        <v/>
      </c>
      <c r="L21" s="652">
        <f>IF($BJ21&gt;0,IF(INDEX('Final Calculation Sheet'!$K$4:$K$40,$BJ21-3)="","",INDEX('Final Calculation Sheet'!$K$4:$K$40,$BJ21-3)),IF($BI21=1,SUM('Final Calculation Sheet'!$K$4:$K$40),IF($BH21&gt;0,SUMIFS('Final Calculation Sheet'!$K$4:$K$40,$AZ$5:$AZ$41,$BH21),"")))</f>
        <v/>
      </c>
      <c r="M21" s="652">
        <f>IF($BJ21&gt;0,IF(INDEX('Final Calculation Sheet'!$L$4:$L$40,$BJ21-3)="","",INDEX('Final Calculation Sheet'!$L$4:$L$40,$BJ21-3)),IF($BI21=1,SUM('Final Calculation Sheet'!$L$4:$L$40),IF($BH21&gt;0,SUMIFS('Final Calculation Sheet'!$L$4:$L$40,$AZ$5:$AZ$41,$BH21),"")))</f>
        <v/>
      </c>
      <c r="N21" s="652">
        <f>IF($BJ21&gt;0,IF(INDEX('Final Calculation Sheet'!$M$4:$M$40,$BJ21-3)="","",INDEX('Final Calculation Sheet'!$M$4:$M$40,$BJ21-3)),IF($BI21=1,SUM('Final Calculation Sheet'!$M$4:$M$40),IF($BH21&gt;0,SUMIFS('Final Calculation Sheet'!$M$4:$M$40,$AZ$5:$AZ$41,$BH21),"")))</f>
        <v/>
      </c>
      <c r="O21" s="653">
        <f>IF($BJ21&gt;0,IF(INDEX('Final Calculation Sheet'!$N$4:$N$40,$BJ21-3)="","",INDEX('Final Calculation Sheet'!$N$4:$N$40,$BJ21-3)),IF($BI21=1,SUM('Final Calculation Sheet'!$N$4:$N$40),IF($BH21&gt;0,SUMIFS('Final Calculation Sheet'!$N$4:$N$40,$AZ$5:$AZ$41,$BH21),"")))</f>
        <v/>
      </c>
      <c r="P21" s="652">
        <f>IF($BJ21&gt;0,IF(INDEX('Final Calculation Sheet'!$O$4:$O$40,$BJ21-3)="","",INDEX('Final Calculation Sheet'!$O$4:$O$40,$BJ21-3)),IF($BI21=1,SUM('Final Calculation Sheet'!$O$4:$O$40),IF($BH21&gt;0,SUMIFS('Final Calculation Sheet'!$O$4:$O$40,$AZ$5:$AZ$41,$BH21),"")))</f>
        <v/>
      </c>
      <c r="Q21" s="652">
        <f>IF($BJ21&gt;0,IF(INDEX('Final Calculation Sheet'!$P$4:$P$40,$BJ21-3)="","",INDEX('Final Calculation Sheet'!$P$4:$P$40,$BJ21-3)),IF($BI21=1,SUM('Final Calculation Sheet'!$P$4:$P$40),IF($BH21&gt;0,SUMIFS('Final Calculation Sheet'!$P$4:$P$40,$AZ$5:$AZ$41,$BH21),"")))</f>
        <v/>
      </c>
      <c r="R21" s="654">
        <f>IF($BJ21&gt;0,IF(INDEX('Final Calculation Sheet'!$Q$4:$Q$40,$BJ21-3)="","",INDEX('Final Calculation Sheet'!$Q$4:$Q$40,$BJ21-3)),IF(OR($BI21=1,$BH21&gt;0),"–",""))</f>
        <v/>
      </c>
      <c r="S21" s="652">
        <f>IF($BJ21&gt;0,IF(INDEX('Final Calculation Sheet'!$R$4:$R$40,$BJ21-3)="","",INDEX('Final Calculation Sheet'!$R$4:$R$40,$BJ21-3)),IF($BI21=1,SUM('Final Calculation Sheet'!$R$4:$R$40),IF($BH21&gt;0,SUMIFS('Final Calculation Sheet'!$R$4:$R$40,$AZ$5:$AZ$41,$BH21),"")))</f>
        <v/>
      </c>
      <c r="T21" s="652">
        <f>IF($BJ21&gt;0,IF(INDEX('Final Calculation Sheet'!$S$4:$S$40,$BJ21-3)="","",INDEX('Final Calculation Sheet'!$S$4:$S$40,$BJ21-3)),IF($BI21=1,SUM('Final Calculation Sheet'!$S$4:$S$40),IF($BH21&gt;0,SUMIFS('Final Calculation Sheet'!$S$4:$S$40,$AZ$5:$AZ$41,$BH21),"")))</f>
        <v/>
      </c>
      <c r="U21" s="652">
        <f>IF($BJ21&gt;0,IF(INDEX('Final Calculation Sheet'!$T$4:$T$40,$BJ21-3)="","",INDEX('Final Calculation Sheet'!$T$4:$T$40,$BJ21-3)),IF($BI21=1,SUM('Final Calculation Sheet'!$T$4:$T$40),IF($BH21&gt;0,SUMIFS('Final Calculation Sheet'!$T$4:$T$40,$AZ$5:$AZ$41,$BH21),"")))</f>
        <v/>
      </c>
      <c r="V21" s="655">
        <f>IF($BJ21&gt;0,IF(INDEX('Final Calculation Sheet'!$U$4:$U$40,$BJ21-3)="","",INDEX('Final Calculation Sheet'!$U$4:$U$40,$BJ21-3)),IF($BI21=1,SUM('Final Calculation Sheet'!$U$4:$U$40),IF($BH21&gt;0,SUMIFS('Final Calculation Sheet'!$U$4:$U$40,$AZ$5:$AZ$41,$BH21),"")))</f>
        <v/>
      </c>
      <c r="W21" s="652">
        <f>IF($BJ21&gt;0,IF(INDEX('Final Calculation Sheet'!$V$4:$V$40,$BJ21-3)="","",INDEX('Final Calculation Sheet'!$V$4:$V$40,$BJ21-3)),IF(OR($BI21=1,$BH21&gt;0),"–",""))</f>
        <v/>
      </c>
      <c r="X21" s="652">
        <f>IF($BJ21&gt;0,IF(INDEX('Final Calculation Sheet'!$W$4:$W$40,$BJ21-3)="","",INDEX('Final Calculation Sheet'!$W$4:$W$40,$BJ21-3)),IF($BI21=1,SUM('Final Calculation Sheet'!$W$4:$W$40),IF($BH21&gt;0,SUMIFS('Final Calculation Sheet'!$W$4:$W$40,$AZ$5:$AZ$41,$BH21),"")))</f>
        <v/>
      </c>
      <c r="Y21" s="652">
        <f>IF($BJ21&gt;0,IF(INDEX('Final Calculation Sheet'!$X$4:$X$40,$BJ21-3)="","",INDEX('Final Calculation Sheet'!$X$4:$X$40,$BJ21-3)),IF($BI21=1,SUM('Final Calculation Sheet'!$X$4:$X$40),IF($BH21&gt;0,SUMIFS('Final Calculation Sheet'!$X$4:$X$40,$AZ$5:$AZ$41,$BH21),"")))</f>
        <v/>
      </c>
      <c r="Z21" s="652">
        <f>IF($BJ21&gt;0,IF(INDEX('Final Calculation Sheet'!$Y$4:$Y$40,$BJ21-3)="","",INDEX('Final Calculation Sheet'!$Y$4:$Y$40,$BJ21-3)),IF(OR($BI21=1,$BH21&gt;0),"–",""))</f>
        <v/>
      </c>
      <c r="AA21" s="652">
        <f>IF($BJ21&gt;0,IF(INDEX('Final Calculation Sheet'!$Z$4:$Z$40,$BJ21-3)="","",INDEX('Final Calculation Sheet'!$Z$4:$Z$40,$BJ21-3)),IF($BI21=1,SUM('Final Calculation Sheet'!$Z$4:$Z$40),IF($BH21&gt;0,SUMIFS('Final Calculation Sheet'!$Z$4:$Z$40,$AZ$5:$AZ$41,$BH21),"")))</f>
        <v/>
      </c>
      <c r="AB21" s="652">
        <f>IF($BJ21&gt;0,IF(INDEX('Final Calculation Sheet'!$AA$4:$AA$40,$BJ21-3)="","",INDEX('Final Calculation Sheet'!$AA$4:$AA$40,$BJ21-3)),IF($BI21=1,SUM('Final Calculation Sheet'!$AA$4:$AA$40),IF($BH21&gt;0,SUMIFS('Final Calculation Sheet'!$AA$4:$AA$40,$AZ$5:$AZ$41,$BH21),"")))</f>
        <v/>
      </c>
      <c r="AC21" s="652">
        <f>IF($BJ21&gt;0,IF(INDEX('Final Calculation Sheet'!$AB$4:$AB$40,$BJ21-3)="","",INDEX('Final Calculation Sheet'!$AB$4:$AB$40,$BJ21-3)),IF(OR($BI21=1,$BH21&gt;0),"–",""))</f>
        <v/>
      </c>
      <c r="AD21" s="652">
        <f>IF($BJ21&gt;0,IF(INDEX('Final Calculation Sheet'!$AC$4:$AC$40,$BJ21-3)="","",INDEX('Final Calculation Sheet'!$AC$4:$AC$40,$BJ21-3)),IF($BI21=1,SUM('Final Calculation Sheet'!$AC$4:$AC$40),IF($BH21&gt;0,SUMIFS('Final Calculation Sheet'!$AC$4:$AC$40,$AZ$5:$AZ$41,$BH21),"")))</f>
        <v/>
      </c>
      <c r="AE21" s="652">
        <f>IF($BJ21&gt;0,IF(INDEX('Final Calculation Sheet'!$AD$4:$AD$40,$BJ21-3)="","",INDEX('Final Calculation Sheet'!$AD$4:$AD$40,$BJ21-3)),IF($BI21=1,SUM('Final Calculation Sheet'!$AD$4:$AD$40),IF($BH21&gt;0,SUMIFS('Final Calculation Sheet'!$AD$4:$AD$40,$AZ$5:$AZ$41,$BH21),"")))</f>
        <v/>
      </c>
      <c r="AF21" s="652">
        <f>IF($BJ21&gt;0,IF(INDEX('Final Calculation Sheet'!$AE$4:$AE$40,$BJ21-3)="","",INDEX('Final Calculation Sheet'!$AE$4:$AE$40,$BJ21-3)),IF(OR($BI21=1,$BH21&gt;0),"–",""))</f>
        <v/>
      </c>
      <c r="AG21" s="656">
        <f>IF($BJ21&gt;0,IF(INDEX('Final Calculation Sheet'!$AF$4:$AF$40,$BJ21-3)="","",INDEX('Final Calculation Sheet'!$AF$4:$AF$40,$BJ21-3)),IF(OR($BI21=1,$BH21&gt;0),"–",""))</f>
        <v/>
      </c>
      <c r="AH21" s="652">
        <f>IF($BJ21&gt;0,IF(INDEX('Final Calculation Sheet'!$AG$4:$AG$40,$BJ21-3)="","",INDEX('Final Calculation Sheet'!$AG$4:$AG$40,$BJ21-3)),IF(OR($BI21=1,$BH21&gt;0),"–",""))</f>
        <v/>
      </c>
      <c r="AI21" s="657">
        <f>IF($BJ21&gt;0,IF(INDEX('Final Calculation Sheet'!$AD$4:$AD$40,$BJ21-3)="","",IF(INDEX('Final Calculation Sheet'!$AD$4:$AD$40,$BJ21-3)&lt;=0,"SETTLED","OUTSTANDING")),IF(OR($BI21=1,$BH21&gt;0),IF(IF($BI21=1,SUM('Final Calculation Sheet'!$AD$4:$AD$40),SUMIFS('Final Calculation Sheet'!$AD$4:$AD$40,$AZ$5:$AZ$41,$BH21))&lt;=0,"ALL SETTLED","OUTSTANDING"),""))</f>
        <v/>
      </c>
      <c r="AK21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/>
      </c>
      <c r="AM21">
        <f>IF($B$3="",1,IF(AND(IF(COUNTIF($AR$9:$AY$9,1)=0,TRUE,SUMPRODUCT(($AR$9:$AY$9=1)*($AR$6:$AY$6&lt;&gt;"")*ISNUMBER(SEARCH($AR$6:$AY$6,$AK21)))&gt;0),IF(COUNTIF($AR$9:$AY$9,2)=0,TRUE,SUMPRODUCT(($AR$9:$AY$9=2)*($AR$6:$AY$6&lt;&gt;"")*ISNUMBER(SEARCH($AR$6:$AY$6,$AK21)))&gt;0),IF(COUNTIF($AR$9:$AY$9,3)=0,TRUE,SUMPRODUCT(($AR$9:$AY$9=3)*($AR$6:$AY$6&lt;&gt;"")*ISNUMBER(SEARCH($AR$6:$AY$6,$AK21)))&gt;0),IF(COUNTIF($AR$9:$AY$9,4)=0,TRUE,SUMPRODUCT(($AR$9:$AY$9=4)*($AR$6:$AY$6&lt;&gt;"")*ISNUMBER(SEARCH($AR$6:$AY$6,$AK21)))&gt;0),IF(COUNTIF($AR$9:$AY$9,5)=0,TRUE,SUMPRODUCT(($AR$9:$AY$9=5)*($AR$6:$AY$6&lt;&gt;"")*ISNUMBER(SEARCH($AR$6:$AY$6,$AK21)))&gt;0),IF(COUNTIF($AR$9:$AY$9,6)=0,TRUE,SUMPRODUCT(($AR$9:$AY$9=6)*($AR$6:$AY$6&lt;&gt;"")*ISNUMBER(SEARCH($AR$6:$AY$6,$AK21)))&gt;0),IF(COUNTIF($AR$9:$AY$9,7)=0,TRUE,SUMPRODUCT(($AR$9:$AY$9=7)*($AR$6:$AY$6&lt;&gt;"")*ISNUMBER(SEARCH($AR$6:$AY$6,$AK21)))&gt;0),IF(COUNTIF($AR$9:$AY$9,8)=0,TRUE,SUMPRODUCT(($AR$9:$AY$9=8)*($AR$6:$AY$6&lt;&gt;"")*ISNUMBER(SEARCH($AR$6:$AY$6,$AK21)))&gt;0)),1,0))</f>
        <v/>
      </c>
      <c r="AZ21">
        <f>IF($B$3="",9,IF($AM21=0,10,IF(AND($AR$6&lt;&gt;"",ISNUMBER(SEARCH($AR$6,$AK21))),1,IF(AND($AS$6&lt;&gt;"",ISNUMBER(SEARCH($AS$6,$AK21))),2,IF(AND($AT$6&lt;&gt;"",ISNUMBER(SEARCH($AT$6,$AK21))),3,IF(AND($AU$6&lt;&gt;"",ISNUMBER(SEARCH($AU$6,$AK21))),4,IF(AND($AV$6&lt;&gt;"",ISNUMBER(SEARCH($AV$6,$AK21))),5,IF(AND($AW$6&lt;&gt;"",ISNUMBER(SEARCH($AW$6,$AK21))),6,IF(AND($AX$6&lt;&gt;"",ISNUMBER(SEARCH($AX$6,$AK21))),7,IF(AND($AY$6&lt;&gt;"",ISNUMBER(SEARCH($AY$6,$AK21))),8,0))))))))))</f>
        <v/>
      </c>
      <c r="BA21">
        <f>SUMPRODUCT(($AZ$5:$AZ$41=$AZ21)*($BC$5:$BC$41&lt;$BC21))+1</f>
        <v/>
      </c>
      <c r="BB21">
        <f>IF(INDEX($BF$4:$BF$13,$AZ21)=0,0,INDEX($BE$4:$BE$13,$AZ21)+$BA21-1)</f>
        <v/>
      </c>
      <c r="BC21" t="n">
        <v>20</v>
      </c>
      <c r="BH21">
        <f>IFERROR(MATCH(21,$BF$4:$BF$13,0),0)</f>
        <v/>
      </c>
      <c r="BI21">
        <f>IF(21=$BG$4,1,0)</f>
        <v/>
      </c>
      <c r="BJ21">
        <f>IF(OR($BH21&gt;0,$BI21=1),0,IFERROR(INDEX($BC$5:$BC$41,MATCH(21,$BB$5:$BB$41,0)),0))</f>
        <v/>
      </c>
      <c r="BK21">
        <f>IF($BJ21&gt;0,IF(INDEX($AZ$5:$AZ$41,MATCH(21,$BB$5:$BB$41,0))=10,1,0),IF($BH21=10,1,0))</f>
        <v/>
      </c>
    </row>
    <row r="22" ht="15" customHeight="1">
      <c r="A22" s="649">
        <f>IF($BJ22&gt;0,INDEX($BA$5:$BA$41,MATCH(22,$BB$5:$BB$41,0)),IF(OR($BI22=1,$BH22&gt;0),"∑",""))</f>
        <v/>
      </c>
      <c r="B22" s="650">
        <f>IF($BJ22&gt;0,IF(INDEX('Final Calculation Sheet'!$F$4:$F$40,$BJ22-3)="","",INDEX('Final Calculation Sheet'!$F$4:$F$40,$BJ22-3)),"")</f>
        <v/>
      </c>
      <c r="C22" s="650">
        <f>IF($BJ22&gt;0,IF(INDEX('Final Calculation Sheet'!$G$4:$G$40,$BJ22-3)="","",INDEX('Final Calculation Sheet'!$G$4:$G$40,$BJ22-3)),IF(OR($BI22=1,$BH22&gt;0),IF($BI22=1,37,INDEX($BD$4:$BD$13,$BH22))&amp;" lot(s)",""))</f>
        <v/>
      </c>
      <c r="D22" s="651">
        <f>IF($BJ22&gt;0,IF(INDEX('Final Calculation Sheet'!$B$4:$B$40,$BJ22-3)="","",INDEX('Final Calculation Sheet'!$B$4:$B$40,$BJ22-3)),IF(OR($BI22=1,$BH22&gt;0),IF($BI22=1,"GRAND TOTAL  —  matching + remaining",IF($BH22=10,"REMAINING  —  did not match the search",IF($BH22=9,"ALL LOTS  —  nothing typed in the box","GROUP "&amp;$BH22&amp;" TOTAL  —  lots matching  "&amp;INDEX($AR$6:$AY$6,$BH22)))),""))</f>
        <v/>
      </c>
      <c r="E22" s="651">
        <f>IF($BJ22&gt;0,IF(INDEX('Final Calculation Sheet'!$D$4:$D$40,$BJ22-3)="","",INDEX('Final Calculation Sheet'!$D$4:$D$40,$BJ22-3)),IF(OR($BI22=1,$BH22&gt;0),"–",""))</f>
        <v/>
      </c>
      <c r="F22" s="651">
        <f>IF($BJ22&gt;0,IF(INDEX('Final Calculation Sheet'!$A$4:$A$40,$BJ22-3)="","",INDEX('Final Calculation Sheet'!$A$4:$A$40,$BJ22-3)),IF($BI22=1,SUM('Final Calculation Sheet'!$A$4:$A$40),IF($BH22&gt;0,SUMIFS('Final Calculation Sheet'!$A$4:$A$40,$AZ$5:$AZ$41,$BH22),"")))</f>
        <v/>
      </c>
      <c r="G22" s="651">
        <f>IF($BJ22&gt;0,IF(INDEX('Final Calculation Sheet'!$E$4:$E$40,$BJ22-3)="","",INDEX('Final Calculation Sheet'!$E$4:$E$40,$BJ22-3)),IF(OR($BI22=1,$BH22&gt;0),"–",""))</f>
        <v/>
      </c>
      <c r="H22" s="652">
        <f>IF($BJ22&gt;0,IF(INDEX('Final Calculation Sheet'!$C$4:$C$40,$BJ22-3)="","",INDEX('Final Calculation Sheet'!$C$4:$C$40,$BJ22-3)),IF(OR($BI22=1,$BH22&gt;0),"–",""))</f>
        <v/>
      </c>
      <c r="I22" s="652">
        <f>IF($BJ22&gt;0,IF(INDEX('Final Calculation Sheet'!$H$4:$H$40,$BJ22-3)="","",INDEX('Final Calculation Sheet'!$H$4:$H$40,$BJ22-3)),IF($BI22=1,SUM('Final Calculation Sheet'!$H$4:$H$40),IF($BH22&gt;0,SUMIFS('Final Calculation Sheet'!$H$4:$H$40,$AZ$5:$AZ$41,$BH22),"")))</f>
        <v/>
      </c>
      <c r="J22" s="652">
        <f>IF($BJ22&gt;0,IF(INDEX('Final Calculation Sheet'!$I$4:$I$40,$BJ22-3)="","",INDEX('Final Calculation Sheet'!$I$4:$I$40,$BJ22-3)),IF($BI22=1,SUM('Final Calculation Sheet'!$I$4:$I$40),IF($BH22&gt;0,SUMIFS('Final Calculation Sheet'!$I$4:$I$40,$AZ$5:$AZ$41,$BH22),"")))</f>
        <v/>
      </c>
      <c r="K22" s="652">
        <f>IF($BJ22&gt;0,IF(INDEX('Final Calculation Sheet'!$J$4:$J$40,$BJ22-3)="","",INDEX('Final Calculation Sheet'!$J$4:$J$40,$BJ22-3)),IF($BI22=1,SUM('Final Calculation Sheet'!$J$4:$J$40),IF($BH22&gt;0,SUMIFS('Final Calculation Sheet'!$J$4:$J$40,$AZ$5:$AZ$41,$BH22),"")))</f>
        <v/>
      </c>
      <c r="L22" s="652">
        <f>IF($BJ22&gt;0,IF(INDEX('Final Calculation Sheet'!$K$4:$K$40,$BJ22-3)="","",INDEX('Final Calculation Sheet'!$K$4:$K$40,$BJ22-3)),IF($BI22=1,SUM('Final Calculation Sheet'!$K$4:$K$40),IF($BH22&gt;0,SUMIFS('Final Calculation Sheet'!$K$4:$K$40,$AZ$5:$AZ$41,$BH22),"")))</f>
        <v/>
      </c>
      <c r="M22" s="652">
        <f>IF($BJ22&gt;0,IF(INDEX('Final Calculation Sheet'!$L$4:$L$40,$BJ22-3)="","",INDEX('Final Calculation Sheet'!$L$4:$L$40,$BJ22-3)),IF($BI22=1,SUM('Final Calculation Sheet'!$L$4:$L$40),IF($BH22&gt;0,SUMIFS('Final Calculation Sheet'!$L$4:$L$40,$AZ$5:$AZ$41,$BH22),"")))</f>
        <v/>
      </c>
      <c r="N22" s="652">
        <f>IF($BJ22&gt;0,IF(INDEX('Final Calculation Sheet'!$M$4:$M$40,$BJ22-3)="","",INDEX('Final Calculation Sheet'!$M$4:$M$40,$BJ22-3)),IF($BI22=1,SUM('Final Calculation Sheet'!$M$4:$M$40),IF($BH22&gt;0,SUMIFS('Final Calculation Sheet'!$M$4:$M$40,$AZ$5:$AZ$41,$BH22),"")))</f>
        <v/>
      </c>
      <c r="O22" s="653">
        <f>IF($BJ22&gt;0,IF(INDEX('Final Calculation Sheet'!$N$4:$N$40,$BJ22-3)="","",INDEX('Final Calculation Sheet'!$N$4:$N$40,$BJ22-3)),IF($BI22=1,SUM('Final Calculation Sheet'!$N$4:$N$40),IF($BH22&gt;0,SUMIFS('Final Calculation Sheet'!$N$4:$N$40,$AZ$5:$AZ$41,$BH22),"")))</f>
        <v/>
      </c>
      <c r="P22" s="652">
        <f>IF($BJ22&gt;0,IF(INDEX('Final Calculation Sheet'!$O$4:$O$40,$BJ22-3)="","",INDEX('Final Calculation Sheet'!$O$4:$O$40,$BJ22-3)),IF($BI22=1,SUM('Final Calculation Sheet'!$O$4:$O$40),IF($BH22&gt;0,SUMIFS('Final Calculation Sheet'!$O$4:$O$40,$AZ$5:$AZ$41,$BH22),"")))</f>
        <v/>
      </c>
      <c r="Q22" s="652">
        <f>IF($BJ22&gt;0,IF(INDEX('Final Calculation Sheet'!$P$4:$P$40,$BJ22-3)="","",INDEX('Final Calculation Sheet'!$P$4:$P$40,$BJ22-3)),IF($BI22=1,SUM('Final Calculation Sheet'!$P$4:$P$40),IF($BH22&gt;0,SUMIFS('Final Calculation Sheet'!$P$4:$P$40,$AZ$5:$AZ$41,$BH22),"")))</f>
        <v/>
      </c>
      <c r="R22" s="654">
        <f>IF($BJ22&gt;0,IF(INDEX('Final Calculation Sheet'!$Q$4:$Q$40,$BJ22-3)="","",INDEX('Final Calculation Sheet'!$Q$4:$Q$40,$BJ22-3)),IF(OR($BI22=1,$BH22&gt;0),"–",""))</f>
        <v/>
      </c>
      <c r="S22" s="652">
        <f>IF($BJ22&gt;0,IF(INDEX('Final Calculation Sheet'!$R$4:$R$40,$BJ22-3)="","",INDEX('Final Calculation Sheet'!$R$4:$R$40,$BJ22-3)),IF($BI22=1,SUM('Final Calculation Sheet'!$R$4:$R$40),IF($BH22&gt;0,SUMIFS('Final Calculation Sheet'!$R$4:$R$40,$AZ$5:$AZ$41,$BH22),"")))</f>
        <v/>
      </c>
      <c r="T22" s="652">
        <f>IF($BJ22&gt;0,IF(INDEX('Final Calculation Sheet'!$S$4:$S$40,$BJ22-3)="","",INDEX('Final Calculation Sheet'!$S$4:$S$40,$BJ22-3)),IF($BI22=1,SUM('Final Calculation Sheet'!$S$4:$S$40),IF($BH22&gt;0,SUMIFS('Final Calculation Sheet'!$S$4:$S$40,$AZ$5:$AZ$41,$BH22),"")))</f>
        <v/>
      </c>
      <c r="U22" s="652">
        <f>IF($BJ22&gt;0,IF(INDEX('Final Calculation Sheet'!$T$4:$T$40,$BJ22-3)="","",INDEX('Final Calculation Sheet'!$T$4:$T$40,$BJ22-3)),IF($BI22=1,SUM('Final Calculation Sheet'!$T$4:$T$40),IF($BH22&gt;0,SUMIFS('Final Calculation Sheet'!$T$4:$T$40,$AZ$5:$AZ$41,$BH22),"")))</f>
        <v/>
      </c>
      <c r="V22" s="655">
        <f>IF($BJ22&gt;0,IF(INDEX('Final Calculation Sheet'!$U$4:$U$40,$BJ22-3)="","",INDEX('Final Calculation Sheet'!$U$4:$U$40,$BJ22-3)),IF($BI22=1,SUM('Final Calculation Sheet'!$U$4:$U$40),IF($BH22&gt;0,SUMIFS('Final Calculation Sheet'!$U$4:$U$40,$AZ$5:$AZ$41,$BH22),"")))</f>
        <v/>
      </c>
      <c r="W22" s="652">
        <f>IF($BJ22&gt;0,IF(INDEX('Final Calculation Sheet'!$V$4:$V$40,$BJ22-3)="","",INDEX('Final Calculation Sheet'!$V$4:$V$40,$BJ22-3)),IF(OR($BI22=1,$BH22&gt;0),"–",""))</f>
        <v/>
      </c>
      <c r="X22" s="652">
        <f>IF($BJ22&gt;0,IF(INDEX('Final Calculation Sheet'!$W$4:$W$40,$BJ22-3)="","",INDEX('Final Calculation Sheet'!$W$4:$W$40,$BJ22-3)),IF($BI22=1,SUM('Final Calculation Sheet'!$W$4:$W$40),IF($BH22&gt;0,SUMIFS('Final Calculation Sheet'!$W$4:$W$40,$AZ$5:$AZ$41,$BH22),"")))</f>
        <v/>
      </c>
      <c r="Y22" s="652">
        <f>IF($BJ22&gt;0,IF(INDEX('Final Calculation Sheet'!$X$4:$X$40,$BJ22-3)="","",INDEX('Final Calculation Sheet'!$X$4:$X$40,$BJ22-3)),IF($BI22=1,SUM('Final Calculation Sheet'!$X$4:$X$40),IF($BH22&gt;0,SUMIFS('Final Calculation Sheet'!$X$4:$X$40,$AZ$5:$AZ$41,$BH22),"")))</f>
        <v/>
      </c>
      <c r="Z22" s="652">
        <f>IF($BJ22&gt;0,IF(INDEX('Final Calculation Sheet'!$Y$4:$Y$40,$BJ22-3)="","",INDEX('Final Calculation Sheet'!$Y$4:$Y$40,$BJ22-3)),IF(OR($BI22=1,$BH22&gt;0),"–",""))</f>
        <v/>
      </c>
      <c r="AA22" s="652">
        <f>IF($BJ22&gt;0,IF(INDEX('Final Calculation Sheet'!$Z$4:$Z$40,$BJ22-3)="","",INDEX('Final Calculation Sheet'!$Z$4:$Z$40,$BJ22-3)),IF($BI22=1,SUM('Final Calculation Sheet'!$Z$4:$Z$40),IF($BH22&gt;0,SUMIFS('Final Calculation Sheet'!$Z$4:$Z$40,$AZ$5:$AZ$41,$BH22),"")))</f>
        <v/>
      </c>
      <c r="AB22" s="652">
        <f>IF($BJ22&gt;0,IF(INDEX('Final Calculation Sheet'!$AA$4:$AA$40,$BJ22-3)="","",INDEX('Final Calculation Sheet'!$AA$4:$AA$40,$BJ22-3)),IF($BI22=1,SUM('Final Calculation Sheet'!$AA$4:$AA$40),IF($BH22&gt;0,SUMIFS('Final Calculation Sheet'!$AA$4:$AA$40,$AZ$5:$AZ$41,$BH22),"")))</f>
        <v/>
      </c>
      <c r="AC22" s="652">
        <f>IF($BJ22&gt;0,IF(INDEX('Final Calculation Sheet'!$AB$4:$AB$40,$BJ22-3)="","",INDEX('Final Calculation Sheet'!$AB$4:$AB$40,$BJ22-3)),IF(OR($BI22=1,$BH22&gt;0),"–",""))</f>
        <v/>
      </c>
      <c r="AD22" s="652">
        <f>IF($BJ22&gt;0,IF(INDEX('Final Calculation Sheet'!$AC$4:$AC$40,$BJ22-3)="","",INDEX('Final Calculation Sheet'!$AC$4:$AC$40,$BJ22-3)),IF($BI22=1,SUM('Final Calculation Sheet'!$AC$4:$AC$40),IF($BH22&gt;0,SUMIFS('Final Calculation Sheet'!$AC$4:$AC$40,$AZ$5:$AZ$41,$BH22),"")))</f>
        <v/>
      </c>
      <c r="AE22" s="652">
        <f>IF($BJ22&gt;0,IF(INDEX('Final Calculation Sheet'!$AD$4:$AD$40,$BJ22-3)="","",INDEX('Final Calculation Sheet'!$AD$4:$AD$40,$BJ22-3)),IF($BI22=1,SUM('Final Calculation Sheet'!$AD$4:$AD$40),IF($BH22&gt;0,SUMIFS('Final Calculation Sheet'!$AD$4:$AD$40,$AZ$5:$AZ$41,$BH22),"")))</f>
        <v/>
      </c>
      <c r="AF22" s="652">
        <f>IF($BJ22&gt;0,IF(INDEX('Final Calculation Sheet'!$AE$4:$AE$40,$BJ22-3)="","",INDEX('Final Calculation Sheet'!$AE$4:$AE$40,$BJ22-3)),IF(OR($BI22=1,$BH22&gt;0),"–",""))</f>
        <v/>
      </c>
      <c r="AG22" s="656">
        <f>IF($BJ22&gt;0,IF(INDEX('Final Calculation Sheet'!$AF$4:$AF$40,$BJ22-3)="","",INDEX('Final Calculation Sheet'!$AF$4:$AF$40,$BJ22-3)),IF(OR($BI22=1,$BH22&gt;0),"–",""))</f>
        <v/>
      </c>
      <c r="AH22" s="652">
        <f>IF($BJ22&gt;0,IF(INDEX('Final Calculation Sheet'!$AG$4:$AG$40,$BJ22-3)="","",INDEX('Final Calculation Sheet'!$AG$4:$AG$40,$BJ22-3)),IF(OR($BI22=1,$BH22&gt;0),"–",""))</f>
        <v/>
      </c>
      <c r="AI22" s="657">
        <f>IF($BJ22&gt;0,IF(INDEX('Final Calculation Sheet'!$AD$4:$AD$40,$BJ22-3)="","",IF(INDEX('Final Calculation Sheet'!$AD$4:$AD$40,$BJ22-3)&lt;=0,"SETTLED","OUTSTANDING")),IF(OR($BI22=1,$BH22&gt;0),IF(IF($BI22=1,SUM('Final Calculation Sheet'!$AD$4:$AD$40),SUMIFS('Final Calculation Sheet'!$AD$4:$AD$40,$AZ$5:$AZ$41,$BH22))&lt;=0,"ALL SETTLED","OUTSTANDING"),""))</f>
        <v/>
      </c>
      <c r="AK22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/>
      </c>
      <c r="AM22">
        <f>IF($B$3="",1,IF(AND(IF(COUNTIF($AR$9:$AY$9,1)=0,TRUE,SUMPRODUCT(($AR$9:$AY$9=1)*($AR$6:$AY$6&lt;&gt;"")*ISNUMBER(SEARCH($AR$6:$AY$6,$AK22)))&gt;0),IF(COUNTIF($AR$9:$AY$9,2)=0,TRUE,SUMPRODUCT(($AR$9:$AY$9=2)*($AR$6:$AY$6&lt;&gt;"")*ISNUMBER(SEARCH($AR$6:$AY$6,$AK22)))&gt;0),IF(COUNTIF($AR$9:$AY$9,3)=0,TRUE,SUMPRODUCT(($AR$9:$AY$9=3)*($AR$6:$AY$6&lt;&gt;"")*ISNUMBER(SEARCH($AR$6:$AY$6,$AK22)))&gt;0),IF(COUNTIF($AR$9:$AY$9,4)=0,TRUE,SUMPRODUCT(($AR$9:$AY$9=4)*($AR$6:$AY$6&lt;&gt;"")*ISNUMBER(SEARCH($AR$6:$AY$6,$AK22)))&gt;0),IF(COUNTIF($AR$9:$AY$9,5)=0,TRUE,SUMPRODUCT(($AR$9:$AY$9=5)*($AR$6:$AY$6&lt;&gt;"")*ISNUMBER(SEARCH($AR$6:$AY$6,$AK22)))&gt;0),IF(COUNTIF($AR$9:$AY$9,6)=0,TRUE,SUMPRODUCT(($AR$9:$AY$9=6)*($AR$6:$AY$6&lt;&gt;"")*ISNUMBER(SEARCH($AR$6:$AY$6,$AK22)))&gt;0),IF(COUNTIF($AR$9:$AY$9,7)=0,TRUE,SUMPRODUCT(($AR$9:$AY$9=7)*($AR$6:$AY$6&lt;&gt;"")*ISNUMBER(SEARCH($AR$6:$AY$6,$AK22)))&gt;0),IF(COUNTIF($AR$9:$AY$9,8)=0,TRUE,SUMPRODUCT(($AR$9:$AY$9=8)*($AR$6:$AY$6&lt;&gt;"")*ISNUMBER(SEARCH($AR$6:$AY$6,$AK22)))&gt;0)),1,0))</f>
        <v/>
      </c>
      <c r="AZ22">
        <f>IF($B$3="",9,IF($AM22=0,10,IF(AND($AR$6&lt;&gt;"",ISNUMBER(SEARCH($AR$6,$AK22))),1,IF(AND($AS$6&lt;&gt;"",ISNUMBER(SEARCH($AS$6,$AK22))),2,IF(AND($AT$6&lt;&gt;"",ISNUMBER(SEARCH($AT$6,$AK22))),3,IF(AND($AU$6&lt;&gt;"",ISNUMBER(SEARCH($AU$6,$AK22))),4,IF(AND($AV$6&lt;&gt;"",ISNUMBER(SEARCH($AV$6,$AK22))),5,IF(AND($AW$6&lt;&gt;"",ISNUMBER(SEARCH($AW$6,$AK22))),6,IF(AND($AX$6&lt;&gt;"",ISNUMBER(SEARCH($AX$6,$AK22))),7,IF(AND($AY$6&lt;&gt;"",ISNUMBER(SEARCH($AY$6,$AK22))),8,0))))))))))</f>
        <v/>
      </c>
      <c r="BA22">
        <f>SUMPRODUCT(($AZ$5:$AZ$41=$AZ22)*($BC$5:$BC$41&lt;$BC22))+1</f>
        <v/>
      </c>
      <c r="BB22">
        <f>IF(INDEX($BF$4:$BF$13,$AZ22)=0,0,INDEX($BE$4:$BE$13,$AZ22)+$BA22-1)</f>
        <v/>
      </c>
      <c r="BC22" t="n">
        <v>21</v>
      </c>
      <c r="BH22">
        <f>IFERROR(MATCH(22,$BF$4:$BF$13,0),0)</f>
        <v/>
      </c>
      <c r="BI22">
        <f>IF(22=$BG$4,1,0)</f>
        <v/>
      </c>
      <c r="BJ22">
        <f>IF(OR($BH22&gt;0,$BI22=1),0,IFERROR(INDEX($BC$5:$BC$41,MATCH(22,$BB$5:$BB$41,0)),0))</f>
        <v/>
      </c>
      <c r="BK22">
        <f>IF($BJ22&gt;0,IF(INDEX($AZ$5:$AZ$41,MATCH(22,$BB$5:$BB$41,0))=10,1,0),IF($BH22=10,1,0))</f>
        <v/>
      </c>
    </row>
    <row r="23" ht="15" customHeight="1">
      <c r="A23" s="649">
        <f>IF($BJ23&gt;0,INDEX($BA$5:$BA$41,MATCH(23,$BB$5:$BB$41,0)),IF(OR($BI23=1,$BH23&gt;0),"∑",""))</f>
        <v/>
      </c>
      <c r="B23" s="650">
        <f>IF($BJ23&gt;0,IF(INDEX('Final Calculation Sheet'!$F$4:$F$40,$BJ23-3)="","",INDEX('Final Calculation Sheet'!$F$4:$F$40,$BJ23-3)),"")</f>
        <v/>
      </c>
      <c r="C23" s="650">
        <f>IF($BJ23&gt;0,IF(INDEX('Final Calculation Sheet'!$G$4:$G$40,$BJ23-3)="","",INDEX('Final Calculation Sheet'!$G$4:$G$40,$BJ23-3)),IF(OR($BI23=1,$BH23&gt;0),IF($BI23=1,37,INDEX($BD$4:$BD$13,$BH23))&amp;" lot(s)",""))</f>
        <v/>
      </c>
      <c r="D23" s="651">
        <f>IF($BJ23&gt;0,IF(INDEX('Final Calculation Sheet'!$B$4:$B$40,$BJ23-3)="","",INDEX('Final Calculation Sheet'!$B$4:$B$40,$BJ23-3)),IF(OR($BI23=1,$BH23&gt;0),IF($BI23=1,"GRAND TOTAL  —  matching + remaining",IF($BH23=10,"REMAINING  —  did not match the search",IF($BH23=9,"ALL LOTS  —  nothing typed in the box","GROUP "&amp;$BH23&amp;" TOTAL  —  lots matching  "&amp;INDEX($AR$6:$AY$6,$BH23)))),""))</f>
        <v/>
      </c>
      <c r="E23" s="651">
        <f>IF($BJ23&gt;0,IF(INDEX('Final Calculation Sheet'!$D$4:$D$40,$BJ23-3)="","",INDEX('Final Calculation Sheet'!$D$4:$D$40,$BJ23-3)),IF(OR($BI23=1,$BH23&gt;0),"–",""))</f>
        <v/>
      </c>
      <c r="F23" s="651">
        <f>IF($BJ23&gt;0,IF(INDEX('Final Calculation Sheet'!$A$4:$A$40,$BJ23-3)="","",INDEX('Final Calculation Sheet'!$A$4:$A$40,$BJ23-3)),IF($BI23=1,SUM('Final Calculation Sheet'!$A$4:$A$40),IF($BH23&gt;0,SUMIFS('Final Calculation Sheet'!$A$4:$A$40,$AZ$5:$AZ$41,$BH23),"")))</f>
        <v/>
      </c>
      <c r="G23" s="651">
        <f>IF($BJ23&gt;0,IF(INDEX('Final Calculation Sheet'!$E$4:$E$40,$BJ23-3)="","",INDEX('Final Calculation Sheet'!$E$4:$E$40,$BJ23-3)),IF(OR($BI23=1,$BH23&gt;0),"–",""))</f>
        <v/>
      </c>
      <c r="H23" s="652">
        <f>IF($BJ23&gt;0,IF(INDEX('Final Calculation Sheet'!$C$4:$C$40,$BJ23-3)="","",INDEX('Final Calculation Sheet'!$C$4:$C$40,$BJ23-3)),IF(OR($BI23=1,$BH23&gt;0),"–",""))</f>
        <v/>
      </c>
      <c r="I23" s="652">
        <f>IF($BJ23&gt;0,IF(INDEX('Final Calculation Sheet'!$H$4:$H$40,$BJ23-3)="","",INDEX('Final Calculation Sheet'!$H$4:$H$40,$BJ23-3)),IF($BI23=1,SUM('Final Calculation Sheet'!$H$4:$H$40),IF($BH23&gt;0,SUMIFS('Final Calculation Sheet'!$H$4:$H$40,$AZ$5:$AZ$41,$BH23),"")))</f>
        <v/>
      </c>
      <c r="J23" s="652">
        <f>IF($BJ23&gt;0,IF(INDEX('Final Calculation Sheet'!$I$4:$I$40,$BJ23-3)="","",INDEX('Final Calculation Sheet'!$I$4:$I$40,$BJ23-3)),IF($BI23=1,SUM('Final Calculation Sheet'!$I$4:$I$40),IF($BH23&gt;0,SUMIFS('Final Calculation Sheet'!$I$4:$I$40,$AZ$5:$AZ$41,$BH23),"")))</f>
        <v/>
      </c>
      <c r="K23" s="652">
        <f>IF($BJ23&gt;0,IF(INDEX('Final Calculation Sheet'!$J$4:$J$40,$BJ23-3)="","",INDEX('Final Calculation Sheet'!$J$4:$J$40,$BJ23-3)),IF($BI23=1,SUM('Final Calculation Sheet'!$J$4:$J$40),IF($BH23&gt;0,SUMIFS('Final Calculation Sheet'!$J$4:$J$40,$AZ$5:$AZ$41,$BH23),"")))</f>
        <v/>
      </c>
      <c r="L23" s="652">
        <f>IF($BJ23&gt;0,IF(INDEX('Final Calculation Sheet'!$K$4:$K$40,$BJ23-3)="","",INDEX('Final Calculation Sheet'!$K$4:$K$40,$BJ23-3)),IF($BI23=1,SUM('Final Calculation Sheet'!$K$4:$K$40),IF($BH23&gt;0,SUMIFS('Final Calculation Sheet'!$K$4:$K$40,$AZ$5:$AZ$41,$BH23),"")))</f>
        <v/>
      </c>
      <c r="M23" s="652">
        <f>IF($BJ23&gt;0,IF(INDEX('Final Calculation Sheet'!$L$4:$L$40,$BJ23-3)="","",INDEX('Final Calculation Sheet'!$L$4:$L$40,$BJ23-3)),IF($BI23=1,SUM('Final Calculation Sheet'!$L$4:$L$40),IF($BH23&gt;0,SUMIFS('Final Calculation Sheet'!$L$4:$L$40,$AZ$5:$AZ$41,$BH23),"")))</f>
        <v/>
      </c>
      <c r="N23" s="652">
        <f>IF($BJ23&gt;0,IF(INDEX('Final Calculation Sheet'!$M$4:$M$40,$BJ23-3)="","",INDEX('Final Calculation Sheet'!$M$4:$M$40,$BJ23-3)),IF($BI23=1,SUM('Final Calculation Sheet'!$M$4:$M$40),IF($BH23&gt;0,SUMIFS('Final Calculation Sheet'!$M$4:$M$40,$AZ$5:$AZ$41,$BH23),"")))</f>
        <v/>
      </c>
      <c r="O23" s="653">
        <f>IF($BJ23&gt;0,IF(INDEX('Final Calculation Sheet'!$N$4:$N$40,$BJ23-3)="","",INDEX('Final Calculation Sheet'!$N$4:$N$40,$BJ23-3)),IF($BI23=1,SUM('Final Calculation Sheet'!$N$4:$N$40),IF($BH23&gt;0,SUMIFS('Final Calculation Sheet'!$N$4:$N$40,$AZ$5:$AZ$41,$BH23),"")))</f>
        <v/>
      </c>
      <c r="P23" s="652">
        <f>IF($BJ23&gt;0,IF(INDEX('Final Calculation Sheet'!$O$4:$O$40,$BJ23-3)="","",INDEX('Final Calculation Sheet'!$O$4:$O$40,$BJ23-3)),IF($BI23=1,SUM('Final Calculation Sheet'!$O$4:$O$40),IF($BH23&gt;0,SUMIFS('Final Calculation Sheet'!$O$4:$O$40,$AZ$5:$AZ$41,$BH23),"")))</f>
        <v/>
      </c>
      <c r="Q23" s="652">
        <f>IF($BJ23&gt;0,IF(INDEX('Final Calculation Sheet'!$P$4:$P$40,$BJ23-3)="","",INDEX('Final Calculation Sheet'!$P$4:$P$40,$BJ23-3)),IF($BI23=1,SUM('Final Calculation Sheet'!$P$4:$P$40),IF($BH23&gt;0,SUMIFS('Final Calculation Sheet'!$P$4:$P$40,$AZ$5:$AZ$41,$BH23),"")))</f>
        <v/>
      </c>
      <c r="R23" s="654">
        <f>IF($BJ23&gt;0,IF(INDEX('Final Calculation Sheet'!$Q$4:$Q$40,$BJ23-3)="","",INDEX('Final Calculation Sheet'!$Q$4:$Q$40,$BJ23-3)),IF(OR($BI23=1,$BH23&gt;0),"–",""))</f>
        <v/>
      </c>
      <c r="S23" s="652">
        <f>IF($BJ23&gt;0,IF(INDEX('Final Calculation Sheet'!$R$4:$R$40,$BJ23-3)="","",INDEX('Final Calculation Sheet'!$R$4:$R$40,$BJ23-3)),IF($BI23=1,SUM('Final Calculation Sheet'!$R$4:$R$40),IF($BH23&gt;0,SUMIFS('Final Calculation Sheet'!$R$4:$R$40,$AZ$5:$AZ$41,$BH23),"")))</f>
        <v/>
      </c>
      <c r="T23" s="652">
        <f>IF($BJ23&gt;0,IF(INDEX('Final Calculation Sheet'!$S$4:$S$40,$BJ23-3)="","",INDEX('Final Calculation Sheet'!$S$4:$S$40,$BJ23-3)),IF($BI23=1,SUM('Final Calculation Sheet'!$S$4:$S$40),IF($BH23&gt;0,SUMIFS('Final Calculation Sheet'!$S$4:$S$40,$AZ$5:$AZ$41,$BH23),"")))</f>
        <v/>
      </c>
      <c r="U23" s="652">
        <f>IF($BJ23&gt;0,IF(INDEX('Final Calculation Sheet'!$T$4:$T$40,$BJ23-3)="","",INDEX('Final Calculation Sheet'!$T$4:$T$40,$BJ23-3)),IF($BI23=1,SUM('Final Calculation Sheet'!$T$4:$T$40),IF($BH23&gt;0,SUMIFS('Final Calculation Sheet'!$T$4:$T$40,$AZ$5:$AZ$41,$BH23),"")))</f>
        <v/>
      </c>
      <c r="V23" s="655">
        <f>IF($BJ23&gt;0,IF(INDEX('Final Calculation Sheet'!$U$4:$U$40,$BJ23-3)="","",INDEX('Final Calculation Sheet'!$U$4:$U$40,$BJ23-3)),IF($BI23=1,SUM('Final Calculation Sheet'!$U$4:$U$40),IF($BH23&gt;0,SUMIFS('Final Calculation Sheet'!$U$4:$U$40,$AZ$5:$AZ$41,$BH23),"")))</f>
        <v/>
      </c>
      <c r="W23" s="652">
        <f>IF($BJ23&gt;0,IF(INDEX('Final Calculation Sheet'!$V$4:$V$40,$BJ23-3)="","",INDEX('Final Calculation Sheet'!$V$4:$V$40,$BJ23-3)),IF(OR($BI23=1,$BH23&gt;0),"–",""))</f>
        <v/>
      </c>
      <c r="X23" s="652">
        <f>IF($BJ23&gt;0,IF(INDEX('Final Calculation Sheet'!$W$4:$W$40,$BJ23-3)="","",INDEX('Final Calculation Sheet'!$W$4:$W$40,$BJ23-3)),IF($BI23=1,SUM('Final Calculation Sheet'!$W$4:$W$40),IF($BH23&gt;0,SUMIFS('Final Calculation Sheet'!$W$4:$W$40,$AZ$5:$AZ$41,$BH23),"")))</f>
        <v/>
      </c>
      <c r="Y23" s="652">
        <f>IF($BJ23&gt;0,IF(INDEX('Final Calculation Sheet'!$X$4:$X$40,$BJ23-3)="","",INDEX('Final Calculation Sheet'!$X$4:$X$40,$BJ23-3)),IF($BI23=1,SUM('Final Calculation Sheet'!$X$4:$X$40),IF($BH23&gt;0,SUMIFS('Final Calculation Sheet'!$X$4:$X$40,$AZ$5:$AZ$41,$BH23),"")))</f>
        <v/>
      </c>
      <c r="Z23" s="652">
        <f>IF($BJ23&gt;0,IF(INDEX('Final Calculation Sheet'!$Y$4:$Y$40,$BJ23-3)="","",INDEX('Final Calculation Sheet'!$Y$4:$Y$40,$BJ23-3)),IF(OR($BI23=1,$BH23&gt;0),"–",""))</f>
        <v/>
      </c>
      <c r="AA23" s="652">
        <f>IF($BJ23&gt;0,IF(INDEX('Final Calculation Sheet'!$Z$4:$Z$40,$BJ23-3)="","",INDEX('Final Calculation Sheet'!$Z$4:$Z$40,$BJ23-3)),IF($BI23=1,SUM('Final Calculation Sheet'!$Z$4:$Z$40),IF($BH23&gt;0,SUMIFS('Final Calculation Sheet'!$Z$4:$Z$40,$AZ$5:$AZ$41,$BH23),"")))</f>
        <v/>
      </c>
      <c r="AB23" s="652">
        <f>IF($BJ23&gt;0,IF(INDEX('Final Calculation Sheet'!$AA$4:$AA$40,$BJ23-3)="","",INDEX('Final Calculation Sheet'!$AA$4:$AA$40,$BJ23-3)),IF($BI23=1,SUM('Final Calculation Sheet'!$AA$4:$AA$40),IF($BH23&gt;0,SUMIFS('Final Calculation Sheet'!$AA$4:$AA$40,$AZ$5:$AZ$41,$BH23),"")))</f>
        <v/>
      </c>
      <c r="AC23" s="652">
        <f>IF($BJ23&gt;0,IF(INDEX('Final Calculation Sheet'!$AB$4:$AB$40,$BJ23-3)="","",INDEX('Final Calculation Sheet'!$AB$4:$AB$40,$BJ23-3)),IF(OR($BI23=1,$BH23&gt;0),"–",""))</f>
        <v/>
      </c>
      <c r="AD23" s="652">
        <f>IF($BJ23&gt;0,IF(INDEX('Final Calculation Sheet'!$AC$4:$AC$40,$BJ23-3)="","",INDEX('Final Calculation Sheet'!$AC$4:$AC$40,$BJ23-3)),IF($BI23=1,SUM('Final Calculation Sheet'!$AC$4:$AC$40),IF($BH23&gt;0,SUMIFS('Final Calculation Sheet'!$AC$4:$AC$40,$AZ$5:$AZ$41,$BH23),"")))</f>
        <v/>
      </c>
      <c r="AE23" s="652">
        <f>IF($BJ23&gt;0,IF(INDEX('Final Calculation Sheet'!$AD$4:$AD$40,$BJ23-3)="","",INDEX('Final Calculation Sheet'!$AD$4:$AD$40,$BJ23-3)),IF($BI23=1,SUM('Final Calculation Sheet'!$AD$4:$AD$40),IF($BH23&gt;0,SUMIFS('Final Calculation Sheet'!$AD$4:$AD$40,$AZ$5:$AZ$41,$BH23),"")))</f>
        <v/>
      </c>
      <c r="AF23" s="652">
        <f>IF($BJ23&gt;0,IF(INDEX('Final Calculation Sheet'!$AE$4:$AE$40,$BJ23-3)="","",INDEX('Final Calculation Sheet'!$AE$4:$AE$40,$BJ23-3)),IF(OR($BI23=1,$BH23&gt;0),"–",""))</f>
        <v/>
      </c>
      <c r="AG23" s="656">
        <f>IF($BJ23&gt;0,IF(INDEX('Final Calculation Sheet'!$AF$4:$AF$40,$BJ23-3)="","",INDEX('Final Calculation Sheet'!$AF$4:$AF$40,$BJ23-3)),IF(OR($BI23=1,$BH23&gt;0),"–",""))</f>
        <v/>
      </c>
      <c r="AH23" s="652">
        <f>IF($BJ23&gt;0,IF(INDEX('Final Calculation Sheet'!$AG$4:$AG$40,$BJ23-3)="","",INDEX('Final Calculation Sheet'!$AG$4:$AG$40,$BJ23-3)),IF(OR($BI23=1,$BH23&gt;0),"–",""))</f>
        <v/>
      </c>
      <c r="AI23" s="657">
        <f>IF($BJ23&gt;0,IF(INDEX('Final Calculation Sheet'!$AD$4:$AD$40,$BJ23-3)="","",IF(INDEX('Final Calculation Sheet'!$AD$4:$AD$40,$BJ23-3)&lt;=0,"SETTLED","OUTSTANDING")),IF(OR($BI23=1,$BH23&gt;0),IF(IF($BI23=1,SUM('Final Calculation Sheet'!$AD$4:$AD$40),SUMIFS('Final Calculation Sheet'!$AD$4:$AD$40,$AZ$5:$AZ$41,$BH23))&lt;=0,"ALL SETTLED","OUTSTANDING"),""))</f>
        <v/>
      </c>
      <c r="AK23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/>
      </c>
      <c r="AM23">
        <f>IF($B$3="",1,IF(AND(IF(COUNTIF($AR$9:$AY$9,1)=0,TRUE,SUMPRODUCT(($AR$9:$AY$9=1)*($AR$6:$AY$6&lt;&gt;"")*ISNUMBER(SEARCH($AR$6:$AY$6,$AK23)))&gt;0),IF(COUNTIF($AR$9:$AY$9,2)=0,TRUE,SUMPRODUCT(($AR$9:$AY$9=2)*($AR$6:$AY$6&lt;&gt;"")*ISNUMBER(SEARCH($AR$6:$AY$6,$AK23)))&gt;0),IF(COUNTIF($AR$9:$AY$9,3)=0,TRUE,SUMPRODUCT(($AR$9:$AY$9=3)*($AR$6:$AY$6&lt;&gt;"")*ISNUMBER(SEARCH($AR$6:$AY$6,$AK23)))&gt;0),IF(COUNTIF($AR$9:$AY$9,4)=0,TRUE,SUMPRODUCT(($AR$9:$AY$9=4)*($AR$6:$AY$6&lt;&gt;"")*ISNUMBER(SEARCH($AR$6:$AY$6,$AK23)))&gt;0),IF(COUNTIF($AR$9:$AY$9,5)=0,TRUE,SUMPRODUCT(($AR$9:$AY$9=5)*($AR$6:$AY$6&lt;&gt;"")*ISNUMBER(SEARCH($AR$6:$AY$6,$AK23)))&gt;0),IF(COUNTIF($AR$9:$AY$9,6)=0,TRUE,SUMPRODUCT(($AR$9:$AY$9=6)*($AR$6:$AY$6&lt;&gt;"")*ISNUMBER(SEARCH($AR$6:$AY$6,$AK23)))&gt;0),IF(COUNTIF($AR$9:$AY$9,7)=0,TRUE,SUMPRODUCT(($AR$9:$AY$9=7)*($AR$6:$AY$6&lt;&gt;"")*ISNUMBER(SEARCH($AR$6:$AY$6,$AK23)))&gt;0),IF(COUNTIF($AR$9:$AY$9,8)=0,TRUE,SUMPRODUCT(($AR$9:$AY$9=8)*($AR$6:$AY$6&lt;&gt;"")*ISNUMBER(SEARCH($AR$6:$AY$6,$AK23)))&gt;0)),1,0))</f>
        <v/>
      </c>
      <c r="AZ23">
        <f>IF($B$3="",9,IF($AM23=0,10,IF(AND($AR$6&lt;&gt;"",ISNUMBER(SEARCH($AR$6,$AK23))),1,IF(AND($AS$6&lt;&gt;"",ISNUMBER(SEARCH($AS$6,$AK23))),2,IF(AND($AT$6&lt;&gt;"",ISNUMBER(SEARCH($AT$6,$AK23))),3,IF(AND($AU$6&lt;&gt;"",ISNUMBER(SEARCH($AU$6,$AK23))),4,IF(AND($AV$6&lt;&gt;"",ISNUMBER(SEARCH($AV$6,$AK23))),5,IF(AND($AW$6&lt;&gt;"",ISNUMBER(SEARCH($AW$6,$AK23))),6,IF(AND($AX$6&lt;&gt;"",ISNUMBER(SEARCH($AX$6,$AK23))),7,IF(AND($AY$6&lt;&gt;"",ISNUMBER(SEARCH($AY$6,$AK23))),8,0))))))))))</f>
        <v/>
      </c>
      <c r="BA23">
        <f>SUMPRODUCT(($AZ$5:$AZ$41=$AZ23)*($BC$5:$BC$41&lt;$BC23))+1</f>
        <v/>
      </c>
      <c r="BB23">
        <f>IF(INDEX($BF$4:$BF$13,$AZ23)=0,0,INDEX($BE$4:$BE$13,$AZ23)+$BA23-1)</f>
        <v/>
      </c>
      <c r="BC23" t="n">
        <v>22</v>
      </c>
      <c r="BH23">
        <f>IFERROR(MATCH(23,$BF$4:$BF$13,0),0)</f>
        <v/>
      </c>
      <c r="BI23">
        <f>IF(23=$BG$4,1,0)</f>
        <v/>
      </c>
      <c r="BJ23">
        <f>IF(OR($BH23&gt;0,$BI23=1),0,IFERROR(INDEX($BC$5:$BC$41,MATCH(23,$BB$5:$BB$41,0)),0))</f>
        <v/>
      </c>
      <c r="BK23">
        <f>IF($BJ23&gt;0,IF(INDEX($AZ$5:$AZ$41,MATCH(23,$BB$5:$BB$41,0))=10,1,0),IF($BH23=10,1,0))</f>
        <v/>
      </c>
    </row>
    <row r="24" ht="15" customHeight="1">
      <c r="A24" s="649">
        <f>IF($BJ24&gt;0,INDEX($BA$5:$BA$41,MATCH(24,$BB$5:$BB$41,0)),IF(OR($BI24=1,$BH24&gt;0),"∑",""))</f>
        <v/>
      </c>
      <c r="B24" s="650">
        <f>IF($BJ24&gt;0,IF(INDEX('Final Calculation Sheet'!$F$4:$F$40,$BJ24-3)="","",INDEX('Final Calculation Sheet'!$F$4:$F$40,$BJ24-3)),"")</f>
        <v/>
      </c>
      <c r="C24" s="650">
        <f>IF($BJ24&gt;0,IF(INDEX('Final Calculation Sheet'!$G$4:$G$40,$BJ24-3)="","",INDEX('Final Calculation Sheet'!$G$4:$G$40,$BJ24-3)),IF(OR($BI24=1,$BH24&gt;0),IF($BI24=1,37,INDEX($BD$4:$BD$13,$BH24))&amp;" lot(s)",""))</f>
        <v/>
      </c>
      <c r="D24" s="651">
        <f>IF($BJ24&gt;0,IF(INDEX('Final Calculation Sheet'!$B$4:$B$40,$BJ24-3)="","",INDEX('Final Calculation Sheet'!$B$4:$B$40,$BJ24-3)),IF(OR($BI24=1,$BH24&gt;0),IF($BI24=1,"GRAND TOTAL  —  matching + remaining",IF($BH24=10,"REMAINING  —  did not match the search",IF($BH24=9,"ALL LOTS  —  nothing typed in the box","GROUP "&amp;$BH24&amp;" TOTAL  —  lots matching  "&amp;INDEX($AR$6:$AY$6,$BH24)))),""))</f>
        <v/>
      </c>
      <c r="E24" s="651">
        <f>IF($BJ24&gt;0,IF(INDEX('Final Calculation Sheet'!$D$4:$D$40,$BJ24-3)="","",INDEX('Final Calculation Sheet'!$D$4:$D$40,$BJ24-3)),IF(OR($BI24=1,$BH24&gt;0),"–",""))</f>
        <v/>
      </c>
      <c r="F24" s="651">
        <f>IF($BJ24&gt;0,IF(INDEX('Final Calculation Sheet'!$A$4:$A$40,$BJ24-3)="","",INDEX('Final Calculation Sheet'!$A$4:$A$40,$BJ24-3)),IF($BI24=1,SUM('Final Calculation Sheet'!$A$4:$A$40),IF($BH24&gt;0,SUMIFS('Final Calculation Sheet'!$A$4:$A$40,$AZ$5:$AZ$41,$BH24),"")))</f>
        <v/>
      </c>
      <c r="G24" s="651">
        <f>IF($BJ24&gt;0,IF(INDEX('Final Calculation Sheet'!$E$4:$E$40,$BJ24-3)="","",INDEX('Final Calculation Sheet'!$E$4:$E$40,$BJ24-3)),IF(OR($BI24=1,$BH24&gt;0),"–",""))</f>
        <v/>
      </c>
      <c r="H24" s="652">
        <f>IF($BJ24&gt;0,IF(INDEX('Final Calculation Sheet'!$C$4:$C$40,$BJ24-3)="","",INDEX('Final Calculation Sheet'!$C$4:$C$40,$BJ24-3)),IF(OR($BI24=1,$BH24&gt;0),"–",""))</f>
        <v/>
      </c>
      <c r="I24" s="652">
        <f>IF($BJ24&gt;0,IF(INDEX('Final Calculation Sheet'!$H$4:$H$40,$BJ24-3)="","",INDEX('Final Calculation Sheet'!$H$4:$H$40,$BJ24-3)),IF($BI24=1,SUM('Final Calculation Sheet'!$H$4:$H$40),IF($BH24&gt;0,SUMIFS('Final Calculation Sheet'!$H$4:$H$40,$AZ$5:$AZ$41,$BH24),"")))</f>
        <v/>
      </c>
      <c r="J24" s="652">
        <f>IF($BJ24&gt;0,IF(INDEX('Final Calculation Sheet'!$I$4:$I$40,$BJ24-3)="","",INDEX('Final Calculation Sheet'!$I$4:$I$40,$BJ24-3)),IF($BI24=1,SUM('Final Calculation Sheet'!$I$4:$I$40),IF($BH24&gt;0,SUMIFS('Final Calculation Sheet'!$I$4:$I$40,$AZ$5:$AZ$41,$BH24),"")))</f>
        <v/>
      </c>
      <c r="K24" s="652">
        <f>IF($BJ24&gt;0,IF(INDEX('Final Calculation Sheet'!$J$4:$J$40,$BJ24-3)="","",INDEX('Final Calculation Sheet'!$J$4:$J$40,$BJ24-3)),IF($BI24=1,SUM('Final Calculation Sheet'!$J$4:$J$40),IF($BH24&gt;0,SUMIFS('Final Calculation Sheet'!$J$4:$J$40,$AZ$5:$AZ$41,$BH24),"")))</f>
        <v/>
      </c>
      <c r="L24" s="652">
        <f>IF($BJ24&gt;0,IF(INDEX('Final Calculation Sheet'!$K$4:$K$40,$BJ24-3)="","",INDEX('Final Calculation Sheet'!$K$4:$K$40,$BJ24-3)),IF($BI24=1,SUM('Final Calculation Sheet'!$K$4:$K$40),IF($BH24&gt;0,SUMIFS('Final Calculation Sheet'!$K$4:$K$40,$AZ$5:$AZ$41,$BH24),"")))</f>
        <v/>
      </c>
      <c r="M24" s="652">
        <f>IF($BJ24&gt;0,IF(INDEX('Final Calculation Sheet'!$L$4:$L$40,$BJ24-3)="","",INDEX('Final Calculation Sheet'!$L$4:$L$40,$BJ24-3)),IF($BI24=1,SUM('Final Calculation Sheet'!$L$4:$L$40),IF($BH24&gt;0,SUMIFS('Final Calculation Sheet'!$L$4:$L$40,$AZ$5:$AZ$41,$BH24),"")))</f>
        <v/>
      </c>
      <c r="N24" s="652">
        <f>IF($BJ24&gt;0,IF(INDEX('Final Calculation Sheet'!$M$4:$M$40,$BJ24-3)="","",INDEX('Final Calculation Sheet'!$M$4:$M$40,$BJ24-3)),IF($BI24=1,SUM('Final Calculation Sheet'!$M$4:$M$40),IF($BH24&gt;0,SUMIFS('Final Calculation Sheet'!$M$4:$M$40,$AZ$5:$AZ$41,$BH24),"")))</f>
        <v/>
      </c>
      <c r="O24" s="653">
        <f>IF($BJ24&gt;0,IF(INDEX('Final Calculation Sheet'!$N$4:$N$40,$BJ24-3)="","",INDEX('Final Calculation Sheet'!$N$4:$N$40,$BJ24-3)),IF($BI24=1,SUM('Final Calculation Sheet'!$N$4:$N$40),IF($BH24&gt;0,SUMIFS('Final Calculation Sheet'!$N$4:$N$40,$AZ$5:$AZ$41,$BH24),"")))</f>
        <v/>
      </c>
      <c r="P24" s="652">
        <f>IF($BJ24&gt;0,IF(INDEX('Final Calculation Sheet'!$O$4:$O$40,$BJ24-3)="","",INDEX('Final Calculation Sheet'!$O$4:$O$40,$BJ24-3)),IF($BI24=1,SUM('Final Calculation Sheet'!$O$4:$O$40),IF($BH24&gt;0,SUMIFS('Final Calculation Sheet'!$O$4:$O$40,$AZ$5:$AZ$41,$BH24),"")))</f>
        <v/>
      </c>
      <c r="Q24" s="652">
        <f>IF($BJ24&gt;0,IF(INDEX('Final Calculation Sheet'!$P$4:$P$40,$BJ24-3)="","",INDEX('Final Calculation Sheet'!$P$4:$P$40,$BJ24-3)),IF($BI24=1,SUM('Final Calculation Sheet'!$P$4:$P$40),IF($BH24&gt;0,SUMIFS('Final Calculation Sheet'!$P$4:$P$40,$AZ$5:$AZ$41,$BH24),"")))</f>
        <v/>
      </c>
      <c r="R24" s="654">
        <f>IF($BJ24&gt;0,IF(INDEX('Final Calculation Sheet'!$Q$4:$Q$40,$BJ24-3)="","",INDEX('Final Calculation Sheet'!$Q$4:$Q$40,$BJ24-3)),IF(OR($BI24=1,$BH24&gt;0),"–",""))</f>
        <v/>
      </c>
      <c r="S24" s="652">
        <f>IF($BJ24&gt;0,IF(INDEX('Final Calculation Sheet'!$R$4:$R$40,$BJ24-3)="","",INDEX('Final Calculation Sheet'!$R$4:$R$40,$BJ24-3)),IF($BI24=1,SUM('Final Calculation Sheet'!$R$4:$R$40),IF($BH24&gt;0,SUMIFS('Final Calculation Sheet'!$R$4:$R$40,$AZ$5:$AZ$41,$BH24),"")))</f>
        <v/>
      </c>
      <c r="T24" s="652">
        <f>IF($BJ24&gt;0,IF(INDEX('Final Calculation Sheet'!$S$4:$S$40,$BJ24-3)="","",INDEX('Final Calculation Sheet'!$S$4:$S$40,$BJ24-3)),IF($BI24=1,SUM('Final Calculation Sheet'!$S$4:$S$40),IF($BH24&gt;0,SUMIFS('Final Calculation Sheet'!$S$4:$S$40,$AZ$5:$AZ$41,$BH24),"")))</f>
        <v/>
      </c>
      <c r="U24" s="652">
        <f>IF($BJ24&gt;0,IF(INDEX('Final Calculation Sheet'!$T$4:$T$40,$BJ24-3)="","",INDEX('Final Calculation Sheet'!$T$4:$T$40,$BJ24-3)),IF($BI24=1,SUM('Final Calculation Sheet'!$T$4:$T$40),IF($BH24&gt;0,SUMIFS('Final Calculation Sheet'!$T$4:$T$40,$AZ$5:$AZ$41,$BH24),"")))</f>
        <v/>
      </c>
      <c r="V24" s="655">
        <f>IF($BJ24&gt;0,IF(INDEX('Final Calculation Sheet'!$U$4:$U$40,$BJ24-3)="","",INDEX('Final Calculation Sheet'!$U$4:$U$40,$BJ24-3)),IF($BI24=1,SUM('Final Calculation Sheet'!$U$4:$U$40),IF($BH24&gt;0,SUMIFS('Final Calculation Sheet'!$U$4:$U$40,$AZ$5:$AZ$41,$BH24),"")))</f>
        <v/>
      </c>
      <c r="W24" s="652">
        <f>IF($BJ24&gt;0,IF(INDEX('Final Calculation Sheet'!$V$4:$V$40,$BJ24-3)="","",INDEX('Final Calculation Sheet'!$V$4:$V$40,$BJ24-3)),IF(OR($BI24=1,$BH24&gt;0),"–",""))</f>
        <v/>
      </c>
      <c r="X24" s="652">
        <f>IF($BJ24&gt;0,IF(INDEX('Final Calculation Sheet'!$W$4:$W$40,$BJ24-3)="","",INDEX('Final Calculation Sheet'!$W$4:$W$40,$BJ24-3)),IF($BI24=1,SUM('Final Calculation Sheet'!$W$4:$W$40),IF($BH24&gt;0,SUMIFS('Final Calculation Sheet'!$W$4:$W$40,$AZ$5:$AZ$41,$BH24),"")))</f>
        <v/>
      </c>
      <c r="Y24" s="652">
        <f>IF($BJ24&gt;0,IF(INDEX('Final Calculation Sheet'!$X$4:$X$40,$BJ24-3)="","",INDEX('Final Calculation Sheet'!$X$4:$X$40,$BJ24-3)),IF($BI24=1,SUM('Final Calculation Sheet'!$X$4:$X$40),IF($BH24&gt;0,SUMIFS('Final Calculation Sheet'!$X$4:$X$40,$AZ$5:$AZ$41,$BH24),"")))</f>
        <v/>
      </c>
      <c r="Z24" s="652">
        <f>IF($BJ24&gt;0,IF(INDEX('Final Calculation Sheet'!$Y$4:$Y$40,$BJ24-3)="","",INDEX('Final Calculation Sheet'!$Y$4:$Y$40,$BJ24-3)),IF(OR($BI24=1,$BH24&gt;0),"–",""))</f>
        <v/>
      </c>
      <c r="AA24" s="652">
        <f>IF($BJ24&gt;0,IF(INDEX('Final Calculation Sheet'!$Z$4:$Z$40,$BJ24-3)="","",INDEX('Final Calculation Sheet'!$Z$4:$Z$40,$BJ24-3)),IF($BI24=1,SUM('Final Calculation Sheet'!$Z$4:$Z$40),IF($BH24&gt;0,SUMIFS('Final Calculation Sheet'!$Z$4:$Z$40,$AZ$5:$AZ$41,$BH24),"")))</f>
        <v/>
      </c>
      <c r="AB24" s="652">
        <f>IF($BJ24&gt;0,IF(INDEX('Final Calculation Sheet'!$AA$4:$AA$40,$BJ24-3)="","",INDEX('Final Calculation Sheet'!$AA$4:$AA$40,$BJ24-3)),IF($BI24=1,SUM('Final Calculation Sheet'!$AA$4:$AA$40),IF($BH24&gt;0,SUMIFS('Final Calculation Sheet'!$AA$4:$AA$40,$AZ$5:$AZ$41,$BH24),"")))</f>
        <v/>
      </c>
      <c r="AC24" s="652">
        <f>IF($BJ24&gt;0,IF(INDEX('Final Calculation Sheet'!$AB$4:$AB$40,$BJ24-3)="","",INDEX('Final Calculation Sheet'!$AB$4:$AB$40,$BJ24-3)),IF(OR($BI24=1,$BH24&gt;0),"–",""))</f>
        <v/>
      </c>
      <c r="AD24" s="652">
        <f>IF($BJ24&gt;0,IF(INDEX('Final Calculation Sheet'!$AC$4:$AC$40,$BJ24-3)="","",INDEX('Final Calculation Sheet'!$AC$4:$AC$40,$BJ24-3)),IF($BI24=1,SUM('Final Calculation Sheet'!$AC$4:$AC$40),IF($BH24&gt;0,SUMIFS('Final Calculation Sheet'!$AC$4:$AC$40,$AZ$5:$AZ$41,$BH24),"")))</f>
        <v/>
      </c>
      <c r="AE24" s="652">
        <f>IF($BJ24&gt;0,IF(INDEX('Final Calculation Sheet'!$AD$4:$AD$40,$BJ24-3)="","",INDEX('Final Calculation Sheet'!$AD$4:$AD$40,$BJ24-3)),IF($BI24=1,SUM('Final Calculation Sheet'!$AD$4:$AD$40),IF($BH24&gt;0,SUMIFS('Final Calculation Sheet'!$AD$4:$AD$40,$AZ$5:$AZ$41,$BH24),"")))</f>
        <v/>
      </c>
      <c r="AF24" s="652">
        <f>IF($BJ24&gt;0,IF(INDEX('Final Calculation Sheet'!$AE$4:$AE$40,$BJ24-3)="","",INDEX('Final Calculation Sheet'!$AE$4:$AE$40,$BJ24-3)),IF(OR($BI24=1,$BH24&gt;0),"–",""))</f>
        <v/>
      </c>
      <c r="AG24" s="656">
        <f>IF($BJ24&gt;0,IF(INDEX('Final Calculation Sheet'!$AF$4:$AF$40,$BJ24-3)="","",INDEX('Final Calculation Sheet'!$AF$4:$AF$40,$BJ24-3)),IF(OR($BI24=1,$BH24&gt;0),"–",""))</f>
        <v/>
      </c>
      <c r="AH24" s="652">
        <f>IF($BJ24&gt;0,IF(INDEX('Final Calculation Sheet'!$AG$4:$AG$40,$BJ24-3)="","",INDEX('Final Calculation Sheet'!$AG$4:$AG$40,$BJ24-3)),IF(OR($BI24=1,$BH24&gt;0),"–",""))</f>
        <v/>
      </c>
      <c r="AI24" s="657">
        <f>IF($BJ24&gt;0,IF(INDEX('Final Calculation Sheet'!$AD$4:$AD$40,$BJ24-3)="","",IF(INDEX('Final Calculation Sheet'!$AD$4:$AD$40,$BJ24-3)&lt;=0,"SETTLED","OUTSTANDING")),IF(OR($BI24=1,$BH24&gt;0),IF(IF($BI24=1,SUM('Final Calculation Sheet'!$AD$4:$AD$40),SUMIFS('Final Calculation Sheet'!$AD$4:$AD$40,$AZ$5:$AZ$41,$BH24))&lt;=0,"ALL SETTLED","OUTSTANDING"),""))</f>
        <v/>
      </c>
      <c r="AK24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/>
      </c>
      <c r="AM24">
        <f>IF($B$3="",1,IF(AND(IF(COUNTIF($AR$9:$AY$9,1)=0,TRUE,SUMPRODUCT(($AR$9:$AY$9=1)*($AR$6:$AY$6&lt;&gt;"")*ISNUMBER(SEARCH($AR$6:$AY$6,$AK24)))&gt;0),IF(COUNTIF($AR$9:$AY$9,2)=0,TRUE,SUMPRODUCT(($AR$9:$AY$9=2)*($AR$6:$AY$6&lt;&gt;"")*ISNUMBER(SEARCH($AR$6:$AY$6,$AK24)))&gt;0),IF(COUNTIF($AR$9:$AY$9,3)=0,TRUE,SUMPRODUCT(($AR$9:$AY$9=3)*($AR$6:$AY$6&lt;&gt;"")*ISNUMBER(SEARCH($AR$6:$AY$6,$AK24)))&gt;0),IF(COUNTIF($AR$9:$AY$9,4)=0,TRUE,SUMPRODUCT(($AR$9:$AY$9=4)*($AR$6:$AY$6&lt;&gt;"")*ISNUMBER(SEARCH($AR$6:$AY$6,$AK24)))&gt;0),IF(COUNTIF($AR$9:$AY$9,5)=0,TRUE,SUMPRODUCT(($AR$9:$AY$9=5)*($AR$6:$AY$6&lt;&gt;"")*ISNUMBER(SEARCH($AR$6:$AY$6,$AK24)))&gt;0),IF(COUNTIF($AR$9:$AY$9,6)=0,TRUE,SUMPRODUCT(($AR$9:$AY$9=6)*($AR$6:$AY$6&lt;&gt;"")*ISNUMBER(SEARCH($AR$6:$AY$6,$AK24)))&gt;0),IF(COUNTIF($AR$9:$AY$9,7)=0,TRUE,SUMPRODUCT(($AR$9:$AY$9=7)*($AR$6:$AY$6&lt;&gt;"")*ISNUMBER(SEARCH($AR$6:$AY$6,$AK24)))&gt;0),IF(COUNTIF($AR$9:$AY$9,8)=0,TRUE,SUMPRODUCT(($AR$9:$AY$9=8)*($AR$6:$AY$6&lt;&gt;"")*ISNUMBER(SEARCH($AR$6:$AY$6,$AK24)))&gt;0)),1,0))</f>
        <v/>
      </c>
      <c r="AZ24">
        <f>IF($B$3="",9,IF($AM24=0,10,IF(AND($AR$6&lt;&gt;"",ISNUMBER(SEARCH($AR$6,$AK24))),1,IF(AND($AS$6&lt;&gt;"",ISNUMBER(SEARCH($AS$6,$AK24))),2,IF(AND($AT$6&lt;&gt;"",ISNUMBER(SEARCH($AT$6,$AK24))),3,IF(AND($AU$6&lt;&gt;"",ISNUMBER(SEARCH($AU$6,$AK24))),4,IF(AND($AV$6&lt;&gt;"",ISNUMBER(SEARCH($AV$6,$AK24))),5,IF(AND($AW$6&lt;&gt;"",ISNUMBER(SEARCH($AW$6,$AK24))),6,IF(AND($AX$6&lt;&gt;"",ISNUMBER(SEARCH($AX$6,$AK24))),7,IF(AND($AY$6&lt;&gt;"",ISNUMBER(SEARCH($AY$6,$AK24))),8,0))))))))))</f>
        <v/>
      </c>
      <c r="BA24">
        <f>SUMPRODUCT(($AZ$5:$AZ$41=$AZ24)*($BC$5:$BC$41&lt;$BC24))+1</f>
        <v/>
      </c>
      <c r="BB24">
        <f>IF(INDEX($BF$4:$BF$13,$AZ24)=0,0,INDEX($BE$4:$BE$13,$AZ24)+$BA24-1)</f>
        <v/>
      </c>
      <c r="BC24" t="n">
        <v>23</v>
      </c>
      <c r="BH24">
        <f>IFERROR(MATCH(24,$BF$4:$BF$13,0),0)</f>
        <v/>
      </c>
      <c r="BI24">
        <f>IF(24=$BG$4,1,0)</f>
        <v/>
      </c>
      <c r="BJ24">
        <f>IF(OR($BH24&gt;0,$BI24=1),0,IFERROR(INDEX($BC$5:$BC$41,MATCH(24,$BB$5:$BB$41,0)),0))</f>
        <v/>
      </c>
      <c r="BK24">
        <f>IF($BJ24&gt;0,IF(INDEX($AZ$5:$AZ$41,MATCH(24,$BB$5:$BB$41,0))=10,1,0),IF($BH24=10,1,0))</f>
        <v/>
      </c>
    </row>
    <row r="25" ht="15" customHeight="1">
      <c r="A25" s="649">
        <f>IF($BJ25&gt;0,INDEX($BA$5:$BA$41,MATCH(25,$BB$5:$BB$41,0)),IF(OR($BI25=1,$BH25&gt;0),"∑",""))</f>
        <v/>
      </c>
      <c r="B25" s="650">
        <f>IF($BJ25&gt;0,IF(INDEX('Final Calculation Sheet'!$F$4:$F$40,$BJ25-3)="","",INDEX('Final Calculation Sheet'!$F$4:$F$40,$BJ25-3)),"")</f>
        <v/>
      </c>
      <c r="C25" s="650">
        <f>IF($BJ25&gt;0,IF(INDEX('Final Calculation Sheet'!$G$4:$G$40,$BJ25-3)="","",INDEX('Final Calculation Sheet'!$G$4:$G$40,$BJ25-3)),IF(OR($BI25=1,$BH25&gt;0),IF($BI25=1,37,INDEX($BD$4:$BD$13,$BH25))&amp;" lot(s)",""))</f>
        <v/>
      </c>
      <c r="D25" s="651">
        <f>IF($BJ25&gt;0,IF(INDEX('Final Calculation Sheet'!$B$4:$B$40,$BJ25-3)="","",INDEX('Final Calculation Sheet'!$B$4:$B$40,$BJ25-3)),IF(OR($BI25=1,$BH25&gt;0),IF($BI25=1,"GRAND TOTAL  —  matching + remaining",IF($BH25=10,"REMAINING  —  did not match the search",IF($BH25=9,"ALL LOTS  —  nothing typed in the box","GROUP "&amp;$BH25&amp;" TOTAL  —  lots matching  "&amp;INDEX($AR$6:$AY$6,$BH25)))),""))</f>
        <v/>
      </c>
      <c r="E25" s="651">
        <f>IF($BJ25&gt;0,IF(INDEX('Final Calculation Sheet'!$D$4:$D$40,$BJ25-3)="","",INDEX('Final Calculation Sheet'!$D$4:$D$40,$BJ25-3)),IF(OR($BI25=1,$BH25&gt;0),"–",""))</f>
        <v/>
      </c>
      <c r="F25" s="651">
        <f>IF($BJ25&gt;0,IF(INDEX('Final Calculation Sheet'!$A$4:$A$40,$BJ25-3)="","",INDEX('Final Calculation Sheet'!$A$4:$A$40,$BJ25-3)),IF($BI25=1,SUM('Final Calculation Sheet'!$A$4:$A$40),IF($BH25&gt;0,SUMIFS('Final Calculation Sheet'!$A$4:$A$40,$AZ$5:$AZ$41,$BH25),"")))</f>
        <v/>
      </c>
      <c r="G25" s="651">
        <f>IF($BJ25&gt;0,IF(INDEX('Final Calculation Sheet'!$E$4:$E$40,$BJ25-3)="","",INDEX('Final Calculation Sheet'!$E$4:$E$40,$BJ25-3)),IF(OR($BI25=1,$BH25&gt;0),"–",""))</f>
        <v/>
      </c>
      <c r="H25" s="652">
        <f>IF($BJ25&gt;0,IF(INDEX('Final Calculation Sheet'!$C$4:$C$40,$BJ25-3)="","",INDEX('Final Calculation Sheet'!$C$4:$C$40,$BJ25-3)),IF(OR($BI25=1,$BH25&gt;0),"–",""))</f>
        <v/>
      </c>
      <c r="I25" s="652">
        <f>IF($BJ25&gt;0,IF(INDEX('Final Calculation Sheet'!$H$4:$H$40,$BJ25-3)="","",INDEX('Final Calculation Sheet'!$H$4:$H$40,$BJ25-3)),IF($BI25=1,SUM('Final Calculation Sheet'!$H$4:$H$40),IF($BH25&gt;0,SUMIFS('Final Calculation Sheet'!$H$4:$H$40,$AZ$5:$AZ$41,$BH25),"")))</f>
        <v/>
      </c>
      <c r="J25" s="652">
        <f>IF($BJ25&gt;0,IF(INDEX('Final Calculation Sheet'!$I$4:$I$40,$BJ25-3)="","",INDEX('Final Calculation Sheet'!$I$4:$I$40,$BJ25-3)),IF($BI25=1,SUM('Final Calculation Sheet'!$I$4:$I$40),IF($BH25&gt;0,SUMIFS('Final Calculation Sheet'!$I$4:$I$40,$AZ$5:$AZ$41,$BH25),"")))</f>
        <v/>
      </c>
      <c r="K25" s="652">
        <f>IF($BJ25&gt;0,IF(INDEX('Final Calculation Sheet'!$J$4:$J$40,$BJ25-3)="","",INDEX('Final Calculation Sheet'!$J$4:$J$40,$BJ25-3)),IF($BI25=1,SUM('Final Calculation Sheet'!$J$4:$J$40),IF($BH25&gt;0,SUMIFS('Final Calculation Sheet'!$J$4:$J$40,$AZ$5:$AZ$41,$BH25),"")))</f>
        <v/>
      </c>
      <c r="L25" s="652">
        <f>IF($BJ25&gt;0,IF(INDEX('Final Calculation Sheet'!$K$4:$K$40,$BJ25-3)="","",INDEX('Final Calculation Sheet'!$K$4:$K$40,$BJ25-3)),IF($BI25=1,SUM('Final Calculation Sheet'!$K$4:$K$40),IF($BH25&gt;0,SUMIFS('Final Calculation Sheet'!$K$4:$K$40,$AZ$5:$AZ$41,$BH25),"")))</f>
        <v/>
      </c>
      <c r="M25" s="652">
        <f>IF($BJ25&gt;0,IF(INDEX('Final Calculation Sheet'!$L$4:$L$40,$BJ25-3)="","",INDEX('Final Calculation Sheet'!$L$4:$L$40,$BJ25-3)),IF($BI25=1,SUM('Final Calculation Sheet'!$L$4:$L$40),IF($BH25&gt;0,SUMIFS('Final Calculation Sheet'!$L$4:$L$40,$AZ$5:$AZ$41,$BH25),"")))</f>
        <v/>
      </c>
      <c r="N25" s="652">
        <f>IF($BJ25&gt;0,IF(INDEX('Final Calculation Sheet'!$M$4:$M$40,$BJ25-3)="","",INDEX('Final Calculation Sheet'!$M$4:$M$40,$BJ25-3)),IF($BI25=1,SUM('Final Calculation Sheet'!$M$4:$M$40),IF($BH25&gt;0,SUMIFS('Final Calculation Sheet'!$M$4:$M$40,$AZ$5:$AZ$41,$BH25),"")))</f>
        <v/>
      </c>
      <c r="O25" s="653">
        <f>IF($BJ25&gt;0,IF(INDEX('Final Calculation Sheet'!$N$4:$N$40,$BJ25-3)="","",INDEX('Final Calculation Sheet'!$N$4:$N$40,$BJ25-3)),IF($BI25=1,SUM('Final Calculation Sheet'!$N$4:$N$40),IF($BH25&gt;0,SUMIFS('Final Calculation Sheet'!$N$4:$N$40,$AZ$5:$AZ$41,$BH25),"")))</f>
        <v/>
      </c>
      <c r="P25" s="652">
        <f>IF($BJ25&gt;0,IF(INDEX('Final Calculation Sheet'!$O$4:$O$40,$BJ25-3)="","",INDEX('Final Calculation Sheet'!$O$4:$O$40,$BJ25-3)),IF($BI25=1,SUM('Final Calculation Sheet'!$O$4:$O$40),IF($BH25&gt;0,SUMIFS('Final Calculation Sheet'!$O$4:$O$40,$AZ$5:$AZ$41,$BH25),"")))</f>
        <v/>
      </c>
      <c r="Q25" s="652">
        <f>IF($BJ25&gt;0,IF(INDEX('Final Calculation Sheet'!$P$4:$P$40,$BJ25-3)="","",INDEX('Final Calculation Sheet'!$P$4:$P$40,$BJ25-3)),IF($BI25=1,SUM('Final Calculation Sheet'!$P$4:$P$40),IF($BH25&gt;0,SUMIFS('Final Calculation Sheet'!$P$4:$P$40,$AZ$5:$AZ$41,$BH25),"")))</f>
        <v/>
      </c>
      <c r="R25" s="654">
        <f>IF($BJ25&gt;0,IF(INDEX('Final Calculation Sheet'!$Q$4:$Q$40,$BJ25-3)="","",INDEX('Final Calculation Sheet'!$Q$4:$Q$40,$BJ25-3)),IF(OR($BI25=1,$BH25&gt;0),"–",""))</f>
        <v/>
      </c>
      <c r="S25" s="652">
        <f>IF($BJ25&gt;0,IF(INDEX('Final Calculation Sheet'!$R$4:$R$40,$BJ25-3)="","",INDEX('Final Calculation Sheet'!$R$4:$R$40,$BJ25-3)),IF($BI25=1,SUM('Final Calculation Sheet'!$R$4:$R$40),IF($BH25&gt;0,SUMIFS('Final Calculation Sheet'!$R$4:$R$40,$AZ$5:$AZ$41,$BH25),"")))</f>
        <v/>
      </c>
      <c r="T25" s="652">
        <f>IF($BJ25&gt;0,IF(INDEX('Final Calculation Sheet'!$S$4:$S$40,$BJ25-3)="","",INDEX('Final Calculation Sheet'!$S$4:$S$40,$BJ25-3)),IF($BI25=1,SUM('Final Calculation Sheet'!$S$4:$S$40),IF($BH25&gt;0,SUMIFS('Final Calculation Sheet'!$S$4:$S$40,$AZ$5:$AZ$41,$BH25),"")))</f>
        <v/>
      </c>
      <c r="U25" s="652">
        <f>IF($BJ25&gt;0,IF(INDEX('Final Calculation Sheet'!$T$4:$T$40,$BJ25-3)="","",INDEX('Final Calculation Sheet'!$T$4:$T$40,$BJ25-3)),IF($BI25=1,SUM('Final Calculation Sheet'!$T$4:$T$40),IF($BH25&gt;0,SUMIFS('Final Calculation Sheet'!$T$4:$T$40,$AZ$5:$AZ$41,$BH25),"")))</f>
        <v/>
      </c>
      <c r="V25" s="655">
        <f>IF($BJ25&gt;0,IF(INDEX('Final Calculation Sheet'!$U$4:$U$40,$BJ25-3)="","",INDEX('Final Calculation Sheet'!$U$4:$U$40,$BJ25-3)),IF($BI25=1,SUM('Final Calculation Sheet'!$U$4:$U$40),IF($BH25&gt;0,SUMIFS('Final Calculation Sheet'!$U$4:$U$40,$AZ$5:$AZ$41,$BH25),"")))</f>
        <v/>
      </c>
      <c r="W25" s="652">
        <f>IF($BJ25&gt;0,IF(INDEX('Final Calculation Sheet'!$V$4:$V$40,$BJ25-3)="","",INDEX('Final Calculation Sheet'!$V$4:$V$40,$BJ25-3)),IF(OR($BI25=1,$BH25&gt;0),"–",""))</f>
        <v/>
      </c>
      <c r="X25" s="652">
        <f>IF($BJ25&gt;0,IF(INDEX('Final Calculation Sheet'!$W$4:$W$40,$BJ25-3)="","",INDEX('Final Calculation Sheet'!$W$4:$W$40,$BJ25-3)),IF($BI25=1,SUM('Final Calculation Sheet'!$W$4:$W$40),IF($BH25&gt;0,SUMIFS('Final Calculation Sheet'!$W$4:$W$40,$AZ$5:$AZ$41,$BH25),"")))</f>
        <v/>
      </c>
      <c r="Y25" s="652">
        <f>IF($BJ25&gt;0,IF(INDEX('Final Calculation Sheet'!$X$4:$X$40,$BJ25-3)="","",INDEX('Final Calculation Sheet'!$X$4:$X$40,$BJ25-3)),IF($BI25=1,SUM('Final Calculation Sheet'!$X$4:$X$40),IF($BH25&gt;0,SUMIFS('Final Calculation Sheet'!$X$4:$X$40,$AZ$5:$AZ$41,$BH25),"")))</f>
        <v/>
      </c>
      <c r="Z25" s="652">
        <f>IF($BJ25&gt;0,IF(INDEX('Final Calculation Sheet'!$Y$4:$Y$40,$BJ25-3)="","",INDEX('Final Calculation Sheet'!$Y$4:$Y$40,$BJ25-3)),IF(OR($BI25=1,$BH25&gt;0),"–",""))</f>
        <v/>
      </c>
      <c r="AA25" s="652">
        <f>IF($BJ25&gt;0,IF(INDEX('Final Calculation Sheet'!$Z$4:$Z$40,$BJ25-3)="","",INDEX('Final Calculation Sheet'!$Z$4:$Z$40,$BJ25-3)),IF($BI25=1,SUM('Final Calculation Sheet'!$Z$4:$Z$40),IF($BH25&gt;0,SUMIFS('Final Calculation Sheet'!$Z$4:$Z$40,$AZ$5:$AZ$41,$BH25),"")))</f>
        <v/>
      </c>
      <c r="AB25" s="652">
        <f>IF($BJ25&gt;0,IF(INDEX('Final Calculation Sheet'!$AA$4:$AA$40,$BJ25-3)="","",INDEX('Final Calculation Sheet'!$AA$4:$AA$40,$BJ25-3)),IF($BI25=1,SUM('Final Calculation Sheet'!$AA$4:$AA$40),IF($BH25&gt;0,SUMIFS('Final Calculation Sheet'!$AA$4:$AA$40,$AZ$5:$AZ$41,$BH25),"")))</f>
        <v/>
      </c>
      <c r="AC25" s="652">
        <f>IF($BJ25&gt;0,IF(INDEX('Final Calculation Sheet'!$AB$4:$AB$40,$BJ25-3)="","",INDEX('Final Calculation Sheet'!$AB$4:$AB$40,$BJ25-3)),IF(OR($BI25=1,$BH25&gt;0),"–",""))</f>
        <v/>
      </c>
      <c r="AD25" s="652">
        <f>IF($BJ25&gt;0,IF(INDEX('Final Calculation Sheet'!$AC$4:$AC$40,$BJ25-3)="","",INDEX('Final Calculation Sheet'!$AC$4:$AC$40,$BJ25-3)),IF($BI25=1,SUM('Final Calculation Sheet'!$AC$4:$AC$40),IF($BH25&gt;0,SUMIFS('Final Calculation Sheet'!$AC$4:$AC$40,$AZ$5:$AZ$41,$BH25),"")))</f>
        <v/>
      </c>
      <c r="AE25" s="652">
        <f>IF($BJ25&gt;0,IF(INDEX('Final Calculation Sheet'!$AD$4:$AD$40,$BJ25-3)="","",INDEX('Final Calculation Sheet'!$AD$4:$AD$40,$BJ25-3)),IF($BI25=1,SUM('Final Calculation Sheet'!$AD$4:$AD$40),IF($BH25&gt;0,SUMIFS('Final Calculation Sheet'!$AD$4:$AD$40,$AZ$5:$AZ$41,$BH25),"")))</f>
        <v/>
      </c>
      <c r="AF25" s="652">
        <f>IF($BJ25&gt;0,IF(INDEX('Final Calculation Sheet'!$AE$4:$AE$40,$BJ25-3)="","",INDEX('Final Calculation Sheet'!$AE$4:$AE$40,$BJ25-3)),IF(OR($BI25=1,$BH25&gt;0),"–",""))</f>
        <v/>
      </c>
      <c r="AG25" s="656">
        <f>IF($BJ25&gt;0,IF(INDEX('Final Calculation Sheet'!$AF$4:$AF$40,$BJ25-3)="","",INDEX('Final Calculation Sheet'!$AF$4:$AF$40,$BJ25-3)),IF(OR($BI25=1,$BH25&gt;0),"–",""))</f>
        <v/>
      </c>
      <c r="AH25" s="652">
        <f>IF($BJ25&gt;0,IF(INDEX('Final Calculation Sheet'!$AG$4:$AG$40,$BJ25-3)="","",INDEX('Final Calculation Sheet'!$AG$4:$AG$40,$BJ25-3)),IF(OR($BI25=1,$BH25&gt;0),"–",""))</f>
        <v/>
      </c>
      <c r="AI25" s="657">
        <f>IF($BJ25&gt;0,IF(INDEX('Final Calculation Sheet'!$AD$4:$AD$40,$BJ25-3)="","",IF(INDEX('Final Calculation Sheet'!$AD$4:$AD$40,$BJ25-3)&lt;=0,"SETTLED","OUTSTANDING")),IF(OR($BI25=1,$BH25&gt;0),IF(IF($BI25=1,SUM('Final Calculation Sheet'!$AD$4:$AD$40),SUMIFS('Final Calculation Sheet'!$AD$4:$AD$40,$AZ$5:$AZ$41,$BH25))&lt;=0,"ALL SETTLED","OUTSTANDING"),""))</f>
        <v/>
      </c>
      <c r="AK25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/>
      </c>
      <c r="AM25">
        <f>IF($B$3="",1,IF(AND(IF(COUNTIF($AR$9:$AY$9,1)=0,TRUE,SUMPRODUCT(($AR$9:$AY$9=1)*($AR$6:$AY$6&lt;&gt;"")*ISNUMBER(SEARCH($AR$6:$AY$6,$AK25)))&gt;0),IF(COUNTIF($AR$9:$AY$9,2)=0,TRUE,SUMPRODUCT(($AR$9:$AY$9=2)*($AR$6:$AY$6&lt;&gt;"")*ISNUMBER(SEARCH($AR$6:$AY$6,$AK25)))&gt;0),IF(COUNTIF($AR$9:$AY$9,3)=0,TRUE,SUMPRODUCT(($AR$9:$AY$9=3)*($AR$6:$AY$6&lt;&gt;"")*ISNUMBER(SEARCH($AR$6:$AY$6,$AK25)))&gt;0),IF(COUNTIF($AR$9:$AY$9,4)=0,TRUE,SUMPRODUCT(($AR$9:$AY$9=4)*($AR$6:$AY$6&lt;&gt;"")*ISNUMBER(SEARCH($AR$6:$AY$6,$AK25)))&gt;0),IF(COUNTIF($AR$9:$AY$9,5)=0,TRUE,SUMPRODUCT(($AR$9:$AY$9=5)*($AR$6:$AY$6&lt;&gt;"")*ISNUMBER(SEARCH($AR$6:$AY$6,$AK25)))&gt;0),IF(COUNTIF($AR$9:$AY$9,6)=0,TRUE,SUMPRODUCT(($AR$9:$AY$9=6)*($AR$6:$AY$6&lt;&gt;"")*ISNUMBER(SEARCH($AR$6:$AY$6,$AK25)))&gt;0),IF(COUNTIF($AR$9:$AY$9,7)=0,TRUE,SUMPRODUCT(($AR$9:$AY$9=7)*($AR$6:$AY$6&lt;&gt;"")*ISNUMBER(SEARCH($AR$6:$AY$6,$AK25)))&gt;0),IF(COUNTIF($AR$9:$AY$9,8)=0,TRUE,SUMPRODUCT(($AR$9:$AY$9=8)*($AR$6:$AY$6&lt;&gt;"")*ISNUMBER(SEARCH($AR$6:$AY$6,$AK25)))&gt;0)),1,0))</f>
        <v/>
      </c>
      <c r="AZ25">
        <f>IF($B$3="",9,IF($AM25=0,10,IF(AND($AR$6&lt;&gt;"",ISNUMBER(SEARCH($AR$6,$AK25))),1,IF(AND($AS$6&lt;&gt;"",ISNUMBER(SEARCH($AS$6,$AK25))),2,IF(AND($AT$6&lt;&gt;"",ISNUMBER(SEARCH($AT$6,$AK25))),3,IF(AND($AU$6&lt;&gt;"",ISNUMBER(SEARCH($AU$6,$AK25))),4,IF(AND($AV$6&lt;&gt;"",ISNUMBER(SEARCH($AV$6,$AK25))),5,IF(AND($AW$6&lt;&gt;"",ISNUMBER(SEARCH($AW$6,$AK25))),6,IF(AND($AX$6&lt;&gt;"",ISNUMBER(SEARCH($AX$6,$AK25))),7,IF(AND($AY$6&lt;&gt;"",ISNUMBER(SEARCH($AY$6,$AK25))),8,0))))))))))</f>
        <v/>
      </c>
      <c r="BA25">
        <f>SUMPRODUCT(($AZ$5:$AZ$41=$AZ25)*($BC$5:$BC$41&lt;$BC25))+1</f>
        <v/>
      </c>
      <c r="BB25">
        <f>IF(INDEX($BF$4:$BF$13,$AZ25)=0,0,INDEX($BE$4:$BE$13,$AZ25)+$BA25-1)</f>
        <v/>
      </c>
      <c r="BC25" t="n">
        <v>24</v>
      </c>
      <c r="BH25">
        <f>IFERROR(MATCH(25,$BF$4:$BF$13,0),0)</f>
        <v/>
      </c>
      <c r="BI25">
        <f>IF(25=$BG$4,1,0)</f>
        <v/>
      </c>
      <c r="BJ25">
        <f>IF(OR($BH25&gt;0,$BI25=1),0,IFERROR(INDEX($BC$5:$BC$41,MATCH(25,$BB$5:$BB$41,0)),0))</f>
        <v/>
      </c>
      <c r="BK25">
        <f>IF($BJ25&gt;0,IF(INDEX($AZ$5:$AZ$41,MATCH(25,$BB$5:$BB$41,0))=10,1,0),IF($BH25=10,1,0))</f>
        <v/>
      </c>
    </row>
    <row r="26" ht="15" customHeight="1">
      <c r="A26" s="649">
        <f>IF($BJ26&gt;0,INDEX($BA$5:$BA$41,MATCH(26,$BB$5:$BB$41,0)),IF(OR($BI26=1,$BH26&gt;0),"∑",""))</f>
        <v/>
      </c>
      <c r="B26" s="650">
        <f>IF($BJ26&gt;0,IF(INDEX('Final Calculation Sheet'!$F$4:$F$40,$BJ26-3)="","",INDEX('Final Calculation Sheet'!$F$4:$F$40,$BJ26-3)),"")</f>
        <v/>
      </c>
      <c r="C26" s="650">
        <f>IF($BJ26&gt;0,IF(INDEX('Final Calculation Sheet'!$G$4:$G$40,$BJ26-3)="","",INDEX('Final Calculation Sheet'!$G$4:$G$40,$BJ26-3)),IF(OR($BI26=1,$BH26&gt;0),IF($BI26=1,37,INDEX($BD$4:$BD$13,$BH26))&amp;" lot(s)",""))</f>
        <v/>
      </c>
      <c r="D26" s="651">
        <f>IF($BJ26&gt;0,IF(INDEX('Final Calculation Sheet'!$B$4:$B$40,$BJ26-3)="","",INDEX('Final Calculation Sheet'!$B$4:$B$40,$BJ26-3)),IF(OR($BI26=1,$BH26&gt;0),IF($BI26=1,"GRAND TOTAL  —  matching + remaining",IF($BH26=10,"REMAINING  —  did not match the search",IF($BH26=9,"ALL LOTS  —  nothing typed in the box","GROUP "&amp;$BH26&amp;" TOTAL  —  lots matching  "&amp;INDEX($AR$6:$AY$6,$BH26)))),""))</f>
        <v/>
      </c>
      <c r="E26" s="651">
        <f>IF($BJ26&gt;0,IF(INDEX('Final Calculation Sheet'!$D$4:$D$40,$BJ26-3)="","",INDEX('Final Calculation Sheet'!$D$4:$D$40,$BJ26-3)),IF(OR($BI26=1,$BH26&gt;0),"–",""))</f>
        <v/>
      </c>
      <c r="F26" s="651">
        <f>IF($BJ26&gt;0,IF(INDEX('Final Calculation Sheet'!$A$4:$A$40,$BJ26-3)="","",INDEX('Final Calculation Sheet'!$A$4:$A$40,$BJ26-3)),IF($BI26=1,SUM('Final Calculation Sheet'!$A$4:$A$40),IF($BH26&gt;0,SUMIFS('Final Calculation Sheet'!$A$4:$A$40,$AZ$5:$AZ$41,$BH26),"")))</f>
        <v/>
      </c>
      <c r="G26" s="651">
        <f>IF($BJ26&gt;0,IF(INDEX('Final Calculation Sheet'!$E$4:$E$40,$BJ26-3)="","",INDEX('Final Calculation Sheet'!$E$4:$E$40,$BJ26-3)),IF(OR($BI26=1,$BH26&gt;0),"–",""))</f>
        <v/>
      </c>
      <c r="H26" s="652">
        <f>IF($BJ26&gt;0,IF(INDEX('Final Calculation Sheet'!$C$4:$C$40,$BJ26-3)="","",INDEX('Final Calculation Sheet'!$C$4:$C$40,$BJ26-3)),IF(OR($BI26=1,$BH26&gt;0),"–",""))</f>
        <v/>
      </c>
      <c r="I26" s="652">
        <f>IF($BJ26&gt;0,IF(INDEX('Final Calculation Sheet'!$H$4:$H$40,$BJ26-3)="","",INDEX('Final Calculation Sheet'!$H$4:$H$40,$BJ26-3)),IF($BI26=1,SUM('Final Calculation Sheet'!$H$4:$H$40),IF($BH26&gt;0,SUMIFS('Final Calculation Sheet'!$H$4:$H$40,$AZ$5:$AZ$41,$BH26),"")))</f>
        <v/>
      </c>
      <c r="J26" s="652">
        <f>IF($BJ26&gt;0,IF(INDEX('Final Calculation Sheet'!$I$4:$I$40,$BJ26-3)="","",INDEX('Final Calculation Sheet'!$I$4:$I$40,$BJ26-3)),IF($BI26=1,SUM('Final Calculation Sheet'!$I$4:$I$40),IF($BH26&gt;0,SUMIFS('Final Calculation Sheet'!$I$4:$I$40,$AZ$5:$AZ$41,$BH26),"")))</f>
        <v/>
      </c>
      <c r="K26" s="652">
        <f>IF($BJ26&gt;0,IF(INDEX('Final Calculation Sheet'!$J$4:$J$40,$BJ26-3)="","",INDEX('Final Calculation Sheet'!$J$4:$J$40,$BJ26-3)),IF($BI26=1,SUM('Final Calculation Sheet'!$J$4:$J$40),IF($BH26&gt;0,SUMIFS('Final Calculation Sheet'!$J$4:$J$40,$AZ$5:$AZ$41,$BH26),"")))</f>
        <v/>
      </c>
      <c r="L26" s="652">
        <f>IF($BJ26&gt;0,IF(INDEX('Final Calculation Sheet'!$K$4:$K$40,$BJ26-3)="","",INDEX('Final Calculation Sheet'!$K$4:$K$40,$BJ26-3)),IF($BI26=1,SUM('Final Calculation Sheet'!$K$4:$K$40),IF($BH26&gt;0,SUMIFS('Final Calculation Sheet'!$K$4:$K$40,$AZ$5:$AZ$41,$BH26),"")))</f>
        <v/>
      </c>
      <c r="M26" s="652">
        <f>IF($BJ26&gt;0,IF(INDEX('Final Calculation Sheet'!$L$4:$L$40,$BJ26-3)="","",INDEX('Final Calculation Sheet'!$L$4:$L$40,$BJ26-3)),IF($BI26=1,SUM('Final Calculation Sheet'!$L$4:$L$40),IF($BH26&gt;0,SUMIFS('Final Calculation Sheet'!$L$4:$L$40,$AZ$5:$AZ$41,$BH26),"")))</f>
        <v/>
      </c>
      <c r="N26" s="652">
        <f>IF($BJ26&gt;0,IF(INDEX('Final Calculation Sheet'!$M$4:$M$40,$BJ26-3)="","",INDEX('Final Calculation Sheet'!$M$4:$M$40,$BJ26-3)),IF($BI26=1,SUM('Final Calculation Sheet'!$M$4:$M$40),IF($BH26&gt;0,SUMIFS('Final Calculation Sheet'!$M$4:$M$40,$AZ$5:$AZ$41,$BH26),"")))</f>
        <v/>
      </c>
      <c r="O26" s="653">
        <f>IF($BJ26&gt;0,IF(INDEX('Final Calculation Sheet'!$N$4:$N$40,$BJ26-3)="","",INDEX('Final Calculation Sheet'!$N$4:$N$40,$BJ26-3)),IF($BI26=1,SUM('Final Calculation Sheet'!$N$4:$N$40),IF($BH26&gt;0,SUMIFS('Final Calculation Sheet'!$N$4:$N$40,$AZ$5:$AZ$41,$BH26),"")))</f>
        <v/>
      </c>
      <c r="P26" s="652">
        <f>IF($BJ26&gt;0,IF(INDEX('Final Calculation Sheet'!$O$4:$O$40,$BJ26-3)="","",INDEX('Final Calculation Sheet'!$O$4:$O$40,$BJ26-3)),IF($BI26=1,SUM('Final Calculation Sheet'!$O$4:$O$40),IF($BH26&gt;0,SUMIFS('Final Calculation Sheet'!$O$4:$O$40,$AZ$5:$AZ$41,$BH26),"")))</f>
        <v/>
      </c>
      <c r="Q26" s="652">
        <f>IF($BJ26&gt;0,IF(INDEX('Final Calculation Sheet'!$P$4:$P$40,$BJ26-3)="","",INDEX('Final Calculation Sheet'!$P$4:$P$40,$BJ26-3)),IF($BI26=1,SUM('Final Calculation Sheet'!$P$4:$P$40),IF($BH26&gt;0,SUMIFS('Final Calculation Sheet'!$P$4:$P$40,$AZ$5:$AZ$41,$BH26),"")))</f>
        <v/>
      </c>
      <c r="R26" s="654">
        <f>IF($BJ26&gt;0,IF(INDEX('Final Calculation Sheet'!$Q$4:$Q$40,$BJ26-3)="","",INDEX('Final Calculation Sheet'!$Q$4:$Q$40,$BJ26-3)),IF(OR($BI26=1,$BH26&gt;0),"–",""))</f>
        <v/>
      </c>
      <c r="S26" s="652">
        <f>IF($BJ26&gt;0,IF(INDEX('Final Calculation Sheet'!$R$4:$R$40,$BJ26-3)="","",INDEX('Final Calculation Sheet'!$R$4:$R$40,$BJ26-3)),IF($BI26=1,SUM('Final Calculation Sheet'!$R$4:$R$40),IF($BH26&gt;0,SUMIFS('Final Calculation Sheet'!$R$4:$R$40,$AZ$5:$AZ$41,$BH26),"")))</f>
        <v/>
      </c>
      <c r="T26" s="652">
        <f>IF($BJ26&gt;0,IF(INDEX('Final Calculation Sheet'!$S$4:$S$40,$BJ26-3)="","",INDEX('Final Calculation Sheet'!$S$4:$S$40,$BJ26-3)),IF($BI26=1,SUM('Final Calculation Sheet'!$S$4:$S$40),IF($BH26&gt;0,SUMIFS('Final Calculation Sheet'!$S$4:$S$40,$AZ$5:$AZ$41,$BH26),"")))</f>
        <v/>
      </c>
      <c r="U26" s="652">
        <f>IF($BJ26&gt;0,IF(INDEX('Final Calculation Sheet'!$T$4:$T$40,$BJ26-3)="","",INDEX('Final Calculation Sheet'!$T$4:$T$40,$BJ26-3)),IF($BI26=1,SUM('Final Calculation Sheet'!$T$4:$T$40),IF($BH26&gt;0,SUMIFS('Final Calculation Sheet'!$T$4:$T$40,$AZ$5:$AZ$41,$BH26),"")))</f>
        <v/>
      </c>
      <c r="V26" s="655">
        <f>IF($BJ26&gt;0,IF(INDEX('Final Calculation Sheet'!$U$4:$U$40,$BJ26-3)="","",INDEX('Final Calculation Sheet'!$U$4:$U$40,$BJ26-3)),IF($BI26=1,SUM('Final Calculation Sheet'!$U$4:$U$40),IF($BH26&gt;0,SUMIFS('Final Calculation Sheet'!$U$4:$U$40,$AZ$5:$AZ$41,$BH26),"")))</f>
        <v/>
      </c>
      <c r="W26" s="652">
        <f>IF($BJ26&gt;0,IF(INDEX('Final Calculation Sheet'!$V$4:$V$40,$BJ26-3)="","",INDEX('Final Calculation Sheet'!$V$4:$V$40,$BJ26-3)),IF(OR($BI26=1,$BH26&gt;0),"–",""))</f>
        <v/>
      </c>
      <c r="X26" s="652">
        <f>IF($BJ26&gt;0,IF(INDEX('Final Calculation Sheet'!$W$4:$W$40,$BJ26-3)="","",INDEX('Final Calculation Sheet'!$W$4:$W$40,$BJ26-3)),IF($BI26=1,SUM('Final Calculation Sheet'!$W$4:$W$40),IF($BH26&gt;0,SUMIFS('Final Calculation Sheet'!$W$4:$W$40,$AZ$5:$AZ$41,$BH26),"")))</f>
        <v/>
      </c>
      <c r="Y26" s="652">
        <f>IF($BJ26&gt;0,IF(INDEX('Final Calculation Sheet'!$X$4:$X$40,$BJ26-3)="","",INDEX('Final Calculation Sheet'!$X$4:$X$40,$BJ26-3)),IF($BI26=1,SUM('Final Calculation Sheet'!$X$4:$X$40),IF($BH26&gt;0,SUMIFS('Final Calculation Sheet'!$X$4:$X$40,$AZ$5:$AZ$41,$BH26),"")))</f>
        <v/>
      </c>
      <c r="Z26" s="652">
        <f>IF($BJ26&gt;0,IF(INDEX('Final Calculation Sheet'!$Y$4:$Y$40,$BJ26-3)="","",INDEX('Final Calculation Sheet'!$Y$4:$Y$40,$BJ26-3)),IF(OR($BI26=1,$BH26&gt;0),"–",""))</f>
        <v/>
      </c>
      <c r="AA26" s="652">
        <f>IF($BJ26&gt;0,IF(INDEX('Final Calculation Sheet'!$Z$4:$Z$40,$BJ26-3)="","",INDEX('Final Calculation Sheet'!$Z$4:$Z$40,$BJ26-3)),IF($BI26=1,SUM('Final Calculation Sheet'!$Z$4:$Z$40),IF($BH26&gt;0,SUMIFS('Final Calculation Sheet'!$Z$4:$Z$40,$AZ$5:$AZ$41,$BH26),"")))</f>
        <v/>
      </c>
      <c r="AB26" s="652">
        <f>IF($BJ26&gt;0,IF(INDEX('Final Calculation Sheet'!$AA$4:$AA$40,$BJ26-3)="","",INDEX('Final Calculation Sheet'!$AA$4:$AA$40,$BJ26-3)),IF($BI26=1,SUM('Final Calculation Sheet'!$AA$4:$AA$40),IF($BH26&gt;0,SUMIFS('Final Calculation Sheet'!$AA$4:$AA$40,$AZ$5:$AZ$41,$BH26),"")))</f>
        <v/>
      </c>
      <c r="AC26" s="652">
        <f>IF($BJ26&gt;0,IF(INDEX('Final Calculation Sheet'!$AB$4:$AB$40,$BJ26-3)="","",INDEX('Final Calculation Sheet'!$AB$4:$AB$40,$BJ26-3)),IF(OR($BI26=1,$BH26&gt;0),"–",""))</f>
        <v/>
      </c>
      <c r="AD26" s="652">
        <f>IF($BJ26&gt;0,IF(INDEX('Final Calculation Sheet'!$AC$4:$AC$40,$BJ26-3)="","",INDEX('Final Calculation Sheet'!$AC$4:$AC$40,$BJ26-3)),IF($BI26=1,SUM('Final Calculation Sheet'!$AC$4:$AC$40),IF($BH26&gt;0,SUMIFS('Final Calculation Sheet'!$AC$4:$AC$40,$AZ$5:$AZ$41,$BH26),"")))</f>
        <v/>
      </c>
      <c r="AE26" s="652">
        <f>IF($BJ26&gt;0,IF(INDEX('Final Calculation Sheet'!$AD$4:$AD$40,$BJ26-3)="","",INDEX('Final Calculation Sheet'!$AD$4:$AD$40,$BJ26-3)),IF($BI26=1,SUM('Final Calculation Sheet'!$AD$4:$AD$40),IF($BH26&gt;0,SUMIFS('Final Calculation Sheet'!$AD$4:$AD$40,$AZ$5:$AZ$41,$BH26),"")))</f>
        <v/>
      </c>
      <c r="AF26" s="652">
        <f>IF($BJ26&gt;0,IF(INDEX('Final Calculation Sheet'!$AE$4:$AE$40,$BJ26-3)="","",INDEX('Final Calculation Sheet'!$AE$4:$AE$40,$BJ26-3)),IF(OR($BI26=1,$BH26&gt;0),"–",""))</f>
        <v/>
      </c>
      <c r="AG26" s="656">
        <f>IF($BJ26&gt;0,IF(INDEX('Final Calculation Sheet'!$AF$4:$AF$40,$BJ26-3)="","",INDEX('Final Calculation Sheet'!$AF$4:$AF$40,$BJ26-3)),IF(OR($BI26=1,$BH26&gt;0),"–",""))</f>
        <v/>
      </c>
      <c r="AH26" s="652">
        <f>IF($BJ26&gt;0,IF(INDEX('Final Calculation Sheet'!$AG$4:$AG$40,$BJ26-3)="","",INDEX('Final Calculation Sheet'!$AG$4:$AG$40,$BJ26-3)),IF(OR($BI26=1,$BH26&gt;0),"–",""))</f>
        <v/>
      </c>
      <c r="AI26" s="657">
        <f>IF($BJ26&gt;0,IF(INDEX('Final Calculation Sheet'!$AD$4:$AD$40,$BJ26-3)="","",IF(INDEX('Final Calculation Sheet'!$AD$4:$AD$40,$BJ26-3)&lt;=0,"SETTLED","OUTSTANDING")),IF(OR($BI26=1,$BH26&gt;0),IF(IF($BI26=1,SUM('Final Calculation Sheet'!$AD$4:$AD$40),SUMIFS('Final Calculation Sheet'!$AD$4:$AD$40,$AZ$5:$AZ$41,$BH26))&lt;=0,"ALL SETTLED","OUTSTANDING"),""))</f>
        <v/>
      </c>
      <c r="AK26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/>
      </c>
      <c r="AM26">
        <f>IF($B$3="",1,IF(AND(IF(COUNTIF($AR$9:$AY$9,1)=0,TRUE,SUMPRODUCT(($AR$9:$AY$9=1)*($AR$6:$AY$6&lt;&gt;"")*ISNUMBER(SEARCH($AR$6:$AY$6,$AK26)))&gt;0),IF(COUNTIF($AR$9:$AY$9,2)=0,TRUE,SUMPRODUCT(($AR$9:$AY$9=2)*($AR$6:$AY$6&lt;&gt;"")*ISNUMBER(SEARCH($AR$6:$AY$6,$AK26)))&gt;0),IF(COUNTIF($AR$9:$AY$9,3)=0,TRUE,SUMPRODUCT(($AR$9:$AY$9=3)*($AR$6:$AY$6&lt;&gt;"")*ISNUMBER(SEARCH($AR$6:$AY$6,$AK26)))&gt;0),IF(COUNTIF($AR$9:$AY$9,4)=0,TRUE,SUMPRODUCT(($AR$9:$AY$9=4)*($AR$6:$AY$6&lt;&gt;"")*ISNUMBER(SEARCH($AR$6:$AY$6,$AK26)))&gt;0),IF(COUNTIF($AR$9:$AY$9,5)=0,TRUE,SUMPRODUCT(($AR$9:$AY$9=5)*($AR$6:$AY$6&lt;&gt;"")*ISNUMBER(SEARCH($AR$6:$AY$6,$AK26)))&gt;0),IF(COUNTIF($AR$9:$AY$9,6)=0,TRUE,SUMPRODUCT(($AR$9:$AY$9=6)*($AR$6:$AY$6&lt;&gt;"")*ISNUMBER(SEARCH($AR$6:$AY$6,$AK26)))&gt;0),IF(COUNTIF($AR$9:$AY$9,7)=0,TRUE,SUMPRODUCT(($AR$9:$AY$9=7)*($AR$6:$AY$6&lt;&gt;"")*ISNUMBER(SEARCH($AR$6:$AY$6,$AK26)))&gt;0),IF(COUNTIF($AR$9:$AY$9,8)=0,TRUE,SUMPRODUCT(($AR$9:$AY$9=8)*($AR$6:$AY$6&lt;&gt;"")*ISNUMBER(SEARCH($AR$6:$AY$6,$AK26)))&gt;0)),1,0))</f>
        <v/>
      </c>
      <c r="AZ26">
        <f>IF($B$3="",9,IF($AM26=0,10,IF(AND($AR$6&lt;&gt;"",ISNUMBER(SEARCH($AR$6,$AK26))),1,IF(AND($AS$6&lt;&gt;"",ISNUMBER(SEARCH($AS$6,$AK26))),2,IF(AND($AT$6&lt;&gt;"",ISNUMBER(SEARCH($AT$6,$AK26))),3,IF(AND($AU$6&lt;&gt;"",ISNUMBER(SEARCH($AU$6,$AK26))),4,IF(AND($AV$6&lt;&gt;"",ISNUMBER(SEARCH($AV$6,$AK26))),5,IF(AND($AW$6&lt;&gt;"",ISNUMBER(SEARCH($AW$6,$AK26))),6,IF(AND($AX$6&lt;&gt;"",ISNUMBER(SEARCH($AX$6,$AK26))),7,IF(AND($AY$6&lt;&gt;"",ISNUMBER(SEARCH($AY$6,$AK26))),8,0))))))))))</f>
        <v/>
      </c>
      <c r="BA26">
        <f>SUMPRODUCT(($AZ$5:$AZ$41=$AZ26)*($BC$5:$BC$41&lt;$BC26))+1</f>
        <v/>
      </c>
      <c r="BB26">
        <f>IF(INDEX($BF$4:$BF$13,$AZ26)=0,0,INDEX($BE$4:$BE$13,$AZ26)+$BA26-1)</f>
        <v/>
      </c>
      <c r="BC26" t="n">
        <v>25</v>
      </c>
      <c r="BH26">
        <f>IFERROR(MATCH(26,$BF$4:$BF$13,0),0)</f>
        <v/>
      </c>
      <c r="BI26">
        <f>IF(26=$BG$4,1,0)</f>
        <v/>
      </c>
      <c r="BJ26">
        <f>IF(OR($BH26&gt;0,$BI26=1),0,IFERROR(INDEX($BC$5:$BC$41,MATCH(26,$BB$5:$BB$41,0)),0))</f>
        <v/>
      </c>
      <c r="BK26">
        <f>IF($BJ26&gt;0,IF(INDEX($AZ$5:$AZ$41,MATCH(26,$BB$5:$BB$41,0))=10,1,0),IF($BH26=10,1,0))</f>
        <v/>
      </c>
    </row>
    <row r="27" ht="15" customHeight="1">
      <c r="A27" s="649">
        <f>IF($BJ27&gt;0,INDEX($BA$5:$BA$41,MATCH(27,$BB$5:$BB$41,0)),IF(OR($BI27=1,$BH27&gt;0),"∑",""))</f>
        <v/>
      </c>
      <c r="B27" s="650">
        <f>IF($BJ27&gt;0,IF(INDEX('Final Calculation Sheet'!$F$4:$F$40,$BJ27-3)="","",INDEX('Final Calculation Sheet'!$F$4:$F$40,$BJ27-3)),"")</f>
        <v/>
      </c>
      <c r="C27" s="650">
        <f>IF($BJ27&gt;0,IF(INDEX('Final Calculation Sheet'!$G$4:$G$40,$BJ27-3)="","",INDEX('Final Calculation Sheet'!$G$4:$G$40,$BJ27-3)),IF(OR($BI27=1,$BH27&gt;0),IF($BI27=1,37,INDEX($BD$4:$BD$13,$BH27))&amp;" lot(s)",""))</f>
        <v/>
      </c>
      <c r="D27" s="651">
        <f>IF($BJ27&gt;0,IF(INDEX('Final Calculation Sheet'!$B$4:$B$40,$BJ27-3)="","",INDEX('Final Calculation Sheet'!$B$4:$B$40,$BJ27-3)),IF(OR($BI27=1,$BH27&gt;0),IF($BI27=1,"GRAND TOTAL  —  matching + remaining",IF($BH27=10,"REMAINING  —  did not match the search",IF($BH27=9,"ALL LOTS  —  nothing typed in the box","GROUP "&amp;$BH27&amp;" TOTAL  —  lots matching  "&amp;INDEX($AR$6:$AY$6,$BH27)))),""))</f>
        <v/>
      </c>
      <c r="E27" s="651">
        <f>IF($BJ27&gt;0,IF(INDEX('Final Calculation Sheet'!$D$4:$D$40,$BJ27-3)="","",INDEX('Final Calculation Sheet'!$D$4:$D$40,$BJ27-3)),IF(OR($BI27=1,$BH27&gt;0),"–",""))</f>
        <v/>
      </c>
      <c r="F27" s="651">
        <f>IF($BJ27&gt;0,IF(INDEX('Final Calculation Sheet'!$A$4:$A$40,$BJ27-3)="","",INDEX('Final Calculation Sheet'!$A$4:$A$40,$BJ27-3)),IF($BI27=1,SUM('Final Calculation Sheet'!$A$4:$A$40),IF($BH27&gt;0,SUMIFS('Final Calculation Sheet'!$A$4:$A$40,$AZ$5:$AZ$41,$BH27),"")))</f>
        <v/>
      </c>
      <c r="G27" s="651">
        <f>IF($BJ27&gt;0,IF(INDEX('Final Calculation Sheet'!$E$4:$E$40,$BJ27-3)="","",INDEX('Final Calculation Sheet'!$E$4:$E$40,$BJ27-3)),IF(OR($BI27=1,$BH27&gt;0),"–",""))</f>
        <v/>
      </c>
      <c r="H27" s="652">
        <f>IF($BJ27&gt;0,IF(INDEX('Final Calculation Sheet'!$C$4:$C$40,$BJ27-3)="","",INDEX('Final Calculation Sheet'!$C$4:$C$40,$BJ27-3)),IF(OR($BI27=1,$BH27&gt;0),"–",""))</f>
        <v/>
      </c>
      <c r="I27" s="652">
        <f>IF($BJ27&gt;0,IF(INDEX('Final Calculation Sheet'!$H$4:$H$40,$BJ27-3)="","",INDEX('Final Calculation Sheet'!$H$4:$H$40,$BJ27-3)),IF($BI27=1,SUM('Final Calculation Sheet'!$H$4:$H$40),IF($BH27&gt;0,SUMIFS('Final Calculation Sheet'!$H$4:$H$40,$AZ$5:$AZ$41,$BH27),"")))</f>
        <v/>
      </c>
      <c r="J27" s="652">
        <f>IF($BJ27&gt;0,IF(INDEX('Final Calculation Sheet'!$I$4:$I$40,$BJ27-3)="","",INDEX('Final Calculation Sheet'!$I$4:$I$40,$BJ27-3)),IF($BI27=1,SUM('Final Calculation Sheet'!$I$4:$I$40),IF($BH27&gt;0,SUMIFS('Final Calculation Sheet'!$I$4:$I$40,$AZ$5:$AZ$41,$BH27),"")))</f>
        <v/>
      </c>
      <c r="K27" s="652">
        <f>IF($BJ27&gt;0,IF(INDEX('Final Calculation Sheet'!$J$4:$J$40,$BJ27-3)="","",INDEX('Final Calculation Sheet'!$J$4:$J$40,$BJ27-3)),IF($BI27=1,SUM('Final Calculation Sheet'!$J$4:$J$40),IF($BH27&gt;0,SUMIFS('Final Calculation Sheet'!$J$4:$J$40,$AZ$5:$AZ$41,$BH27),"")))</f>
        <v/>
      </c>
      <c r="L27" s="652">
        <f>IF($BJ27&gt;0,IF(INDEX('Final Calculation Sheet'!$K$4:$K$40,$BJ27-3)="","",INDEX('Final Calculation Sheet'!$K$4:$K$40,$BJ27-3)),IF($BI27=1,SUM('Final Calculation Sheet'!$K$4:$K$40),IF($BH27&gt;0,SUMIFS('Final Calculation Sheet'!$K$4:$K$40,$AZ$5:$AZ$41,$BH27),"")))</f>
        <v/>
      </c>
      <c r="M27" s="652">
        <f>IF($BJ27&gt;0,IF(INDEX('Final Calculation Sheet'!$L$4:$L$40,$BJ27-3)="","",INDEX('Final Calculation Sheet'!$L$4:$L$40,$BJ27-3)),IF($BI27=1,SUM('Final Calculation Sheet'!$L$4:$L$40),IF($BH27&gt;0,SUMIFS('Final Calculation Sheet'!$L$4:$L$40,$AZ$5:$AZ$41,$BH27),"")))</f>
        <v/>
      </c>
      <c r="N27" s="652">
        <f>IF($BJ27&gt;0,IF(INDEX('Final Calculation Sheet'!$M$4:$M$40,$BJ27-3)="","",INDEX('Final Calculation Sheet'!$M$4:$M$40,$BJ27-3)),IF($BI27=1,SUM('Final Calculation Sheet'!$M$4:$M$40),IF($BH27&gt;0,SUMIFS('Final Calculation Sheet'!$M$4:$M$40,$AZ$5:$AZ$41,$BH27),"")))</f>
        <v/>
      </c>
      <c r="O27" s="653">
        <f>IF($BJ27&gt;0,IF(INDEX('Final Calculation Sheet'!$N$4:$N$40,$BJ27-3)="","",INDEX('Final Calculation Sheet'!$N$4:$N$40,$BJ27-3)),IF($BI27=1,SUM('Final Calculation Sheet'!$N$4:$N$40),IF($BH27&gt;0,SUMIFS('Final Calculation Sheet'!$N$4:$N$40,$AZ$5:$AZ$41,$BH27),"")))</f>
        <v/>
      </c>
      <c r="P27" s="652">
        <f>IF($BJ27&gt;0,IF(INDEX('Final Calculation Sheet'!$O$4:$O$40,$BJ27-3)="","",INDEX('Final Calculation Sheet'!$O$4:$O$40,$BJ27-3)),IF($BI27=1,SUM('Final Calculation Sheet'!$O$4:$O$40),IF($BH27&gt;0,SUMIFS('Final Calculation Sheet'!$O$4:$O$40,$AZ$5:$AZ$41,$BH27),"")))</f>
        <v/>
      </c>
      <c r="Q27" s="652">
        <f>IF($BJ27&gt;0,IF(INDEX('Final Calculation Sheet'!$P$4:$P$40,$BJ27-3)="","",INDEX('Final Calculation Sheet'!$P$4:$P$40,$BJ27-3)),IF($BI27=1,SUM('Final Calculation Sheet'!$P$4:$P$40),IF($BH27&gt;0,SUMIFS('Final Calculation Sheet'!$P$4:$P$40,$AZ$5:$AZ$41,$BH27),"")))</f>
        <v/>
      </c>
      <c r="R27" s="654">
        <f>IF($BJ27&gt;0,IF(INDEX('Final Calculation Sheet'!$Q$4:$Q$40,$BJ27-3)="","",INDEX('Final Calculation Sheet'!$Q$4:$Q$40,$BJ27-3)),IF(OR($BI27=1,$BH27&gt;0),"–",""))</f>
        <v/>
      </c>
      <c r="S27" s="652">
        <f>IF($BJ27&gt;0,IF(INDEX('Final Calculation Sheet'!$R$4:$R$40,$BJ27-3)="","",INDEX('Final Calculation Sheet'!$R$4:$R$40,$BJ27-3)),IF($BI27=1,SUM('Final Calculation Sheet'!$R$4:$R$40),IF($BH27&gt;0,SUMIFS('Final Calculation Sheet'!$R$4:$R$40,$AZ$5:$AZ$41,$BH27),"")))</f>
        <v/>
      </c>
      <c r="T27" s="652">
        <f>IF($BJ27&gt;0,IF(INDEX('Final Calculation Sheet'!$S$4:$S$40,$BJ27-3)="","",INDEX('Final Calculation Sheet'!$S$4:$S$40,$BJ27-3)),IF($BI27=1,SUM('Final Calculation Sheet'!$S$4:$S$40),IF($BH27&gt;0,SUMIFS('Final Calculation Sheet'!$S$4:$S$40,$AZ$5:$AZ$41,$BH27),"")))</f>
        <v/>
      </c>
      <c r="U27" s="652">
        <f>IF($BJ27&gt;0,IF(INDEX('Final Calculation Sheet'!$T$4:$T$40,$BJ27-3)="","",INDEX('Final Calculation Sheet'!$T$4:$T$40,$BJ27-3)),IF($BI27=1,SUM('Final Calculation Sheet'!$T$4:$T$40),IF($BH27&gt;0,SUMIFS('Final Calculation Sheet'!$T$4:$T$40,$AZ$5:$AZ$41,$BH27),"")))</f>
        <v/>
      </c>
      <c r="V27" s="655">
        <f>IF($BJ27&gt;0,IF(INDEX('Final Calculation Sheet'!$U$4:$U$40,$BJ27-3)="","",INDEX('Final Calculation Sheet'!$U$4:$U$40,$BJ27-3)),IF($BI27=1,SUM('Final Calculation Sheet'!$U$4:$U$40),IF($BH27&gt;0,SUMIFS('Final Calculation Sheet'!$U$4:$U$40,$AZ$5:$AZ$41,$BH27),"")))</f>
        <v/>
      </c>
      <c r="W27" s="652">
        <f>IF($BJ27&gt;0,IF(INDEX('Final Calculation Sheet'!$V$4:$V$40,$BJ27-3)="","",INDEX('Final Calculation Sheet'!$V$4:$V$40,$BJ27-3)),IF(OR($BI27=1,$BH27&gt;0),"–",""))</f>
        <v/>
      </c>
      <c r="X27" s="652">
        <f>IF($BJ27&gt;0,IF(INDEX('Final Calculation Sheet'!$W$4:$W$40,$BJ27-3)="","",INDEX('Final Calculation Sheet'!$W$4:$W$40,$BJ27-3)),IF($BI27=1,SUM('Final Calculation Sheet'!$W$4:$W$40),IF($BH27&gt;0,SUMIFS('Final Calculation Sheet'!$W$4:$W$40,$AZ$5:$AZ$41,$BH27),"")))</f>
        <v/>
      </c>
      <c r="Y27" s="652">
        <f>IF($BJ27&gt;0,IF(INDEX('Final Calculation Sheet'!$X$4:$X$40,$BJ27-3)="","",INDEX('Final Calculation Sheet'!$X$4:$X$40,$BJ27-3)),IF($BI27=1,SUM('Final Calculation Sheet'!$X$4:$X$40),IF($BH27&gt;0,SUMIFS('Final Calculation Sheet'!$X$4:$X$40,$AZ$5:$AZ$41,$BH27),"")))</f>
        <v/>
      </c>
      <c r="Z27" s="652">
        <f>IF($BJ27&gt;0,IF(INDEX('Final Calculation Sheet'!$Y$4:$Y$40,$BJ27-3)="","",INDEX('Final Calculation Sheet'!$Y$4:$Y$40,$BJ27-3)),IF(OR($BI27=1,$BH27&gt;0),"–",""))</f>
        <v/>
      </c>
      <c r="AA27" s="652">
        <f>IF($BJ27&gt;0,IF(INDEX('Final Calculation Sheet'!$Z$4:$Z$40,$BJ27-3)="","",INDEX('Final Calculation Sheet'!$Z$4:$Z$40,$BJ27-3)),IF($BI27=1,SUM('Final Calculation Sheet'!$Z$4:$Z$40),IF($BH27&gt;0,SUMIFS('Final Calculation Sheet'!$Z$4:$Z$40,$AZ$5:$AZ$41,$BH27),"")))</f>
        <v/>
      </c>
      <c r="AB27" s="652">
        <f>IF($BJ27&gt;0,IF(INDEX('Final Calculation Sheet'!$AA$4:$AA$40,$BJ27-3)="","",INDEX('Final Calculation Sheet'!$AA$4:$AA$40,$BJ27-3)),IF($BI27=1,SUM('Final Calculation Sheet'!$AA$4:$AA$40),IF($BH27&gt;0,SUMIFS('Final Calculation Sheet'!$AA$4:$AA$40,$AZ$5:$AZ$41,$BH27),"")))</f>
        <v/>
      </c>
      <c r="AC27" s="652">
        <f>IF($BJ27&gt;0,IF(INDEX('Final Calculation Sheet'!$AB$4:$AB$40,$BJ27-3)="","",INDEX('Final Calculation Sheet'!$AB$4:$AB$40,$BJ27-3)),IF(OR($BI27=1,$BH27&gt;0),"–",""))</f>
        <v/>
      </c>
      <c r="AD27" s="652">
        <f>IF($BJ27&gt;0,IF(INDEX('Final Calculation Sheet'!$AC$4:$AC$40,$BJ27-3)="","",INDEX('Final Calculation Sheet'!$AC$4:$AC$40,$BJ27-3)),IF($BI27=1,SUM('Final Calculation Sheet'!$AC$4:$AC$40),IF($BH27&gt;0,SUMIFS('Final Calculation Sheet'!$AC$4:$AC$40,$AZ$5:$AZ$41,$BH27),"")))</f>
        <v/>
      </c>
      <c r="AE27" s="652">
        <f>IF($BJ27&gt;0,IF(INDEX('Final Calculation Sheet'!$AD$4:$AD$40,$BJ27-3)="","",INDEX('Final Calculation Sheet'!$AD$4:$AD$40,$BJ27-3)),IF($BI27=1,SUM('Final Calculation Sheet'!$AD$4:$AD$40),IF($BH27&gt;0,SUMIFS('Final Calculation Sheet'!$AD$4:$AD$40,$AZ$5:$AZ$41,$BH27),"")))</f>
        <v/>
      </c>
      <c r="AF27" s="652">
        <f>IF($BJ27&gt;0,IF(INDEX('Final Calculation Sheet'!$AE$4:$AE$40,$BJ27-3)="","",INDEX('Final Calculation Sheet'!$AE$4:$AE$40,$BJ27-3)),IF(OR($BI27=1,$BH27&gt;0),"–",""))</f>
        <v/>
      </c>
      <c r="AG27" s="656">
        <f>IF($BJ27&gt;0,IF(INDEX('Final Calculation Sheet'!$AF$4:$AF$40,$BJ27-3)="","",INDEX('Final Calculation Sheet'!$AF$4:$AF$40,$BJ27-3)),IF(OR($BI27=1,$BH27&gt;0),"–",""))</f>
        <v/>
      </c>
      <c r="AH27" s="652">
        <f>IF($BJ27&gt;0,IF(INDEX('Final Calculation Sheet'!$AG$4:$AG$40,$BJ27-3)="","",INDEX('Final Calculation Sheet'!$AG$4:$AG$40,$BJ27-3)),IF(OR($BI27=1,$BH27&gt;0),"–",""))</f>
        <v/>
      </c>
      <c r="AI27" s="657">
        <f>IF($BJ27&gt;0,IF(INDEX('Final Calculation Sheet'!$AD$4:$AD$40,$BJ27-3)="","",IF(INDEX('Final Calculation Sheet'!$AD$4:$AD$40,$BJ27-3)&lt;=0,"SETTLED","OUTSTANDING")),IF(OR($BI27=1,$BH27&gt;0),IF(IF($BI27=1,SUM('Final Calculation Sheet'!$AD$4:$AD$40),SUMIFS('Final Calculation Sheet'!$AD$4:$AD$40,$AZ$5:$AZ$41,$BH27))&lt;=0,"ALL SETTLED","OUTSTANDING"),""))</f>
        <v/>
      </c>
      <c r="AK27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/>
      </c>
      <c r="AM27">
        <f>IF($B$3="",1,IF(AND(IF(COUNTIF($AR$9:$AY$9,1)=0,TRUE,SUMPRODUCT(($AR$9:$AY$9=1)*($AR$6:$AY$6&lt;&gt;"")*ISNUMBER(SEARCH($AR$6:$AY$6,$AK27)))&gt;0),IF(COUNTIF($AR$9:$AY$9,2)=0,TRUE,SUMPRODUCT(($AR$9:$AY$9=2)*($AR$6:$AY$6&lt;&gt;"")*ISNUMBER(SEARCH($AR$6:$AY$6,$AK27)))&gt;0),IF(COUNTIF($AR$9:$AY$9,3)=0,TRUE,SUMPRODUCT(($AR$9:$AY$9=3)*($AR$6:$AY$6&lt;&gt;"")*ISNUMBER(SEARCH($AR$6:$AY$6,$AK27)))&gt;0),IF(COUNTIF($AR$9:$AY$9,4)=0,TRUE,SUMPRODUCT(($AR$9:$AY$9=4)*($AR$6:$AY$6&lt;&gt;"")*ISNUMBER(SEARCH($AR$6:$AY$6,$AK27)))&gt;0),IF(COUNTIF($AR$9:$AY$9,5)=0,TRUE,SUMPRODUCT(($AR$9:$AY$9=5)*($AR$6:$AY$6&lt;&gt;"")*ISNUMBER(SEARCH($AR$6:$AY$6,$AK27)))&gt;0),IF(COUNTIF($AR$9:$AY$9,6)=0,TRUE,SUMPRODUCT(($AR$9:$AY$9=6)*($AR$6:$AY$6&lt;&gt;"")*ISNUMBER(SEARCH($AR$6:$AY$6,$AK27)))&gt;0),IF(COUNTIF($AR$9:$AY$9,7)=0,TRUE,SUMPRODUCT(($AR$9:$AY$9=7)*($AR$6:$AY$6&lt;&gt;"")*ISNUMBER(SEARCH($AR$6:$AY$6,$AK27)))&gt;0),IF(COUNTIF($AR$9:$AY$9,8)=0,TRUE,SUMPRODUCT(($AR$9:$AY$9=8)*($AR$6:$AY$6&lt;&gt;"")*ISNUMBER(SEARCH($AR$6:$AY$6,$AK27)))&gt;0)),1,0))</f>
        <v/>
      </c>
      <c r="AZ27">
        <f>IF($B$3="",9,IF($AM27=0,10,IF(AND($AR$6&lt;&gt;"",ISNUMBER(SEARCH($AR$6,$AK27))),1,IF(AND($AS$6&lt;&gt;"",ISNUMBER(SEARCH($AS$6,$AK27))),2,IF(AND($AT$6&lt;&gt;"",ISNUMBER(SEARCH($AT$6,$AK27))),3,IF(AND($AU$6&lt;&gt;"",ISNUMBER(SEARCH($AU$6,$AK27))),4,IF(AND($AV$6&lt;&gt;"",ISNUMBER(SEARCH($AV$6,$AK27))),5,IF(AND($AW$6&lt;&gt;"",ISNUMBER(SEARCH($AW$6,$AK27))),6,IF(AND($AX$6&lt;&gt;"",ISNUMBER(SEARCH($AX$6,$AK27))),7,IF(AND($AY$6&lt;&gt;"",ISNUMBER(SEARCH($AY$6,$AK27))),8,0))))))))))</f>
        <v/>
      </c>
      <c r="BA27">
        <f>SUMPRODUCT(($AZ$5:$AZ$41=$AZ27)*($BC$5:$BC$41&lt;$BC27))+1</f>
        <v/>
      </c>
      <c r="BB27">
        <f>IF(INDEX($BF$4:$BF$13,$AZ27)=0,0,INDEX($BE$4:$BE$13,$AZ27)+$BA27-1)</f>
        <v/>
      </c>
      <c r="BC27" t="n">
        <v>26</v>
      </c>
      <c r="BH27">
        <f>IFERROR(MATCH(27,$BF$4:$BF$13,0),0)</f>
        <v/>
      </c>
      <c r="BI27">
        <f>IF(27=$BG$4,1,0)</f>
        <v/>
      </c>
      <c r="BJ27">
        <f>IF(OR($BH27&gt;0,$BI27=1),0,IFERROR(INDEX($BC$5:$BC$41,MATCH(27,$BB$5:$BB$41,0)),0))</f>
        <v/>
      </c>
      <c r="BK27">
        <f>IF($BJ27&gt;0,IF(INDEX($AZ$5:$AZ$41,MATCH(27,$BB$5:$BB$41,0))=10,1,0),IF($BH27=10,1,0))</f>
        <v/>
      </c>
    </row>
    <row r="28" ht="15" customHeight="1">
      <c r="A28" s="649">
        <f>IF($BJ28&gt;0,INDEX($BA$5:$BA$41,MATCH(28,$BB$5:$BB$41,0)),IF(OR($BI28=1,$BH28&gt;0),"∑",""))</f>
        <v/>
      </c>
      <c r="B28" s="650">
        <f>IF($BJ28&gt;0,IF(INDEX('Final Calculation Sheet'!$F$4:$F$40,$BJ28-3)="","",INDEX('Final Calculation Sheet'!$F$4:$F$40,$BJ28-3)),"")</f>
        <v/>
      </c>
      <c r="C28" s="650">
        <f>IF($BJ28&gt;0,IF(INDEX('Final Calculation Sheet'!$G$4:$G$40,$BJ28-3)="","",INDEX('Final Calculation Sheet'!$G$4:$G$40,$BJ28-3)),IF(OR($BI28=1,$BH28&gt;0),IF($BI28=1,37,INDEX($BD$4:$BD$13,$BH28))&amp;" lot(s)",""))</f>
        <v/>
      </c>
      <c r="D28" s="651">
        <f>IF($BJ28&gt;0,IF(INDEX('Final Calculation Sheet'!$B$4:$B$40,$BJ28-3)="","",INDEX('Final Calculation Sheet'!$B$4:$B$40,$BJ28-3)),IF(OR($BI28=1,$BH28&gt;0),IF($BI28=1,"GRAND TOTAL  —  matching + remaining",IF($BH28=10,"REMAINING  —  did not match the search",IF($BH28=9,"ALL LOTS  —  nothing typed in the box","GROUP "&amp;$BH28&amp;" TOTAL  —  lots matching  "&amp;INDEX($AR$6:$AY$6,$BH28)))),""))</f>
        <v/>
      </c>
      <c r="E28" s="651">
        <f>IF($BJ28&gt;0,IF(INDEX('Final Calculation Sheet'!$D$4:$D$40,$BJ28-3)="","",INDEX('Final Calculation Sheet'!$D$4:$D$40,$BJ28-3)),IF(OR($BI28=1,$BH28&gt;0),"–",""))</f>
        <v/>
      </c>
      <c r="F28" s="651">
        <f>IF($BJ28&gt;0,IF(INDEX('Final Calculation Sheet'!$A$4:$A$40,$BJ28-3)="","",INDEX('Final Calculation Sheet'!$A$4:$A$40,$BJ28-3)),IF($BI28=1,SUM('Final Calculation Sheet'!$A$4:$A$40),IF($BH28&gt;0,SUMIFS('Final Calculation Sheet'!$A$4:$A$40,$AZ$5:$AZ$41,$BH28),"")))</f>
        <v/>
      </c>
      <c r="G28" s="651">
        <f>IF($BJ28&gt;0,IF(INDEX('Final Calculation Sheet'!$E$4:$E$40,$BJ28-3)="","",INDEX('Final Calculation Sheet'!$E$4:$E$40,$BJ28-3)),IF(OR($BI28=1,$BH28&gt;0),"–",""))</f>
        <v/>
      </c>
      <c r="H28" s="652">
        <f>IF($BJ28&gt;0,IF(INDEX('Final Calculation Sheet'!$C$4:$C$40,$BJ28-3)="","",INDEX('Final Calculation Sheet'!$C$4:$C$40,$BJ28-3)),IF(OR($BI28=1,$BH28&gt;0),"–",""))</f>
        <v/>
      </c>
      <c r="I28" s="652">
        <f>IF($BJ28&gt;0,IF(INDEX('Final Calculation Sheet'!$H$4:$H$40,$BJ28-3)="","",INDEX('Final Calculation Sheet'!$H$4:$H$40,$BJ28-3)),IF($BI28=1,SUM('Final Calculation Sheet'!$H$4:$H$40),IF($BH28&gt;0,SUMIFS('Final Calculation Sheet'!$H$4:$H$40,$AZ$5:$AZ$41,$BH28),"")))</f>
        <v/>
      </c>
      <c r="J28" s="652">
        <f>IF($BJ28&gt;0,IF(INDEX('Final Calculation Sheet'!$I$4:$I$40,$BJ28-3)="","",INDEX('Final Calculation Sheet'!$I$4:$I$40,$BJ28-3)),IF($BI28=1,SUM('Final Calculation Sheet'!$I$4:$I$40),IF($BH28&gt;0,SUMIFS('Final Calculation Sheet'!$I$4:$I$40,$AZ$5:$AZ$41,$BH28),"")))</f>
        <v/>
      </c>
      <c r="K28" s="652">
        <f>IF($BJ28&gt;0,IF(INDEX('Final Calculation Sheet'!$J$4:$J$40,$BJ28-3)="","",INDEX('Final Calculation Sheet'!$J$4:$J$40,$BJ28-3)),IF($BI28=1,SUM('Final Calculation Sheet'!$J$4:$J$40),IF($BH28&gt;0,SUMIFS('Final Calculation Sheet'!$J$4:$J$40,$AZ$5:$AZ$41,$BH28),"")))</f>
        <v/>
      </c>
      <c r="L28" s="652">
        <f>IF($BJ28&gt;0,IF(INDEX('Final Calculation Sheet'!$K$4:$K$40,$BJ28-3)="","",INDEX('Final Calculation Sheet'!$K$4:$K$40,$BJ28-3)),IF($BI28=1,SUM('Final Calculation Sheet'!$K$4:$K$40),IF($BH28&gt;0,SUMIFS('Final Calculation Sheet'!$K$4:$K$40,$AZ$5:$AZ$41,$BH28),"")))</f>
        <v/>
      </c>
      <c r="M28" s="652">
        <f>IF($BJ28&gt;0,IF(INDEX('Final Calculation Sheet'!$L$4:$L$40,$BJ28-3)="","",INDEX('Final Calculation Sheet'!$L$4:$L$40,$BJ28-3)),IF($BI28=1,SUM('Final Calculation Sheet'!$L$4:$L$40),IF($BH28&gt;0,SUMIFS('Final Calculation Sheet'!$L$4:$L$40,$AZ$5:$AZ$41,$BH28),"")))</f>
        <v/>
      </c>
      <c r="N28" s="652">
        <f>IF($BJ28&gt;0,IF(INDEX('Final Calculation Sheet'!$M$4:$M$40,$BJ28-3)="","",INDEX('Final Calculation Sheet'!$M$4:$M$40,$BJ28-3)),IF($BI28=1,SUM('Final Calculation Sheet'!$M$4:$M$40),IF($BH28&gt;0,SUMIFS('Final Calculation Sheet'!$M$4:$M$40,$AZ$5:$AZ$41,$BH28),"")))</f>
        <v/>
      </c>
      <c r="O28" s="653">
        <f>IF($BJ28&gt;0,IF(INDEX('Final Calculation Sheet'!$N$4:$N$40,$BJ28-3)="","",INDEX('Final Calculation Sheet'!$N$4:$N$40,$BJ28-3)),IF($BI28=1,SUM('Final Calculation Sheet'!$N$4:$N$40),IF($BH28&gt;0,SUMIFS('Final Calculation Sheet'!$N$4:$N$40,$AZ$5:$AZ$41,$BH28),"")))</f>
        <v/>
      </c>
      <c r="P28" s="652">
        <f>IF($BJ28&gt;0,IF(INDEX('Final Calculation Sheet'!$O$4:$O$40,$BJ28-3)="","",INDEX('Final Calculation Sheet'!$O$4:$O$40,$BJ28-3)),IF($BI28=1,SUM('Final Calculation Sheet'!$O$4:$O$40),IF($BH28&gt;0,SUMIFS('Final Calculation Sheet'!$O$4:$O$40,$AZ$5:$AZ$41,$BH28),"")))</f>
        <v/>
      </c>
      <c r="Q28" s="652">
        <f>IF($BJ28&gt;0,IF(INDEX('Final Calculation Sheet'!$P$4:$P$40,$BJ28-3)="","",INDEX('Final Calculation Sheet'!$P$4:$P$40,$BJ28-3)),IF($BI28=1,SUM('Final Calculation Sheet'!$P$4:$P$40),IF($BH28&gt;0,SUMIFS('Final Calculation Sheet'!$P$4:$P$40,$AZ$5:$AZ$41,$BH28),"")))</f>
        <v/>
      </c>
      <c r="R28" s="654">
        <f>IF($BJ28&gt;0,IF(INDEX('Final Calculation Sheet'!$Q$4:$Q$40,$BJ28-3)="","",INDEX('Final Calculation Sheet'!$Q$4:$Q$40,$BJ28-3)),IF(OR($BI28=1,$BH28&gt;0),"–",""))</f>
        <v/>
      </c>
      <c r="S28" s="652">
        <f>IF($BJ28&gt;0,IF(INDEX('Final Calculation Sheet'!$R$4:$R$40,$BJ28-3)="","",INDEX('Final Calculation Sheet'!$R$4:$R$40,$BJ28-3)),IF($BI28=1,SUM('Final Calculation Sheet'!$R$4:$R$40),IF($BH28&gt;0,SUMIFS('Final Calculation Sheet'!$R$4:$R$40,$AZ$5:$AZ$41,$BH28),"")))</f>
        <v/>
      </c>
      <c r="T28" s="652">
        <f>IF($BJ28&gt;0,IF(INDEX('Final Calculation Sheet'!$S$4:$S$40,$BJ28-3)="","",INDEX('Final Calculation Sheet'!$S$4:$S$40,$BJ28-3)),IF($BI28=1,SUM('Final Calculation Sheet'!$S$4:$S$40),IF($BH28&gt;0,SUMIFS('Final Calculation Sheet'!$S$4:$S$40,$AZ$5:$AZ$41,$BH28),"")))</f>
        <v/>
      </c>
      <c r="U28" s="652">
        <f>IF($BJ28&gt;0,IF(INDEX('Final Calculation Sheet'!$T$4:$T$40,$BJ28-3)="","",INDEX('Final Calculation Sheet'!$T$4:$T$40,$BJ28-3)),IF($BI28=1,SUM('Final Calculation Sheet'!$T$4:$T$40),IF($BH28&gt;0,SUMIFS('Final Calculation Sheet'!$T$4:$T$40,$AZ$5:$AZ$41,$BH28),"")))</f>
        <v/>
      </c>
      <c r="V28" s="655">
        <f>IF($BJ28&gt;0,IF(INDEX('Final Calculation Sheet'!$U$4:$U$40,$BJ28-3)="","",INDEX('Final Calculation Sheet'!$U$4:$U$40,$BJ28-3)),IF($BI28=1,SUM('Final Calculation Sheet'!$U$4:$U$40),IF($BH28&gt;0,SUMIFS('Final Calculation Sheet'!$U$4:$U$40,$AZ$5:$AZ$41,$BH28),"")))</f>
        <v/>
      </c>
      <c r="W28" s="652">
        <f>IF($BJ28&gt;0,IF(INDEX('Final Calculation Sheet'!$V$4:$V$40,$BJ28-3)="","",INDEX('Final Calculation Sheet'!$V$4:$V$40,$BJ28-3)),IF(OR($BI28=1,$BH28&gt;0),"–",""))</f>
        <v/>
      </c>
      <c r="X28" s="652">
        <f>IF($BJ28&gt;0,IF(INDEX('Final Calculation Sheet'!$W$4:$W$40,$BJ28-3)="","",INDEX('Final Calculation Sheet'!$W$4:$W$40,$BJ28-3)),IF($BI28=1,SUM('Final Calculation Sheet'!$W$4:$W$40),IF($BH28&gt;0,SUMIFS('Final Calculation Sheet'!$W$4:$W$40,$AZ$5:$AZ$41,$BH28),"")))</f>
        <v/>
      </c>
      <c r="Y28" s="652">
        <f>IF($BJ28&gt;0,IF(INDEX('Final Calculation Sheet'!$X$4:$X$40,$BJ28-3)="","",INDEX('Final Calculation Sheet'!$X$4:$X$40,$BJ28-3)),IF($BI28=1,SUM('Final Calculation Sheet'!$X$4:$X$40),IF($BH28&gt;0,SUMIFS('Final Calculation Sheet'!$X$4:$X$40,$AZ$5:$AZ$41,$BH28),"")))</f>
        <v/>
      </c>
      <c r="Z28" s="652">
        <f>IF($BJ28&gt;0,IF(INDEX('Final Calculation Sheet'!$Y$4:$Y$40,$BJ28-3)="","",INDEX('Final Calculation Sheet'!$Y$4:$Y$40,$BJ28-3)),IF(OR($BI28=1,$BH28&gt;0),"–",""))</f>
        <v/>
      </c>
      <c r="AA28" s="652">
        <f>IF($BJ28&gt;0,IF(INDEX('Final Calculation Sheet'!$Z$4:$Z$40,$BJ28-3)="","",INDEX('Final Calculation Sheet'!$Z$4:$Z$40,$BJ28-3)),IF($BI28=1,SUM('Final Calculation Sheet'!$Z$4:$Z$40),IF($BH28&gt;0,SUMIFS('Final Calculation Sheet'!$Z$4:$Z$40,$AZ$5:$AZ$41,$BH28),"")))</f>
        <v/>
      </c>
      <c r="AB28" s="652">
        <f>IF($BJ28&gt;0,IF(INDEX('Final Calculation Sheet'!$AA$4:$AA$40,$BJ28-3)="","",INDEX('Final Calculation Sheet'!$AA$4:$AA$40,$BJ28-3)),IF($BI28=1,SUM('Final Calculation Sheet'!$AA$4:$AA$40),IF($BH28&gt;0,SUMIFS('Final Calculation Sheet'!$AA$4:$AA$40,$AZ$5:$AZ$41,$BH28),"")))</f>
        <v/>
      </c>
      <c r="AC28" s="652">
        <f>IF($BJ28&gt;0,IF(INDEX('Final Calculation Sheet'!$AB$4:$AB$40,$BJ28-3)="","",INDEX('Final Calculation Sheet'!$AB$4:$AB$40,$BJ28-3)),IF(OR($BI28=1,$BH28&gt;0),"–",""))</f>
        <v/>
      </c>
      <c r="AD28" s="652">
        <f>IF($BJ28&gt;0,IF(INDEX('Final Calculation Sheet'!$AC$4:$AC$40,$BJ28-3)="","",INDEX('Final Calculation Sheet'!$AC$4:$AC$40,$BJ28-3)),IF($BI28=1,SUM('Final Calculation Sheet'!$AC$4:$AC$40),IF($BH28&gt;0,SUMIFS('Final Calculation Sheet'!$AC$4:$AC$40,$AZ$5:$AZ$41,$BH28),"")))</f>
        <v/>
      </c>
      <c r="AE28" s="652">
        <f>IF($BJ28&gt;0,IF(INDEX('Final Calculation Sheet'!$AD$4:$AD$40,$BJ28-3)="","",INDEX('Final Calculation Sheet'!$AD$4:$AD$40,$BJ28-3)),IF($BI28=1,SUM('Final Calculation Sheet'!$AD$4:$AD$40),IF($BH28&gt;0,SUMIFS('Final Calculation Sheet'!$AD$4:$AD$40,$AZ$5:$AZ$41,$BH28),"")))</f>
        <v/>
      </c>
      <c r="AF28" s="652">
        <f>IF($BJ28&gt;0,IF(INDEX('Final Calculation Sheet'!$AE$4:$AE$40,$BJ28-3)="","",INDEX('Final Calculation Sheet'!$AE$4:$AE$40,$BJ28-3)),IF(OR($BI28=1,$BH28&gt;0),"–",""))</f>
        <v/>
      </c>
      <c r="AG28" s="656">
        <f>IF($BJ28&gt;0,IF(INDEX('Final Calculation Sheet'!$AF$4:$AF$40,$BJ28-3)="","",INDEX('Final Calculation Sheet'!$AF$4:$AF$40,$BJ28-3)),IF(OR($BI28=1,$BH28&gt;0),"–",""))</f>
        <v/>
      </c>
      <c r="AH28" s="652">
        <f>IF($BJ28&gt;0,IF(INDEX('Final Calculation Sheet'!$AG$4:$AG$40,$BJ28-3)="","",INDEX('Final Calculation Sheet'!$AG$4:$AG$40,$BJ28-3)),IF(OR($BI28=1,$BH28&gt;0),"–",""))</f>
        <v/>
      </c>
      <c r="AI28" s="657">
        <f>IF($BJ28&gt;0,IF(INDEX('Final Calculation Sheet'!$AD$4:$AD$40,$BJ28-3)="","",IF(INDEX('Final Calculation Sheet'!$AD$4:$AD$40,$BJ28-3)&lt;=0,"SETTLED","OUTSTANDING")),IF(OR($BI28=1,$BH28&gt;0),IF(IF($BI28=1,SUM('Final Calculation Sheet'!$AD$4:$AD$40),SUMIFS('Final Calculation Sheet'!$AD$4:$AD$40,$AZ$5:$AZ$41,$BH28))&lt;=0,"ALL SETTLED","OUTSTANDING"),""))</f>
        <v/>
      </c>
      <c r="AK28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/>
      </c>
      <c r="AM28">
        <f>IF($B$3="",1,IF(AND(IF(COUNTIF($AR$9:$AY$9,1)=0,TRUE,SUMPRODUCT(($AR$9:$AY$9=1)*($AR$6:$AY$6&lt;&gt;"")*ISNUMBER(SEARCH($AR$6:$AY$6,$AK28)))&gt;0),IF(COUNTIF($AR$9:$AY$9,2)=0,TRUE,SUMPRODUCT(($AR$9:$AY$9=2)*($AR$6:$AY$6&lt;&gt;"")*ISNUMBER(SEARCH($AR$6:$AY$6,$AK28)))&gt;0),IF(COUNTIF($AR$9:$AY$9,3)=0,TRUE,SUMPRODUCT(($AR$9:$AY$9=3)*($AR$6:$AY$6&lt;&gt;"")*ISNUMBER(SEARCH($AR$6:$AY$6,$AK28)))&gt;0),IF(COUNTIF($AR$9:$AY$9,4)=0,TRUE,SUMPRODUCT(($AR$9:$AY$9=4)*($AR$6:$AY$6&lt;&gt;"")*ISNUMBER(SEARCH($AR$6:$AY$6,$AK28)))&gt;0),IF(COUNTIF($AR$9:$AY$9,5)=0,TRUE,SUMPRODUCT(($AR$9:$AY$9=5)*($AR$6:$AY$6&lt;&gt;"")*ISNUMBER(SEARCH($AR$6:$AY$6,$AK28)))&gt;0),IF(COUNTIF($AR$9:$AY$9,6)=0,TRUE,SUMPRODUCT(($AR$9:$AY$9=6)*($AR$6:$AY$6&lt;&gt;"")*ISNUMBER(SEARCH($AR$6:$AY$6,$AK28)))&gt;0),IF(COUNTIF($AR$9:$AY$9,7)=0,TRUE,SUMPRODUCT(($AR$9:$AY$9=7)*($AR$6:$AY$6&lt;&gt;"")*ISNUMBER(SEARCH($AR$6:$AY$6,$AK28)))&gt;0),IF(COUNTIF($AR$9:$AY$9,8)=0,TRUE,SUMPRODUCT(($AR$9:$AY$9=8)*($AR$6:$AY$6&lt;&gt;"")*ISNUMBER(SEARCH($AR$6:$AY$6,$AK28)))&gt;0)),1,0))</f>
        <v/>
      </c>
      <c r="AZ28">
        <f>IF($B$3="",9,IF($AM28=0,10,IF(AND($AR$6&lt;&gt;"",ISNUMBER(SEARCH($AR$6,$AK28))),1,IF(AND($AS$6&lt;&gt;"",ISNUMBER(SEARCH($AS$6,$AK28))),2,IF(AND($AT$6&lt;&gt;"",ISNUMBER(SEARCH($AT$6,$AK28))),3,IF(AND($AU$6&lt;&gt;"",ISNUMBER(SEARCH($AU$6,$AK28))),4,IF(AND($AV$6&lt;&gt;"",ISNUMBER(SEARCH($AV$6,$AK28))),5,IF(AND($AW$6&lt;&gt;"",ISNUMBER(SEARCH($AW$6,$AK28))),6,IF(AND($AX$6&lt;&gt;"",ISNUMBER(SEARCH($AX$6,$AK28))),7,IF(AND($AY$6&lt;&gt;"",ISNUMBER(SEARCH($AY$6,$AK28))),8,0))))))))))</f>
        <v/>
      </c>
      <c r="BA28">
        <f>SUMPRODUCT(($AZ$5:$AZ$41=$AZ28)*($BC$5:$BC$41&lt;$BC28))+1</f>
        <v/>
      </c>
      <c r="BB28">
        <f>IF(INDEX($BF$4:$BF$13,$AZ28)=0,0,INDEX($BE$4:$BE$13,$AZ28)+$BA28-1)</f>
        <v/>
      </c>
      <c r="BC28" t="n">
        <v>27</v>
      </c>
      <c r="BH28">
        <f>IFERROR(MATCH(28,$BF$4:$BF$13,0),0)</f>
        <v/>
      </c>
      <c r="BI28">
        <f>IF(28=$BG$4,1,0)</f>
        <v/>
      </c>
      <c r="BJ28">
        <f>IF(OR($BH28&gt;0,$BI28=1),0,IFERROR(INDEX($BC$5:$BC$41,MATCH(28,$BB$5:$BB$41,0)),0))</f>
        <v/>
      </c>
      <c r="BK28">
        <f>IF($BJ28&gt;0,IF(INDEX($AZ$5:$AZ$41,MATCH(28,$BB$5:$BB$41,0))=10,1,0),IF($BH28=10,1,0))</f>
        <v/>
      </c>
    </row>
    <row r="29" ht="15" customHeight="1">
      <c r="A29" s="649">
        <f>IF($BJ29&gt;0,INDEX($BA$5:$BA$41,MATCH(29,$BB$5:$BB$41,0)),IF(OR($BI29=1,$BH29&gt;0),"∑",""))</f>
        <v/>
      </c>
      <c r="B29" s="650">
        <f>IF($BJ29&gt;0,IF(INDEX('Final Calculation Sheet'!$F$4:$F$40,$BJ29-3)="","",INDEX('Final Calculation Sheet'!$F$4:$F$40,$BJ29-3)),"")</f>
        <v/>
      </c>
      <c r="C29" s="650">
        <f>IF($BJ29&gt;0,IF(INDEX('Final Calculation Sheet'!$G$4:$G$40,$BJ29-3)="","",INDEX('Final Calculation Sheet'!$G$4:$G$40,$BJ29-3)),IF(OR($BI29=1,$BH29&gt;0),IF($BI29=1,37,INDEX($BD$4:$BD$13,$BH29))&amp;" lot(s)",""))</f>
        <v/>
      </c>
      <c r="D29" s="651">
        <f>IF($BJ29&gt;0,IF(INDEX('Final Calculation Sheet'!$B$4:$B$40,$BJ29-3)="","",INDEX('Final Calculation Sheet'!$B$4:$B$40,$BJ29-3)),IF(OR($BI29=1,$BH29&gt;0),IF($BI29=1,"GRAND TOTAL  —  matching + remaining",IF($BH29=10,"REMAINING  —  did not match the search",IF($BH29=9,"ALL LOTS  —  nothing typed in the box","GROUP "&amp;$BH29&amp;" TOTAL  —  lots matching  "&amp;INDEX($AR$6:$AY$6,$BH29)))),""))</f>
        <v/>
      </c>
      <c r="E29" s="651">
        <f>IF($BJ29&gt;0,IF(INDEX('Final Calculation Sheet'!$D$4:$D$40,$BJ29-3)="","",INDEX('Final Calculation Sheet'!$D$4:$D$40,$BJ29-3)),IF(OR($BI29=1,$BH29&gt;0),"–",""))</f>
        <v/>
      </c>
      <c r="F29" s="651">
        <f>IF($BJ29&gt;0,IF(INDEX('Final Calculation Sheet'!$A$4:$A$40,$BJ29-3)="","",INDEX('Final Calculation Sheet'!$A$4:$A$40,$BJ29-3)),IF($BI29=1,SUM('Final Calculation Sheet'!$A$4:$A$40),IF($BH29&gt;0,SUMIFS('Final Calculation Sheet'!$A$4:$A$40,$AZ$5:$AZ$41,$BH29),"")))</f>
        <v/>
      </c>
      <c r="G29" s="651">
        <f>IF($BJ29&gt;0,IF(INDEX('Final Calculation Sheet'!$E$4:$E$40,$BJ29-3)="","",INDEX('Final Calculation Sheet'!$E$4:$E$40,$BJ29-3)),IF(OR($BI29=1,$BH29&gt;0),"–",""))</f>
        <v/>
      </c>
      <c r="H29" s="652">
        <f>IF($BJ29&gt;0,IF(INDEX('Final Calculation Sheet'!$C$4:$C$40,$BJ29-3)="","",INDEX('Final Calculation Sheet'!$C$4:$C$40,$BJ29-3)),IF(OR($BI29=1,$BH29&gt;0),"–",""))</f>
        <v/>
      </c>
      <c r="I29" s="652">
        <f>IF($BJ29&gt;0,IF(INDEX('Final Calculation Sheet'!$H$4:$H$40,$BJ29-3)="","",INDEX('Final Calculation Sheet'!$H$4:$H$40,$BJ29-3)),IF($BI29=1,SUM('Final Calculation Sheet'!$H$4:$H$40),IF($BH29&gt;0,SUMIFS('Final Calculation Sheet'!$H$4:$H$40,$AZ$5:$AZ$41,$BH29),"")))</f>
        <v/>
      </c>
      <c r="J29" s="652">
        <f>IF($BJ29&gt;0,IF(INDEX('Final Calculation Sheet'!$I$4:$I$40,$BJ29-3)="","",INDEX('Final Calculation Sheet'!$I$4:$I$40,$BJ29-3)),IF($BI29=1,SUM('Final Calculation Sheet'!$I$4:$I$40),IF($BH29&gt;0,SUMIFS('Final Calculation Sheet'!$I$4:$I$40,$AZ$5:$AZ$41,$BH29),"")))</f>
        <v/>
      </c>
      <c r="K29" s="652">
        <f>IF($BJ29&gt;0,IF(INDEX('Final Calculation Sheet'!$J$4:$J$40,$BJ29-3)="","",INDEX('Final Calculation Sheet'!$J$4:$J$40,$BJ29-3)),IF($BI29=1,SUM('Final Calculation Sheet'!$J$4:$J$40),IF($BH29&gt;0,SUMIFS('Final Calculation Sheet'!$J$4:$J$40,$AZ$5:$AZ$41,$BH29),"")))</f>
        <v/>
      </c>
      <c r="L29" s="652">
        <f>IF($BJ29&gt;0,IF(INDEX('Final Calculation Sheet'!$K$4:$K$40,$BJ29-3)="","",INDEX('Final Calculation Sheet'!$K$4:$K$40,$BJ29-3)),IF($BI29=1,SUM('Final Calculation Sheet'!$K$4:$K$40),IF($BH29&gt;0,SUMIFS('Final Calculation Sheet'!$K$4:$K$40,$AZ$5:$AZ$41,$BH29),"")))</f>
        <v/>
      </c>
      <c r="M29" s="652">
        <f>IF($BJ29&gt;0,IF(INDEX('Final Calculation Sheet'!$L$4:$L$40,$BJ29-3)="","",INDEX('Final Calculation Sheet'!$L$4:$L$40,$BJ29-3)),IF($BI29=1,SUM('Final Calculation Sheet'!$L$4:$L$40),IF($BH29&gt;0,SUMIFS('Final Calculation Sheet'!$L$4:$L$40,$AZ$5:$AZ$41,$BH29),"")))</f>
        <v/>
      </c>
      <c r="N29" s="652">
        <f>IF($BJ29&gt;0,IF(INDEX('Final Calculation Sheet'!$M$4:$M$40,$BJ29-3)="","",INDEX('Final Calculation Sheet'!$M$4:$M$40,$BJ29-3)),IF($BI29=1,SUM('Final Calculation Sheet'!$M$4:$M$40),IF($BH29&gt;0,SUMIFS('Final Calculation Sheet'!$M$4:$M$40,$AZ$5:$AZ$41,$BH29),"")))</f>
        <v/>
      </c>
      <c r="O29" s="653">
        <f>IF($BJ29&gt;0,IF(INDEX('Final Calculation Sheet'!$N$4:$N$40,$BJ29-3)="","",INDEX('Final Calculation Sheet'!$N$4:$N$40,$BJ29-3)),IF($BI29=1,SUM('Final Calculation Sheet'!$N$4:$N$40),IF($BH29&gt;0,SUMIFS('Final Calculation Sheet'!$N$4:$N$40,$AZ$5:$AZ$41,$BH29),"")))</f>
        <v/>
      </c>
      <c r="P29" s="652">
        <f>IF($BJ29&gt;0,IF(INDEX('Final Calculation Sheet'!$O$4:$O$40,$BJ29-3)="","",INDEX('Final Calculation Sheet'!$O$4:$O$40,$BJ29-3)),IF($BI29=1,SUM('Final Calculation Sheet'!$O$4:$O$40),IF($BH29&gt;0,SUMIFS('Final Calculation Sheet'!$O$4:$O$40,$AZ$5:$AZ$41,$BH29),"")))</f>
        <v/>
      </c>
      <c r="Q29" s="652">
        <f>IF($BJ29&gt;0,IF(INDEX('Final Calculation Sheet'!$P$4:$P$40,$BJ29-3)="","",INDEX('Final Calculation Sheet'!$P$4:$P$40,$BJ29-3)),IF($BI29=1,SUM('Final Calculation Sheet'!$P$4:$P$40),IF($BH29&gt;0,SUMIFS('Final Calculation Sheet'!$P$4:$P$40,$AZ$5:$AZ$41,$BH29),"")))</f>
        <v/>
      </c>
      <c r="R29" s="654">
        <f>IF($BJ29&gt;0,IF(INDEX('Final Calculation Sheet'!$Q$4:$Q$40,$BJ29-3)="","",INDEX('Final Calculation Sheet'!$Q$4:$Q$40,$BJ29-3)),IF(OR($BI29=1,$BH29&gt;0),"–",""))</f>
        <v/>
      </c>
      <c r="S29" s="652">
        <f>IF($BJ29&gt;0,IF(INDEX('Final Calculation Sheet'!$R$4:$R$40,$BJ29-3)="","",INDEX('Final Calculation Sheet'!$R$4:$R$40,$BJ29-3)),IF($BI29=1,SUM('Final Calculation Sheet'!$R$4:$R$40),IF($BH29&gt;0,SUMIFS('Final Calculation Sheet'!$R$4:$R$40,$AZ$5:$AZ$41,$BH29),"")))</f>
        <v/>
      </c>
      <c r="T29" s="652">
        <f>IF($BJ29&gt;0,IF(INDEX('Final Calculation Sheet'!$S$4:$S$40,$BJ29-3)="","",INDEX('Final Calculation Sheet'!$S$4:$S$40,$BJ29-3)),IF($BI29=1,SUM('Final Calculation Sheet'!$S$4:$S$40),IF($BH29&gt;0,SUMIFS('Final Calculation Sheet'!$S$4:$S$40,$AZ$5:$AZ$41,$BH29),"")))</f>
        <v/>
      </c>
      <c r="U29" s="652">
        <f>IF($BJ29&gt;0,IF(INDEX('Final Calculation Sheet'!$T$4:$T$40,$BJ29-3)="","",INDEX('Final Calculation Sheet'!$T$4:$T$40,$BJ29-3)),IF($BI29=1,SUM('Final Calculation Sheet'!$T$4:$T$40),IF($BH29&gt;0,SUMIFS('Final Calculation Sheet'!$T$4:$T$40,$AZ$5:$AZ$41,$BH29),"")))</f>
        <v/>
      </c>
      <c r="V29" s="655">
        <f>IF($BJ29&gt;0,IF(INDEX('Final Calculation Sheet'!$U$4:$U$40,$BJ29-3)="","",INDEX('Final Calculation Sheet'!$U$4:$U$40,$BJ29-3)),IF($BI29=1,SUM('Final Calculation Sheet'!$U$4:$U$40),IF($BH29&gt;0,SUMIFS('Final Calculation Sheet'!$U$4:$U$40,$AZ$5:$AZ$41,$BH29),"")))</f>
        <v/>
      </c>
      <c r="W29" s="652">
        <f>IF($BJ29&gt;0,IF(INDEX('Final Calculation Sheet'!$V$4:$V$40,$BJ29-3)="","",INDEX('Final Calculation Sheet'!$V$4:$V$40,$BJ29-3)),IF(OR($BI29=1,$BH29&gt;0),"–",""))</f>
        <v/>
      </c>
      <c r="X29" s="652">
        <f>IF($BJ29&gt;0,IF(INDEX('Final Calculation Sheet'!$W$4:$W$40,$BJ29-3)="","",INDEX('Final Calculation Sheet'!$W$4:$W$40,$BJ29-3)),IF($BI29=1,SUM('Final Calculation Sheet'!$W$4:$W$40),IF($BH29&gt;0,SUMIFS('Final Calculation Sheet'!$W$4:$W$40,$AZ$5:$AZ$41,$BH29),"")))</f>
        <v/>
      </c>
      <c r="Y29" s="652">
        <f>IF($BJ29&gt;0,IF(INDEX('Final Calculation Sheet'!$X$4:$X$40,$BJ29-3)="","",INDEX('Final Calculation Sheet'!$X$4:$X$40,$BJ29-3)),IF($BI29=1,SUM('Final Calculation Sheet'!$X$4:$X$40),IF($BH29&gt;0,SUMIFS('Final Calculation Sheet'!$X$4:$X$40,$AZ$5:$AZ$41,$BH29),"")))</f>
        <v/>
      </c>
      <c r="Z29" s="652">
        <f>IF($BJ29&gt;0,IF(INDEX('Final Calculation Sheet'!$Y$4:$Y$40,$BJ29-3)="","",INDEX('Final Calculation Sheet'!$Y$4:$Y$40,$BJ29-3)),IF(OR($BI29=1,$BH29&gt;0),"–",""))</f>
        <v/>
      </c>
      <c r="AA29" s="652">
        <f>IF($BJ29&gt;0,IF(INDEX('Final Calculation Sheet'!$Z$4:$Z$40,$BJ29-3)="","",INDEX('Final Calculation Sheet'!$Z$4:$Z$40,$BJ29-3)),IF($BI29=1,SUM('Final Calculation Sheet'!$Z$4:$Z$40),IF($BH29&gt;0,SUMIFS('Final Calculation Sheet'!$Z$4:$Z$40,$AZ$5:$AZ$41,$BH29),"")))</f>
        <v/>
      </c>
      <c r="AB29" s="652">
        <f>IF($BJ29&gt;0,IF(INDEX('Final Calculation Sheet'!$AA$4:$AA$40,$BJ29-3)="","",INDEX('Final Calculation Sheet'!$AA$4:$AA$40,$BJ29-3)),IF($BI29=1,SUM('Final Calculation Sheet'!$AA$4:$AA$40),IF($BH29&gt;0,SUMIFS('Final Calculation Sheet'!$AA$4:$AA$40,$AZ$5:$AZ$41,$BH29),"")))</f>
        <v/>
      </c>
      <c r="AC29" s="652">
        <f>IF($BJ29&gt;0,IF(INDEX('Final Calculation Sheet'!$AB$4:$AB$40,$BJ29-3)="","",INDEX('Final Calculation Sheet'!$AB$4:$AB$40,$BJ29-3)),IF(OR($BI29=1,$BH29&gt;0),"–",""))</f>
        <v/>
      </c>
      <c r="AD29" s="652">
        <f>IF($BJ29&gt;0,IF(INDEX('Final Calculation Sheet'!$AC$4:$AC$40,$BJ29-3)="","",INDEX('Final Calculation Sheet'!$AC$4:$AC$40,$BJ29-3)),IF($BI29=1,SUM('Final Calculation Sheet'!$AC$4:$AC$40),IF($BH29&gt;0,SUMIFS('Final Calculation Sheet'!$AC$4:$AC$40,$AZ$5:$AZ$41,$BH29),"")))</f>
        <v/>
      </c>
      <c r="AE29" s="652">
        <f>IF($BJ29&gt;0,IF(INDEX('Final Calculation Sheet'!$AD$4:$AD$40,$BJ29-3)="","",INDEX('Final Calculation Sheet'!$AD$4:$AD$40,$BJ29-3)),IF($BI29=1,SUM('Final Calculation Sheet'!$AD$4:$AD$40),IF($BH29&gt;0,SUMIFS('Final Calculation Sheet'!$AD$4:$AD$40,$AZ$5:$AZ$41,$BH29),"")))</f>
        <v/>
      </c>
      <c r="AF29" s="652">
        <f>IF($BJ29&gt;0,IF(INDEX('Final Calculation Sheet'!$AE$4:$AE$40,$BJ29-3)="","",INDEX('Final Calculation Sheet'!$AE$4:$AE$40,$BJ29-3)),IF(OR($BI29=1,$BH29&gt;0),"–",""))</f>
        <v/>
      </c>
      <c r="AG29" s="656">
        <f>IF($BJ29&gt;0,IF(INDEX('Final Calculation Sheet'!$AF$4:$AF$40,$BJ29-3)="","",INDEX('Final Calculation Sheet'!$AF$4:$AF$40,$BJ29-3)),IF(OR($BI29=1,$BH29&gt;0),"–",""))</f>
        <v/>
      </c>
      <c r="AH29" s="652">
        <f>IF($BJ29&gt;0,IF(INDEX('Final Calculation Sheet'!$AG$4:$AG$40,$BJ29-3)="","",INDEX('Final Calculation Sheet'!$AG$4:$AG$40,$BJ29-3)),IF(OR($BI29=1,$BH29&gt;0),"–",""))</f>
        <v/>
      </c>
      <c r="AI29" s="657">
        <f>IF($BJ29&gt;0,IF(INDEX('Final Calculation Sheet'!$AD$4:$AD$40,$BJ29-3)="","",IF(INDEX('Final Calculation Sheet'!$AD$4:$AD$40,$BJ29-3)&lt;=0,"SETTLED","OUTSTANDING")),IF(OR($BI29=1,$BH29&gt;0),IF(IF($BI29=1,SUM('Final Calculation Sheet'!$AD$4:$AD$40),SUMIFS('Final Calculation Sheet'!$AD$4:$AD$40,$AZ$5:$AZ$41,$BH29))&lt;=0,"ALL SETTLED","OUTSTANDING"),""))</f>
        <v/>
      </c>
      <c r="AK29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/>
      </c>
      <c r="AM29">
        <f>IF($B$3="",1,IF(AND(IF(COUNTIF($AR$9:$AY$9,1)=0,TRUE,SUMPRODUCT(($AR$9:$AY$9=1)*($AR$6:$AY$6&lt;&gt;"")*ISNUMBER(SEARCH($AR$6:$AY$6,$AK29)))&gt;0),IF(COUNTIF($AR$9:$AY$9,2)=0,TRUE,SUMPRODUCT(($AR$9:$AY$9=2)*($AR$6:$AY$6&lt;&gt;"")*ISNUMBER(SEARCH($AR$6:$AY$6,$AK29)))&gt;0),IF(COUNTIF($AR$9:$AY$9,3)=0,TRUE,SUMPRODUCT(($AR$9:$AY$9=3)*($AR$6:$AY$6&lt;&gt;"")*ISNUMBER(SEARCH($AR$6:$AY$6,$AK29)))&gt;0),IF(COUNTIF($AR$9:$AY$9,4)=0,TRUE,SUMPRODUCT(($AR$9:$AY$9=4)*($AR$6:$AY$6&lt;&gt;"")*ISNUMBER(SEARCH($AR$6:$AY$6,$AK29)))&gt;0),IF(COUNTIF($AR$9:$AY$9,5)=0,TRUE,SUMPRODUCT(($AR$9:$AY$9=5)*($AR$6:$AY$6&lt;&gt;"")*ISNUMBER(SEARCH($AR$6:$AY$6,$AK29)))&gt;0),IF(COUNTIF($AR$9:$AY$9,6)=0,TRUE,SUMPRODUCT(($AR$9:$AY$9=6)*($AR$6:$AY$6&lt;&gt;"")*ISNUMBER(SEARCH($AR$6:$AY$6,$AK29)))&gt;0),IF(COUNTIF($AR$9:$AY$9,7)=0,TRUE,SUMPRODUCT(($AR$9:$AY$9=7)*($AR$6:$AY$6&lt;&gt;"")*ISNUMBER(SEARCH($AR$6:$AY$6,$AK29)))&gt;0),IF(COUNTIF($AR$9:$AY$9,8)=0,TRUE,SUMPRODUCT(($AR$9:$AY$9=8)*($AR$6:$AY$6&lt;&gt;"")*ISNUMBER(SEARCH($AR$6:$AY$6,$AK29)))&gt;0)),1,0))</f>
        <v/>
      </c>
      <c r="AZ29">
        <f>IF($B$3="",9,IF($AM29=0,10,IF(AND($AR$6&lt;&gt;"",ISNUMBER(SEARCH($AR$6,$AK29))),1,IF(AND($AS$6&lt;&gt;"",ISNUMBER(SEARCH($AS$6,$AK29))),2,IF(AND($AT$6&lt;&gt;"",ISNUMBER(SEARCH($AT$6,$AK29))),3,IF(AND($AU$6&lt;&gt;"",ISNUMBER(SEARCH($AU$6,$AK29))),4,IF(AND($AV$6&lt;&gt;"",ISNUMBER(SEARCH($AV$6,$AK29))),5,IF(AND($AW$6&lt;&gt;"",ISNUMBER(SEARCH($AW$6,$AK29))),6,IF(AND($AX$6&lt;&gt;"",ISNUMBER(SEARCH($AX$6,$AK29))),7,IF(AND($AY$6&lt;&gt;"",ISNUMBER(SEARCH($AY$6,$AK29))),8,0))))))))))</f>
        <v/>
      </c>
      <c r="BA29">
        <f>SUMPRODUCT(($AZ$5:$AZ$41=$AZ29)*($BC$5:$BC$41&lt;$BC29))+1</f>
        <v/>
      </c>
      <c r="BB29">
        <f>IF(INDEX($BF$4:$BF$13,$AZ29)=0,0,INDEX($BE$4:$BE$13,$AZ29)+$BA29-1)</f>
        <v/>
      </c>
      <c r="BC29" t="n">
        <v>28</v>
      </c>
      <c r="BH29">
        <f>IFERROR(MATCH(29,$BF$4:$BF$13,0),0)</f>
        <v/>
      </c>
      <c r="BI29">
        <f>IF(29=$BG$4,1,0)</f>
        <v/>
      </c>
      <c r="BJ29">
        <f>IF(OR($BH29&gt;0,$BI29=1),0,IFERROR(INDEX($BC$5:$BC$41,MATCH(29,$BB$5:$BB$41,0)),0))</f>
        <v/>
      </c>
      <c r="BK29">
        <f>IF($BJ29&gt;0,IF(INDEX($AZ$5:$AZ$41,MATCH(29,$BB$5:$BB$41,0))=10,1,0),IF($BH29=10,1,0))</f>
        <v/>
      </c>
    </row>
    <row r="30" ht="15" customHeight="1">
      <c r="A30" s="649">
        <f>IF($BJ30&gt;0,INDEX($BA$5:$BA$41,MATCH(30,$BB$5:$BB$41,0)),IF(OR($BI30=1,$BH30&gt;0),"∑",""))</f>
        <v/>
      </c>
      <c r="B30" s="650">
        <f>IF($BJ30&gt;0,IF(INDEX('Final Calculation Sheet'!$F$4:$F$40,$BJ30-3)="","",INDEX('Final Calculation Sheet'!$F$4:$F$40,$BJ30-3)),"")</f>
        <v/>
      </c>
      <c r="C30" s="650">
        <f>IF($BJ30&gt;0,IF(INDEX('Final Calculation Sheet'!$G$4:$G$40,$BJ30-3)="","",INDEX('Final Calculation Sheet'!$G$4:$G$40,$BJ30-3)),IF(OR($BI30=1,$BH30&gt;0),IF($BI30=1,37,INDEX($BD$4:$BD$13,$BH30))&amp;" lot(s)",""))</f>
        <v/>
      </c>
      <c r="D30" s="651">
        <f>IF($BJ30&gt;0,IF(INDEX('Final Calculation Sheet'!$B$4:$B$40,$BJ30-3)="","",INDEX('Final Calculation Sheet'!$B$4:$B$40,$BJ30-3)),IF(OR($BI30=1,$BH30&gt;0),IF($BI30=1,"GRAND TOTAL  —  matching + remaining",IF($BH30=10,"REMAINING  —  did not match the search",IF($BH30=9,"ALL LOTS  —  nothing typed in the box","GROUP "&amp;$BH30&amp;" TOTAL  —  lots matching  "&amp;INDEX($AR$6:$AY$6,$BH30)))),""))</f>
        <v/>
      </c>
      <c r="E30" s="651">
        <f>IF($BJ30&gt;0,IF(INDEX('Final Calculation Sheet'!$D$4:$D$40,$BJ30-3)="","",INDEX('Final Calculation Sheet'!$D$4:$D$40,$BJ30-3)),IF(OR($BI30=1,$BH30&gt;0),"–",""))</f>
        <v/>
      </c>
      <c r="F30" s="651">
        <f>IF($BJ30&gt;0,IF(INDEX('Final Calculation Sheet'!$A$4:$A$40,$BJ30-3)="","",INDEX('Final Calculation Sheet'!$A$4:$A$40,$BJ30-3)),IF($BI30=1,SUM('Final Calculation Sheet'!$A$4:$A$40),IF($BH30&gt;0,SUMIFS('Final Calculation Sheet'!$A$4:$A$40,$AZ$5:$AZ$41,$BH30),"")))</f>
        <v/>
      </c>
      <c r="G30" s="651">
        <f>IF($BJ30&gt;0,IF(INDEX('Final Calculation Sheet'!$E$4:$E$40,$BJ30-3)="","",INDEX('Final Calculation Sheet'!$E$4:$E$40,$BJ30-3)),IF(OR($BI30=1,$BH30&gt;0),"–",""))</f>
        <v/>
      </c>
      <c r="H30" s="652">
        <f>IF($BJ30&gt;0,IF(INDEX('Final Calculation Sheet'!$C$4:$C$40,$BJ30-3)="","",INDEX('Final Calculation Sheet'!$C$4:$C$40,$BJ30-3)),IF(OR($BI30=1,$BH30&gt;0),"–",""))</f>
        <v/>
      </c>
      <c r="I30" s="652">
        <f>IF($BJ30&gt;0,IF(INDEX('Final Calculation Sheet'!$H$4:$H$40,$BJ30-3)="","",INDEX('Final Calculation Sheet'!$H$4:$H$40,$BJ30-3)),IF($BI30=1,SUM('Final Calculation Sheet'!$H$4:$H$40),IF($BH30&gt;0,SUMIFS('Final Calculation Sheet'!$H$4:$H$40,$AZ$5:$AZ$41,$BH30),"")))</f>
        <v/>
      </c>
      <c r="J30" s="652">
        <f>IF($BJ30&gt;0,IF(INDEX('Final Calculation Sheet'!$I$4:$I$40,$BJ30-3)="","",INDEX('Final Calculation Sheet'!$I$4:$I$40,$BJ30-3)),IF($BI30=1,SUM('Final Calculation Sheet'!$I$4:$I$40),IF($BH30&gt;0,SUMIFS('Final Calculation Sheet'!$I$4:$I$40,$AZ$5:$AZ$41,$BH30),"")))</f>
        <v/>
      </c>
      <c r="K30" s="652">
        <f>IF($BJ30&gt;0,IF(INDEX('Final Calculation Sheet'!$J$4:$J$40,$BJ30-3)="","",INDEX('Final Calculation Sheet'!$J$4:$J$40,$BJ30-3)),IF($BI30=1,SUM('Final Calculation Sheet'!$J$4:$J$40),IF($BH30&gt;0,SUMIFS('Final Calculation Sheet'!$J$4:$J$40,$AZ$5:$AZ$41,$BH30),"")))</f>
        <v/>
      </c>
      <c r="L30" s="652">
        <f>IF($BJ30&gt;0,IF(INDEX('Final Calculation Sheet'!$K$4:$K$40,$BJ30-3)="","",INDEX('Final Calculation Sheet'!$K$4:$K$40,$BJ30-3)),IF($BI30=1,SUM('Final Calculation Sheet'!$K$4:$K$40),IF($BH30&gt;0,SUMIFS('Final Calculation Sheet'!$K$4:$K$40,$AZ$5:$AZ$41,$BH30),"")))</f>
        <v/>
      </c>
      <c r="M30" s="652">
        <f>IF($BJ30&gt;0,IF(INDEX('Final Calculation Sheet'!$L$4:$L$40,$BJ30-3)="","",INDEX('Final Calculation Sheet'!$L$4:$L$40,$BJ30-3)),IF($BI30=1,SUM('Final Calculation Sheet'!$L$4:$L$40),IF($BH30&gt;0,SUMIFS('Final Calculation Sheet'!$L$4:$L$40,$AZ$5:$AZ$41,$BH30),"")))</f>
        <v/>
      </c>
      <c r="N30" s="652">
        <f>IF($BJ30&gt;0,IF(INDEX('Final Calculation Sheet'!$M$4:$M$40,$BJ30-3)="","",INDEX('Final Calculation Sheet'!$M$4:$M$40,$BJ30-3)),IF($BI30=1,SUM('Final Calculation Sheet'!$M$4:$M$40),IF($BH30&gt;0,SUMIFS('Final Calculation Sheet'!$M$4:$M$40,$AZ$5:$AZ$41,$BH30),"")))</f>
        <v/>
      </c>
      <c r="O30" s="653">
        <f>IF($BJ30&gt;0,IF(INDEX('Final Calculation Sheet'!$N$4:$N$40,$BJ30-3)="","",INDEX('Final Calculation Sheet'!$N$4:$N$40,$BJ30-3)),IF($BI30=1,SUM('Final Calculation Sheet'!$N$4:$N$40),IF($BH30&gt;0,SUMIFS('Final Calculation Sheet'!$N$4:$N$40,$AZ$5:$AZ$41,$BH30),"")))</f>
        <v/>
      </c>
      <c r="P30" s="652">
        <f>IF($BJ30&gt;0,IF(INDEX('Final Calculation Sheet'!$O$4:$O$40,$BJ30-3)="","",INDEX('Final Calculation Sheet'!$O$4:$O$40,$BJ30-3)),IF($BI30=1,SUM('Final Calculation Sheet'!$O$4:$O$40),IF($BH30&gt;0,SUMIFS('Final Calculation Sheet'!$O$4:$O$40,$AZ$5:$AZ$41,$BH30),"")))</f>
        <v/>
      </c>
      <c r="Q30" s="652">
        <f>IF($BJ30&gt;0,IF(INDEX('Final Calculation Sheet'!$P$4:$P$40,$BJ30-3)="","",INDEX('Final Calculation Sheet'!$P$4:$P$40,$BJ30-3)),IF($BI30=1,SUM('Final Calculation Sheet'!$P$4:$P$40),IF($BH30&gt;0,SUMIFS('Final Calculation Sheet'!$P$4:$P$40,$AZ$5:$AZ$41,$BH30),"")))</f>
        <v/>
      </c>
      <c r="R30" s="654">
        <f>IF($BJ30&gt;0,IF(INDEX('Final Calculation Sheet'!$Q$4:$Q$40,$BJ30-3)="","",INDEX('Final Calculation Sheet'!$Q$4:$Q$40,$BJ30-3)),IF(OR($BI30=1,$BH30&gt;0),"–",""))</f>
        <v/>
      </c>
      <c r="S30" s="652">
        <f>IF($BJ30&gt;0,IF(INDEX('Final Calculation Sheet'!$R$4:$R$40,$BJ30-3)="","",INDEX('Final Calculation Sheet'!$R$4:$R$40,$BJ30-3)),IF($BI30=1,SUM('Final Calculation Sheet'!$R$4:$R$40),IF($BH30&gt;0,SUMIFS('Final Calculation Sheet'!$R$4:$R$40,$AZ$5:$AZ$41,$BH30),"")))</f>
        <v/>
      </c>
      <c r="T30" s="652">
        <f>IF($BJ30&gt;0,IF(INDEX('Final Calculation Sheet'!$S$4:$S$40,$BJ30-3)="","",INDEX('Final Calculation Sheet'!$S$4:$S$40,$BJ30-3)),IF($BI30=1,SUM('Final Calculation Sheet'!$S$4:$S$40),IF($BH30&gt;0,SUMIFS('Final Calculation Sheet'!$S$4:$S$40,$AZ$5:$AZ$41,$BH30),"")))</f>
        <v/>
      </c>
      <c r="U30" s="652">
        <f>IF($BJ30&gt;0,IF(INDEX('Final Calculation Sheet'!$T$4:$T$40,$BJ30-3)="","",INDEX('Final Calculation Sheet'!$T$4:$T$40,$BJ30-3)),IF($BI30=1,SUM('Final Calculation Sheet'!$T$4:$T$40),IF($BH30&gt;0,SUMIFS('Final Calculation Sheet'!$T$4:$T$40,$AZ$5:$AZ$41,$BH30),"")))</f>
        <v/>
      </c>
      <c r="V30" s="655">
        <f>IF($BJ30&gt;0,IF(INDEX('Final Calculation Sheet'!$U$4:$U$40,$BJ30-3)="","",INDEX('Final Calculation Sheet'!$U$4:$U$40,$BJ30-3)),IF($BI30=1,SUM('Final Calculation Sheet'!$U$4:$U$40),IF($BH30&gt;0,SUMIFS('Final Calculation Sheet'!$U$4:$U$40,$AZ$5:$AZ$41,$BH30),"")))</f>
        <v/>
      </c>
      <c r="W30" s="652">
        <f>IF($BJ30&gt;0,IF(INDEX('Final Calculation Sheet'!$V$4:$V$40,$BJ30-3)="","",INDEX('Final Calculation Sheet'!$V$4:$V$40,$BJ30-3)),IF(OR($BI30=1,$BH30&gt;0),"–",""))</f>
        <v/>
      </c>
      <c r="X30" s="652">
        <f>IF($BJ30&gt;0,IF(INDEX('Final Calculation Sheet'!$W$4:$W$40,$BJ30-3)="","",INDEX('Final Calculation Sheet'!$W$4:$W$40,$BJ30-3)),IF($BI30=1,SUM('Final Calculation Sheet'!$W$4:$W$40),IF($BH30&gt;0,SUMIFS('Final Calculation Sheet'!$W$4:$W$40,$AZ$5:$AZ$41,$BH30),"")))</f>
        <v/>
      </c>
      <c r="Y30" s="652">
        <f>IF($BJ30&gt;0,IF(INDEX('Final Calculation Sheet'!$X$4:$X$40,$BJ30-3)="","",INDEX('Final Calculation Sheet'!$X$4:$X$40,$BJ30-3)),IF($BI30=1,SUM('Final Calculation Sheet'!$X$4:$X$40),IF($BH30&gt;0,SUMIFS('Final Calculation Sheet'!$X$4:$X$40,$AZ$5:$AZ$41,$BH30),"")))</f>
        <v/>
      </c>
      <c r="Z30" s="652">
        <f>IF($BJ30&gt;0,IF(INDEX('Final Calculation Sheet'!$Y$4:$Y$40,$BJ30-3)="","",INDEX('Final Calculation Sheet'!$Y$4:$Y$40,$BJ30-3)),IF(OR($BI30=1,$BH30&gt;0),"–",""))</f>
        <v/>
      </c>
      <c r="AA30" s="652">
        <f>IF($BJ30&gt;0,IF(INDEX('Final Calculation Sheet'!$Z$4:$Z$40,$BJ30-3)="","",INDEX('Final Calculation Sheet'!$Z$4:$Z$40,$BJ30-3)),IF($BI30=1,SUM('Final Calculation Sheet'!$Z$4:$Z$40),IF($BH30&gt;0,SUMIFS('Final Calculation Sheet'!$Z$4:$Z$40,$AZ$5:$AZ$41,$BH30),"")))</f>
        <v/>
      </c>
      <c r="AB30" s="652">
        <f>IF($BJ30&gt;0,IF(INDEX('Final Calculation Sheet'!$AA$4:$AA$40,$BJ30-3)="","",INDEX('Final Calculation Sheet'!$AA$4:$AA$40,$BJ30-3)),IF($BI30=1,SUM('Final Calculation Sheet'!$AA$4:$AA$40),IF($BH30&gt;0,SUMIFS('Final Calculation Sheet'!$AA$4:$AA$40,$AZ$5:$AZ$41,$BH30),"")))</f>
        <v/>
      </c>
      <c r="AC30" s="652">
        <f>IF($BJ30&gt;0,IF(INDEX('Final Calculation Sheet'!$AB$4:$AB$40,$BJ30-3)="","",INDEX('Final Calculation Sheet'!$AB$4:$AB$40,$BJ30-3)),IF(OR($BI30=1,$BH30&gt;0),"–",""))</f>
        <v/>
      </c>
      <c r="AD30" s="652">
        <f>IF($BJ30&gt;0,IF(INDEX('Final Calculation Sheet'!$AC$4:$AC$40,$BJ30-3)="","",INDEX('Final Calculation Sheet'!$AC$4:$AC$40,$BJ30-3)),IF($BI30=1,SUM('Final Calculation Sheet'!$AC$4:$AC$40),IF($BH30&gt;0,SUMIFS('Final Calculation Sheet'!$AC$4:$AC$40,$AZ$5:$AZ$41,$BH30),"")))</f>
        <v/>
      </c>
      <c r="AE30" s="652">
        <f>IF($BJ30&gt;0,IF(INDEX('Final Calculation Sheet'!$AD$4:$AD$40,$BJ30-3)="","",INDEX('Final Calculation Sheet'!$AD$4:$AD$40,$BJ30-3)),IF($BI30=1,SUM('Final Calculation Sheet'!$AD$4:$AD$40),IF($BH30&gt;0,SUMIFS('Final Calculation Sheet'!$AD$4:$AD$40,$AZ$5:$AZ$41,$BH30),"")))</f>
        <v/>
      </c>
      <c r="AF30" s="652">
        <f>IF($BJ30&gt;0,IF(INDEX('Final Calculation Sheet'!$AE$4:$AE$40,$BJ30-3)="","",INDEX('Final Calculation Sheet'!$AE$4:$AE$40,$BJ30-3)),IF(OR($BI30=1,$BH30&gt;0),"–",""))</f>
        <v/>
      </c>
      <c r="AG30" s="656">
        <f>IF($BJ30&gt;0,IF(INDEX('Final Calculation Sheet'!$AF$4:$AF$40,$BJ30-3)="","",INDEX('Final Calculation Sheet'!$AF$4:$AF$40,$BJ30-3)),IF(OR($BI30=1,$BH30&gt;0),"–",""))</f>
        <v/>
      </c>
      <c r="AH30" s="652">
        <f>IF($BJ30&gt;0,IF(INDEX('Final Calculation Sheet'!$AG$4:$AG$40,$BJ30-3)="","",INDEX('Final Calculation Sheet'!$AG$4:$AG$40,$BJ30-3)),IF(OR($BI30=1,$BH30&gt;0),"–",""))</f>
        <v/>
      </c>
      <c r="AI30" s="657">
        <f>IF($BJ30&gt;0,IF(INDEX('Final Calculation Sheet'!$AD$4:$AD$40,$BJ30-3)="","",IF(INDEX('Final Calculation Sheet'!$AD$4:$AD$40,$BJ30-3)&lt;=0,"SETTLED","OUTSTANDING")),IF(OR($BI30=1,$BH30&gt;0),IF(IF($BI30=1,SUM('Final Calculation Sheet'!$AD$4:$AD$40),SUMIFS('Final Calculation Sheet'!$AD$4:$AD$40,$AZ$5:$AZ$41,$BH30))&lt;=0,"ALL SETTLED","OUTSTANDING"),""))</f>
        <v/>
      </c>
      <c r="AK30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/>
      </c>
      <c r="AM30">
        <f>IF($B$3="",1,IF(AND(IF(COUNTIF($AR$9:$AY$9,1)=0,TRUE,SUMPRODUCT(($AR$9:$AY$9=1)*($AR$6:$AY$6&lt;&gt;"")*ISNUMBER(SEARCH($AR$6:$AY$6,$AK30)))&gt;0),IF(COUNTIF($AR$9:$AY$9,2)=0,TRUE,SUMPRODUCT(($AR$9:$AY$9=2)*($AR$6:$AY$6&lt;&gt;"")*ISNUMBER(SEARCH($AR$6:$AY$6,$AK30)))&gt;0),IF(COUNTIF($AR$9:$AY$9,3)=0,TRUE,SUMPRODUCT(($AR$9:$AY$9=3)*($AR$6:$AY$6&lt;&gt;"")*ISNUMBER(SEARCH($AR$6:$AY$6,$AK30)))&gt;0),IF(COUNTIF($AR$9:$AY$9,4)=0,TRUE,SUMPRODUCT(($AR$9:$AY$9=4)*($AR$6:$AY$6&lt;&gt;"")*ISNUMBER(SEARCH($AR$6:$AY$6,$AK30)))&gt;0),IF(COUNTIF($AR$9:$AY$9,5)=0,TRUE,SUMPRODUCT(($AR$9:$AY$9=5)*($AR$6:$AY$6&lt;&gt;"")*ISNUMBER(SEARCH($AR$6:$AY$6,$AK30)))&gt;0),IF(COUNTIF($AR$9:$AY$9,6)=0,TRUE,SUMPRODUCT(($AR$9:$AY$9=6)*($AR$6:$AY$6&lt;&gt;"")*ISNUMBER(SEARCH($AR$6:$AY$6,$AK30)))&gt;0),IF(COUNTIF($AR$9:$AY$9,7)=0,TRUE,SUMPRODUCT(($AR$9:$AY$9=7)*($AR$6:$AY$6&lt;&gt;"")*ISNUMBER(SEARCH($AR$6:$AY$6,$AK30)))&gt;0),IF(COUNTIF($AR$9:$AY$9,8)=0,TRUE,SUMPRODUCT(($AR$9:$AY$9=8)*($AR$6:$AY$6&lt;&gt;"")*ISNUMBER(SEARCH($AR$6:$AY$6,$AK30)))&gt;0)),1,0))</f>
        <v/>
      </c>
      <c r="AZ30">
        <f>IF($B$3="",9,IF($AM30=0,10,IF(AND($AR$6&lt;&gt;"",ISNUMBER(SEARCH($AR$6,$AK30))),1,IF(AND($AS$6&lt;&gt;"",ISNUMBER(SEARCH($AS$6,$AK30))),2,IF(AND($AT$6&lt;&gt;"",ISNUMBER(SEARCH($AT$6,$AK30))),3,IF(AND($AU$6&lt;&gt;"",ISNUMBER(SEARCH($AU$6,$AK30))),4,IF(AND($AV$6&lt;&gt;"",ISNUMBER(SEARCH($AV$6,$AK30))),5,IF(AND($AW$6&lt;&gt;"",ISNUMBER(SEARCH($AW$6,$AK30))),6,IF(AND($AX$6&lt;&gt;"",ISNUMBER(SEARCH($AX$6,$AK30))),7,IF(AND($AY$6&lt;&gt;"",ISNUMBER(SEARCH($AY$6,$AK30))),8,0))))))))))</f>
        <v/>
      </c>
      <c r="BA30">
        <f>SUMPRODUCT(($AZ$5:$AZ$41=$AZ30)*($BC$5:$BC$41&lt;$BC30))+1</f>
        <v/>
      </c>
      <c r="BB30">
        <f>IF(INDEX($BF$4:$BF$13,$AZ30)=0,0,INDEX($BE$4:$BE$13,$AZ30)+$BA30-1)</f>
        <v/>
      </c>
      <c r="BC30" t="n">
        <v>29</v>
      </c>
      <c r="BH30">
        <f>IFERROR(MATCH(30,$BF$4:$BF$13,0),0)</f>
        <v/>
      </c>
      <c r="BI30">
        <f>IF(30=$BG$4,1,0)</f>
        <v/>
      </c>
      <c r="BJ30">
        <f>IF(OR($BH30&gt;0,$BI30=1),0,IFERROR(INDEX($BC$5:$BC$41,MATCH(30,$BB$5:$BB$41,0)),0))</f>
        <v/>
      </c>
      <c r="BK30">
        <f>IF($BJ30&gt;0,IF(INDEX($AZ$5:$AZ$41,MATCH(30,$BB$5:$BB$41,0))=10,1,0),IF($BH30=10,1,0))</f>
        <v/>
      </c>
    </row>
    <row r="31" ht="15" customHeight="1">
      <c r="A31" s="649">
        <f>IF($BJ31&gt;0,INDEX($BA$5:$BA$41,MATCH(31,$BB$5:$BB$41,0)),IF(OR($BI31=1,$BH31&gt;0),"∑",""))</f>
        <v/>
      </c>
      <c r="B31" s="650">
        <f>IF($BJ31&gt;0,IF(INDEX('Final Calculation Sheet'!$F$4:$F$40,$BJ31-3)="","",INDEX('Final Calculation Sheet'!$F$4:$F$40,$BJ31-3)),"")</f>
        <v/>
      </c>
      <c r="C31" s="650">
        <f>IF($BJ31&gt;0,IF(INDEX('Final Calculation Sheet'!$G$4:$G$40,$BJ31-3)="","",INDEX('Final Calculation Sheet'!$G$4:$G$40,$BJ31-3)),IF(OR($BI31=1,$BH31&gt;0),IF($BI31=1,37,INDEX($BD$4:$BD$13,$BH31))&amp;" lot(s)",""))</f>
        <v/>
      </c>
      <c r="D31" s="651">
        <f>IF($BJ31&gt;0,IF(INDEX('Final Calculation Sheet'!$B$4:$B$40,$BJ31-3)="","",INDEX('Final Calculation Sheet'!$B$4:$B$40,$BJ31-3)),IF(OR($BI31=1,$BH31&gt;0),IF($BI31=1,"GRAND TOTAL  —  matching + remaining",IF($BH31=10,"REMAINING  —  did not match the search",IF($BH31=9,"ALL LOTS  —  nothing typed in the box","GROUP "&amp;$BH31&amp;" TOTAL  —  lots matching  "&amp;INDEX($AR$6:$AY$6,$BH31)))),""))</f>
        <v/>
      </c>
      <c r="E31" s="651">
        <f>IF($BJ31&gt;0,IF(INDEX('Final Calculation Sheet'!$D$4:$D$40,$BJ31-3)="","",INDEX('Final Calculation Sheet'!$D$4:$D$40,$BJ31-3)),IF(OR($BI31=1,$BH31&gt;0),"–",""))</f>
        <v/>
      </c>
      <c r="F31" s="651">
        <f>IF($BJ31&gt;0,IF(INDEX('Final Calculation Sheet'!$A$4:$A$40,$BJ31-3)="","",INDEX('Final Calculation Sheet'!$A$4:$A$40,$BJ31-3)),IF($BI31=1,SUM('Final Calculation Sheet'!$A$4:$A$40),IF($BH31&gt;0,SUMIFS('Final Calculation Sheet'!$A$4:$A$40,$AZ$5:$AZ$41,$BH31),"")))</f>
        <v/>
      </c>
      <c r="G31" s="651">
        <f>IF($BJ31&gt;0,IF(INDEX('Final Calculation Sheet'!$E$4:$E$40,$BJ31-3)="","",INDEX('Final Calculation Sheet'!$E$4:$E$40,$BJ31-3)),IF(OR($BI31=1,$BH31&gt;0),"–",""))</f>
        <v/>
      </c>
      <c r="H31" s="652">
        <f>IF($BJ31&gt;0,IF(INDEX('Final Calculation Sheet'!$C$4:$C$40,$BJ31-3)="","",INDEX('Final Calculation Sheet'!$C$4:$C$40,$BJ31-3)),IF(OR($BI31=1,$BH31&gt;0),"–",""))</f>
        <v/>
      </c>
      <c r="I31" s="652">
        <f>IF($BJ31&gt;0,IF(INDEX('Final Calculation Sheet'!$H$4:$H$40,$BJ31-3)="","",INDEX('Final Calculation Sheet'!$H$4:$H$40,$BJ31-3)),IF($BI31=1,SUM('Final Calculation Sheet'!$H$4:$H$40),IF($BH31&gt;0,SUMIFS('Final Calculation Sheet'!$H$4:$H$40,$AZ$5:$AZ$41,$BH31),"")))</f>
        <v/>
      </c>
      <c r="J31" s="652">
        <f>IF($BJ31&gt;0,IF(INDEX('Final Calculation Sheet'!$I$4:$I$40,$BJ31-3)="","",INDEX('Final Calculation Sheet'!$I$4:$I$40,$BJ31-3)),IF($BI31=1,SUM('Final Calculation Sheet'!$I$4:$I$40),IF($BH31&gt;0,SUMIFS('Final Calculation Sheet'!$I$4:$I$40,$AZ$5:$AZ$41,$BH31),"")))</f>
        <v/>
      </c>
      <c r="K31" s="652">
        <f>IF($BJ31&gt;0,IF(INDEX('Final Calculation Sheet'!$J$4:$J$40,$BJ31-3)="","",INDEX('Final Calculation Sheet'!$J$4:$J$40,$BJ31-3)),IF($BI31=1,SUM('Final Calculation Sheet'!$J$4:$J$40),IF($BH31&gt;0,SUMIFS('Final Calculation Sheet'!$J$4:$J$40,$AZ$5:$AZ$41,$BH31),"")))</f>
        <v/>
      </c>
      <c r="L31" s="652">
        <f>IF($BJ31&gt;0,IF(INDEX('Final Calculation Sheet'!$K$4:$K$40,$BJ31-3)="","",INDEX('Final Calculation Sheet'!$K$4:$K$40,$BJ31-3)),IF($BI31=1,SUM('Final Calculation Sheet'!$K$4:$K$40),IF($BH31&gt;0,SUMIFS('Final Calculation Sheet'!$K$4:$K$40,$AZ$5:$AZ$41,$BH31),"")))</f>
        <v/>
      </c>
      <c r="M31" s="652">
        <f>IF($BJ31&gt;0,IF(INDEX('Final Calculation Sheet'!$L$4:$L$40,$BJ31-3)="","",INDEX('Final Calculation Sheet'!$L$4:$L$40,$BJ31-3)),IF($BI31=1,SUM('Final Calculation Sheet'!$L$4:$L$40),IF($BH31&gt;0,SUMIFS('Final Calculation Sheet'!$L$4:$L$40,$AZ$5:$AZ$41,$BH31),"")))</f>
        <v/>
      </c>
      <c r="N31" s="652">
        <f>IF($BJ31&gt;0,IF(INDEX('Final Calculation Sheet'!$M$4:$M$40,$BJ31-3)="","",INDEX('Final Calculation Sheet'!$M$4:$M$40,$BJ31-3)),IF($BI31=1,SUM('Final Calculation Sheet'!$M$4:$M$40),IF($BH31&gt;0,SUMIFS('Final Calculation Sheet'!$M$4:$M$40,$AZ$5:$AZ$41,$BH31),"")))</f>
        <v/>
      </c>
      <c r="O31" s="653">
        <f>IF($BJ31&gt;0,IF(INDEX('Final Calculation Sheet'!$N$4:$N$40,$BJ31-3)="","",INDEX('Final Calculation Sheet'!$N$4:$N$40,$BJ31-3)),IF($BI31=1,SUM('Final Calculation Sheet'!$N$4:$N$40),IF($BH31&gt;0,SUMIFS('Final Calculation Sheet'!$N$4:$N$40,$AZ$5:$AZ$41,$BH31),"")))</f>
        <v/>
      </c>
      <c r="P31" s="652">
        <f>IF($BJ31&gt;0,IF(INDEX('Final Calculation Sheet'!$O$4:$O$40,$BJ31-3)="","",INDEX('Final Calculation Sheet'!$O$4:$O$40,$BJ31-3)),IF($BI31=1,SUM('Final Calculation Sheet'!$O$4:$O$40),IF($BH31&gt;0,SUMIFS('Final Calculation Sheet'!$O$4:$O$40,$AZ$5:$AZ$41,$BH31),"")))</f>
        <v/>
      </c>
      <c r="Q31" s="652">
        <f>IF($BJ31&gt;0,IF(INDEX('Final Calculation Sheet'!$P$4:$P$40,$BJ31-3)="","",INDEX('Final Calculation Sheet'!$P$4:$P$40,$BJ31-3)),IF($BI31=1,SUM('Final Calculation Sheet'!$P$4:$P$40),IF($BH31&gt;0,SUMIFS('Final Calculation Sheet'!$P$4:$P$40,$AZ$5:$AZ$41,$BH31),"")))</f>
        <v/>
      </c>
      <c r="R31" s="654">
        <f>IF($BJ31&gt;0,IF(INDEX('Final Calculation Sheet'!$Q$4:$Q$40,$BJ31-3)="","",INDEX('Final Calculation Sheet'!$Q$4:$Q$40,$BJ31-3)),IF(OR($BI31=1,$BH31&gt;0),"–",""))</f>
        <v/>
      </c>
      <c r="S31" s="652">
        <f>IF($BJ31&gt;0,IF(INDEX('Final Calculation Sheet'!$R$4:$R$40,$BJ31-3)="","",INDEX('Final Calculation Sheet'!$R$4:$R$40,$BJ31-3)),IF($BI31=1,SUM('Final Calculation Sheet'!$R$4:$R$40),IF($BH31&gt;0,SUMIFS('Final Calculation Sheet'!$R$4:$R$40,$AZ$5:$AZ$41,$BH31),"")))</f>
        <v/>
      </c>
      <c r="T31" s="652">
        <f>IF($BJ31&gt;0,IF(INDEX('Final Calculation Sheet'!$S$4:$S$40,$BJ31-3)="","",INDEX('Final Calculation Sheet'!$S$4:$S$40,$BJ31-3)),IF($BI31=1,SUM('Final Calculation Sheet'!$S$4:$S$40),IF($BH31&gt;0,SUMIFS('Final Calculation Sheet'!$S$4:$S$40,$AZ$5:$AZ$41,$BH31),"")))</f>
        <v/>
      </c>
      <c r="U31" s="652">
        <f>IF($BJ31&gt;0,IF(INDEX('Final Calculation Sheet'!$T$4:$T$40,$BJ31-3)="","",INDEX('Final Calculation Sheet'!$T$4:$T$40,$BJ31-3)),IF($BI31=1,SUM('Final Calculation Sheet'!$T$4:$T$40),IF($BH31&gt;0,SUMIFS('Final Calculation Sheet'!$T$4:$T$40,$AZ$5:$AZ$41,$BH31),"")))</f>
        <v/>
      </c>
      <c r="V31" s="655">
        <f>IF($BJ31&gt;0,IF(INDEX('Final Calculation Sheet'!$U$4:$U$40,$BJ31-3)="","",INDEX('Final Calculation Sheet'!$U$4:$U$40,$BJ31-3)),IF($BI31=1,SUM('Final Calculation Sheet'!$U$4:$U$40),IF($BH31&gt;0,SUMIFS('Final Calculation Sheet'!$U$4:$U$40,$AZ$5:$AZ$41,$BH31),"")))</f>
        <v/>
      </c>
      <c r="W31" s="652">
        <f>IF($BJ31&gt;0,IF(INDEX('Final Calculation Sheet'!$V$4:$V$40,$BJ31-3)="","",INDEX('Final Calculation Sheet'!$V$4:$V$40,$BJ31-3)),IF(OR($BI31=1,$BH31&gt;0),"–",""))</f>
        <v/>
      </c>
      <c r="X31" s="652">
        <f>IF($BJ31&gt;0,IF(INDEX('Final Calculation Sheet'!$W$4:$W$40,$BJ31-3)="","",INDEX('Final Calculation Sheet'!$W$4:$W$40,$BJ31-3)),IF($BI31=1,SUM('Final Calculation Sheet'!$W$4:$W$40),IF($BH31&gt;0,SUMIFS('Final Calculation Sheet'!$W$4:$W$40,$AZ$5:$AZ$41,$BH31),"")))</f>
        <v/>
      </c>
      <c r="Y31" s="652">
        <f>IF($BJ31&gt;0,IF(INDEX('Final Calculation Sheet'!$X$4:$X$40,$BJ31-3)="","",INDEX('Final Calculation Sheet'!$X$4:$X$40,$BJ31-3)),IF($BI31=1,SUM('Final Calculation Sheet'!$X$4:$X$40),IF($BH31&gt;0,SUMIFS('Final Calculation Sheet'!$X$4:$X$40,$AZ$5:$AZ$41,$BH31),"")))</f>
        <v/>
      </c>
      <c r="Z31" s="652">
        <f>IF($BJ31&gt;0,IF(INDEX('Final Calculation Sheet'!$Y$4:$Y$40,$BJ31-3)="","",INDEX('Final Calculation Sheet'!$Y$4:$Y$40,$BJ31-3)),IF(OR($BI31=1,$BH31&gt;0),"–",""))</f>
        <v/>
      </c>
      <c r="AA31" s="652">
        <f>IF($BJ31&gt;0,IF(INDEX('Final Calculation Sheet'!$Z$4:$Z$40,$BJ31-3)="","",INDEX('Final Calculation Sheet'!$Z$4:$Z$40,$BJ31-3)),IF($BI31=1,SUM('Final Calculation Sheet'!$Z$4:$Z$40),IF($BH31&gt;0,SUMIFS('Final Calculation Sheet'!$Z$4:$Z$40,$AZ$5:$AZ$41,$BH31),"")))</f>
        <v/>
      </c>
      <c r="AB31" s="652">
        <f>IF($BJ31&gt;0,IF(INDEX('Final Calculation Sheet'!$AA$4:$AA$40,$BJ31-3)="","",INDEX('Final Calculation Sheet'!$AA$4:$AA$40,$BJ31-3)),IF($BI31=1,SUM('Final Calculation Sheet'!$AA$4:$AA$40),IF($BH31&gt;0,SUMIFS('Final Calculation Sheet'!$AA$4:$AA$40,$AZ$5:$AZ$41,$BH31),"")))</f>
        <v/>
      </c>
      <c r="AC31" s="652">
        <f>IF($BJ31&gt;0,IF(INDEX('Final Calculation Sheet'!$AB$4:$AB$40,$BJ31-3)="","",INDEX('Final Calculation Sheet'!$AB$4:$AB$40,$BJ31-3)),IF(OR($BI31=1,$BH31&gt;0),"–",""))</f>
        <v/>
      </c>
      <c r="AD31" s="652">
        <f>IF($BJ31&gt;0,IF(INDEX('Final Calculation Sheet'!$AC$4:$AC$40,$BJ31-3)="","",INDEX('Final Calculation Sheet'!$AC$4:$AC$40,$BJ31-3)),IF($BI31=1,SUM('Final Calculation Sheet'!$AC$4:$AC$40),IF($BH31&gt;0,SUMIFS('Final Calculation Sheet'!$AC$4:$AC$40,$AZ$5:$AZ$41,$BH31),"")))</f>
        <v/>
      </c>
      <c r="AE31" s="652">
        <f>IF($BJ31&gt;0,IF(INDEX('Final Calculation Sheet'!$AD$4:$AD$40,$BJ31-3)="","",INDEX('Final Calculation Sheet'!$AD$4:$AD$40,$BJ31-3)),IF($BI31=1,SUM('Final Calculation Sheet'!$AD$4:$AD$40),IF($BH31&gt;0,SUMIFS('Final Calculation Sheet'!$AD$4:$AD$40,$AZ$5:$AZ$41,$BH31),"")))</f>
        <v/>
      </c>
      <c r="AF31" s="652">
        <f>IF($BJ31&gt;0,IF(INDEX('Final Calculation Sheet'!$AE$4:$AE$40,$BJ31-3)="","",INDEX('Final Calculation Sheet'!$AE$4:$AE$40,$BJ31-3)),IF(OR($BI31=1,$BH31&gt;0),"–",""))</f>
        <v/>
      </c>
      <c r="AG31" s="656">
        <f>IF($BJ31&gt;0,IF(INDEX('Final Calculation Sheet'!$AF$4:$AF$40,$BJ31-3)="","",INDEX('Final Calculation Sheet'!$AF$4:$AF$40,$BJ31-3)),IF(OR($BI31=1,$BH31&gt;0),"–",""))</f>
        <v/>
      </c>
      <c r="AH31" s="652">
        <f>IF($BJ31&gt;0,IF(INDEX('Final Calculation Sheet'!$AG$4:$AG$40,$BJ31-3)="","",INDEX('Final Calculation Sheet'!$AG$4:$AG$40,$BJ31-3)),IF(OR($BI31=1,$BH31&gt;0),"–",""))</f>
        <v/>
      </c>
      <c r="AI31" s="657">
        <f>IF($BJ31&gt;0,IF(INDEX('Final Calculation Sheet'!$AD$4:$AD$40,$BJ31-3)="","",IF(INDEX('Final Calculation Sheet'!$AD$4:$AD$40,$BJ31-3)&lt;=0,"SETTLED","OUTSTANDING")),IF(OR($BI31=1,$BH31&gt;0),IF(IF($BI31=1,SUM('Final Calculation Sheet'!$AD$4:$AD$40),SUMIFS('Final Calculation Sheet'!$AD$4:$AD$40,$AZ$5:$AZ$41,$BH31))&lt;=0,"ALL SETTLED","OUTSTANDING"),""))</f>
        <v/>
      </c>
      <c r="AK31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/>
      </c>
      <c r="AM31">
        <f>IF($B$3="",1,IF(AND(IF(COUNTIF($AR$9:$AY$9,1)=0,TRUE,SUMPRODUCT(($AR$9:$AY$9=1)*($AR$6:$AY$6&lt;&gt;"")*ISNUMBER(SEARCH($AR$6:$AY$6,$AK31)))&gt;0),IF(COUNTIF($AR$9:$AY$9,2)=0,TRUE,SUMPRODUCT(($AR$9:$AY$9=2)*($AR$6:$AY$6&lt;&gt;"")*ISNUMBER(SEARCH($AR$6:$AY$6,$AK31)))&gt;0),IF(COUNTIF($AR$9:$AY$9,3)=0,TRUE,SUMPRODUCT(($AR$9:$AY$9=3)*($AR$6:$AY$6&lt;&gt;"")*ISNUMBER(SEARCH($AR$6:$AY$6,$AK31)))&gt;0),IF(COUNTIF($AR$9:$AY$9,4)=0,TRUE,SUMPRODUCT(($AR$9:$AY$9=4)*($AR$6:$AY$6&lt;&gt;"")*ISNUMBER(SEARCH($AR$6:$AY$6,$AK31)))&gt;0),IF(COUNTIF($AR$9:$AY$9,5)=0,TRUE,SUMPRODUCT(($AR$9:$AY$9=5)*($AR$6:$AY$6&lt;&gt;"")*ISNUMBER(SEARCH($AR$6:$AY$6,$AK31)))&gt;0),IF(COUNTIF($AR$9:$AY$9,6)=0,TRUE,SUMPRODUCT(($AR$9:$AY$9=6)*($AR$6:$AY$6&lt;&gt;"")*ISNUMBER(SEARCH($AR$6:$AY$6,$AK31)))&gt;0),IF(COUNTIF($AR$9:$AY$9,7)=0,TRUE,SUMPRODUCT(($AR$9:$AY$9=7)*($AR$6:$AY$6&lt;&gt;"")*ISNUMBER(SEARCH($AR$6:$AY$6,$AK31)))&gt;0),IF(COUNTIF($AR$9:$AY$9,8)=0,TRUE,SUMPRODUCT(($AR$9:$AY$9=8)*($AR$6:$AY$6&lt;&gt;"")*ISNUMBER(SEARCH($AR$6:$AY$6,$AK31)))&gt;0)),1,0))</f>
        <v/>
      </c>
      <c r="AZ31">
        <f>IF($B$3="",9,IF($AM31=0,10,IF(AND($AR$6&lt;&gt;"",ISNUMBER(SEARCH($AR$6,$AK31))),1,IF(AND($AS$6&lt;&gt;"",ISNUMBER(SEARCH($AS$6,$AK31))),2,IF(AND($AT$6&lt;&gt;"",ISNUMBER(SEARCH($AT$6,$AK31))),3,IF(AND($AU$6&lt;&gt;"",ISNUMBER(SEARCH($AU$6,$AK31))),4,IF(AND($AV$6&lt;&gt;"",ISNUMBER(SEARCH($AV$6,$AK31))),5,IF(AND($AW$6&lt;&gt;"",ISNUMBER(SEARCH($AW$6,$AK31))),6,IF(AND($AX$6&lt;&gt;"",ISNUMBER(SEARCH($AX$6,$AK31))),7,IF(AND($AY$6&lt;&gt;"",ISNUMBER(SEARCH($AY$6,$AK31))),8,0))))))))))</f>
        <v/>
      </c>
      <c r="BA31">
        <f>SUMPRODUCT(($AZ$5:$AZ$41=$AZ31)*($BC$5:$BC$41&lt;$BC31))+1</f>
        <v/>
      </c>
      <c r="BB31">
        <f>IF(INDEX($BF$4:$BF$13,$AZ31)=0,0,INDEX($BE$4:$BE$13,$AZ31)+$BA31-1)</f>
        <v/>
      </c>
      <c r="BC31" t="n">
        <v>30</v>
      </c>
      <c r="BH31">
        <f>IFERROR(MATCH(31,$BF$4:$BF$13,0),0)</f>
        <v/>
      </c>
      <c r="BI31">
        <f>IF(31=$BG$4,1,0)</f>
        <v/>
      </c>
      <c r="BJ31">
        <f>IF(OR($BH31&gt;0,$BI31=1),0,IFERROR(INDEX($BC$5:$BC$41,MATCH(31,$BB$5:$BB$41,0)),0))</f>
        <v/>
      </c>
      <c r="BK31">
        <f>IF($BJ31&gt;0,IF(INDEX($AZ$5:$AZ$41,MATCH(31,$BB$5:$BB$41,0))=10,1,0),IF($BH31=10,1,0))</f>
        <v/>
      </c>
    </row>
    <row r="32" ht="15" customHeight="1">
      <c r="A32" s="649">
        <f>IF($BJ32&gt;0,INDEX($BA$5:$BA$41,MATCH(32,$BB$5:$BB$41,0)),IF(OR($BI32=1,$BH32&gt;0),"∑",""))</f>
        <v/>
      </c>
      <c r="B32" s="650">
        <f>IF($BJ32&gt;0,IF(INDEX('Final Calculation Sheet'!$F$4:$F$40,$BJ32-3)="","",INDEX('Final Calculation Sheet'!$F$4:$F$40,$BJ32-3)),"")</f>
        <v/>
      </c>
      <c r="C32" s="650">
        <f>IF($BJ32&gt;0,IF(INDEX('Final Calculation Sheet'!$G$4:$G$40,$BJ32-3)="","",INDEX('Final Calculation Sheet'!$G$4:$G$40,$BJ32-3)),IF(OR($BI32=1,$BH32&gt;0),IF($BI32=1,37,INDEX($BD$4:$BD$13,$BH32))&amp;" lot(s)",""))</f>
        <v/>
      </c>
      <c r="D32" s="651">
        <f>IF($BJ32&gt;0,IF(INDEX('Final Calculation Sheet'!$B$4:$B$40,$BJ32-3)="","",INDEX('Final Calculation Sheet'!$B$4:$B$40,$BJ32-3)),IF(OR($BI32=1,$BH32&gt;0),IF($BI32=1,"GRAND TOTAL  —  matching + remaining",IF($BH32=10,"REMAINING  —  did not match the search",IF($BH32=9,"ALL LOTS  —  nothing typed in the box","GROUP "&amp;$BH32&amp;" TOTAL  —  lots matching  "&amp;INDEX($AR$6:$AY$6,$BH32)))),""))</f>
        <v/>
      </c>
      <c r="E32" s="651">
        <f>IF($BJ32&gt;0,IF(INDEX('Final Calculation Sheet'!$D$4:$D$40,$BJ32-3)="","",INDEX('Final Calculation Sheet'!$D$4:$D$40,$BJ32-3)),IF(OR($BI32=1,$BH32&gt;0),"–",""))</f>
        <v/>
      </c>
      <c r="F32" s="651">
        <f>IF($BJ32&gt;0,IF(INDEX('Final Calculation Sheet'!$A$4:$A$40,$BJ32-3)="","",INDEX('Final Calculation Sheet'!$A$4:$A$40,$BJ32-3)),IF($BI32=1,SUM('Final Calculation Sheet'!$A$4:$A$40),IF($BH32&gt;0,SUMIFS('Final Calculation Sheet'!$A$4:$A$40,$AZ$5:$AZ$41,$BH32),"")))</f>
        <v/>
      </c>
      <c r="G32" s="651">
        <f>IF($BJ32&gt;0,IF(INDEX('Final Calculation Sheet'!$E$4:$E$40,$BJ32-3)="","",INDEX('Final Calculation Sheet'!$E$4:$E$40,$BJ32-3)),IF(OR($BI32=1,$BH32&gt;0),"–",""))</f>
        <v/>
      </c>
      <c r="H32" s="652">
        <f>IF($BJ32&gt;0,IF(INDEX('Final Calculation Sheet'!$C$4:$C$40,$BJ32-3)="","",INDEX('Final Calculation Sheet'!$C$4:$C$40,$BJ32-3)),IF(OR($BI32=1,$BH32&gt;0),"–",""))</f>
        <v/>
      </c>
      <c r="I32" s="652">
        <f>IF($BJ32&gt;0,IF(INDEX('Final Calculation Sheet'!$H$4:$H$40,$BJ32-3)="","",INDEX('Final Calculation Sheet'!$H$4:$H$40,$BJ32-3)),IF($BI32=1,SUM('Final Calculation Sheet'!$H$4:$H$40),IF($BH32&gt;0,SUMIFS('Final Calculation Sheet'!$H$4:$H$40,$AZ$5:$AZ$41,$BH32),"")))</f>
        <v/>
      </c>
      <c r="J32" s="652">
        <f>IF($BJ32&gt;0,IF(INDEX('Final Calculation Sheet'!$I$4:$I$40,$BJ32-3)="","",INDEX('Final Calculation Sheet'!$I$4:$I$40,$BJ32-3)),IF($BI32=1,SUM('Final Calculation Sheet'!$I$4:$I$40),IF($BH32&gt;0,SUMIFS('Final Calculation Sheet'!$I$4:$I$40,$AZ$5:$AZ$41,$BH32),"")))</f>
        <v/>
      </c>
      <c r="K32" s="652">
        <f>IF($BJ32&gt;0,IF(INDEX('Final Calculation Sheet'!$J$4:$J$40,$BJ32-3)="","",INDEX('Final Calculation Sheet'!$J$4:$J$40,$BJ32-3)),IF($BI32=1,SUM('Final Calculation Sheet'!$J$4:$J$40),IF($BH32&gt;0,SUMIFS('Final Calculation Sheet'!$J$4:$J$40,$AZ$5:$AZ$41,$BH32),"")))</f>
        <v/>
      </c>
      <c r="L32" s="652">
        <f>IF($BJ32&gt;0,IF(INDEX('Final Calculation Sheet'!$K$4:$K$40,$BJ32-3)="","",INDEX('Final Calculation Sheet'!$K$4:$K$40,$BJ32-3)),IF($BI32=1,SUM('Final Calculation Sheet'!$K$4:$K$40),IF($BH32&gt;0,SUMIFS('Final Calculation Sheet'!$K$4:$K$40,$AZ$5:$AZ$41,$BH32),"")))</f>
        <v/>
      </c>
      <c r="M32" s="652">
        <f>IF($BJ32&gt;0,IF(INDEX('Final Calculation Sheet'!$L$4:$L$40,$BJ32-3)="","",INDEX('Final Calculation Sheet'!$L$4:$L$40,$BJ32-3)),IF($BI32=1,SUM('Final Calculation Sheet'!$L$4:$L$40),IF($BH32&gt;0,SUMIFS('Final Calculation Sheet'!$L$4:$L$40,$AZ$5:$AZ$41,$BH32),"")))</f>
        <v/>
      </c>
      <c r="N32" s="652">
        <f>IF($BJ32&gt;0,IF(INDEX('Final Calculation Sheet'!$M$4:$M$40,$BJ32-3)="","",INDEX('Final Calculation Sheet'!$M$4:$M$40,$BJ32-3)),IF($BI32=1,SUM('Final Calculation Sheet'!$M$4:$M$40),IF($BH32&gt;0,SUMIFS('Final Calculation Sheet'!$M$4:$M$40,$AZ$5:$AZ$41,$BH32),"")))</f>
        <v/>
      </c>
      <c r="O32" s="653">
        <f>IF($BJ32&gt;0,IF(INDEX('Final Calculation Sheet'!$N$4:$N$40,$BJ32-3)="","",INDEX('Final Calculation Sheet'!$N$4:$N$40,$BJ32-3)),IF($BI32=1,SUM('Final Calculation Sheet'!$N$4:$N$40),IF($BH32&gt;0,SUMIFS('Final Calculation Sheet'!$N$4:$N$40,$AZ$5:$AZ$41,$BH32),"")))</f>
        <v/>
      </c>
      <c r="P32" s="652">
        <f>IF($BJ32&gt;0,IF(INDEX('Final Calculation Sheet'!$O$4:$O$40,$BJ32-3)="","",INDEX('Final Calculation Sheet'!$O$4:$O$40,$BJ32-3)),IF($BI32=1,SUM('Final Calculation Sheet'!$O$4:$O$40),IF($BH32&gt;0,SUMIFS('Final Calculation Sheet'!$O$4:$O$40,$AZ$5:$AZ$41,$BH32),"")))</f>
        <v/>
      </c>
      <c r="Q32" s="652">
        <f>IF($BJ32&gt;0,IF(INDEX('Final Calculation Sheet'!$P$4:$P$40,$BJ32-3)="","",INDEX('Final Calculation Sheet'!$P$4:$P$40,$BJ32-3)),IF($BI32=1,SUM('Final Calculation Sheet'!$P$4:$P$40),IF($BH32&gt;0,SUMIFS('Final Calculation Sheet'!$P$4:$P$40,$AZ$5:$AZ$41,$BH32),"")))</f>
        <v/>
      </c>
      <c r="R32" s="654">
        <f>IF($BJ32&gt;0,IF(INDEX('Final Calculation Sheet'!$Q$4:$Q$40,$BJ32-3)="","",INDEX('Final Calculation Sheet'!$Q$4:$Q$40,$BJ32-3)),IF(OR($BI32=1,$BH32&gt;0),"–",""))</f>
        <v/>
      </c>
      <c r="S32" s="652">
        <f>IF($BJ32&gt;0,IF(INDEX('Final Calculation Sheet'!$R$4:$R$40,$BJ32-3)="","",INDEX('Final Calculation Sheet'!$R$4:$R$40,$BJ32-3)),IF($BI32=1,SUM('Final Calculation Sheet'!$R$4:$R$40),IF($BH32&gt;0,SUMIFS('Final Calculation Sheet'!$R$4:$R$40,$AZ$5:$AZ$41,$BH32),"")))</f>
        <v/>
      </c>
      <c r="T32" s="652">
        <f>IF($BJ32&gt;0,IF(INDEX('Final Calculation Sheet'!$S$4:$S$40,$BJ32-3)="","",INDEX('Final Calculation Sheet'!$S$4:$S$40,$BJ32-3)),IF($BI32=1,SUM('Final Calculation Sheet'!$S$4:$S$40),IF($BH32&gt;0,SUMIFS('Final Calculation Sheet'!$S$4:$S$40,$AZ$5:$AZ$41,$BH32),"")))</f>
        <v/>
      </c>
      <c r="U32" s="652">
        <f>IF($BJ32&gt;0,IF(INDEX('Final Calculation Sheet'!$T$4:$T$40,$BJ32-3)="","",INDEX('Final Calculation Sheet'!$T$4:$T$40,$BJ32-3)),IF($BI32=1,SUM('Final Calculation Sheet'!$T$4:$T$40),IF($BH32&gt;0,SUMIFS('Final Calculation Sheet'!$T$4:$T$40,$AZ$5:$AZ$41,$BH32),"")))</f>
        <v/>
      </c>
      <c r="V32" s="655">
        <f>IF($BJ32&gt;0,IF(INDEX('Final Calculation Sheet'!$U$4:$U$40,$BJ32-3)="","",INDEX('Final Calculation Sheet'!$U$4:$U$40,$BJ32-3)),IF($BI32=1,SUM('Final Calculation Sheet'!$U$4:$U$40),IF($BH32&gt;0,SUMIFS('Final Calculation Sheet'!$U$4:$U$40,$AZ$5:$AZ$41,$BH32),"")))</f>
        <v/>
      </c>
      <c r="W32" s="652">
        <f>IF($BJ32&gt;0,IF(INDEX('Final Calculation Sheet'!$V$4:$V$40,$BJ32-3)="","",INDEX('Final Calculation Sheet'!$V$4:$V$40,$BJ32-3)),IF(OR($BI32=1,$BH32&gt;0),"–",""))</f>
        <v/>
      </c>
      <c r="X32" s="652">
        <f>IF($BJ32&gt;0,IF(INDEX('Final Calculation Sheet'!$W$4:$W$40,$BJ32-3)="","",INDEX('Final Calculation Sheet'!$W$4:$W$40,$BJ32-3)),IF($BI32=1,SUM('Final Calculation Sheet'!$W$4:$W$40),IF($BH32&gt;0,SUMIFS('Final Calculation Sheet'!$W$4:$W$40,$AZ$5:$AZ$41,$BH32),"")))</f>
        <v/>
      </c>
      <c r="Y32" s="652">
        <f>IF($BJ32&gt;0,IF(INDEX('Final Calculation Sheet'!$X$4:$X$40,$BJ32-3)="","",INDEX('Final Calculation Sheet'!$X$4:$X$40,$BJ32-3)),IF($BI32=1,SUM('Final Calculation Sheet'!$X$4:$X$40),IF($BH32&gt;0,SUMIFS('Final Calculation Sheet'!$X$4:$X$40,$AZ$5:$AZ$41,$BH32),"")))</f>
        <v/>
      </c>
      <c r="Z32" s="652">
        <f>IF($BJ32&gt;0,IF(INDEX('Final Calculation Sheet'!$Y$4:$Y$40,$BJ32-3)="","",INDEX('Final Calculation Sheet'!$Y$4:$Y$40,$BJ32-3)),IF(OR($BI32=1,$BH32&gt;0),"–",""))</f>
        <v/>
      </c>
      <c r="AA32" s="652">
        <f>IF($BJ32&gt;0,IF(INDEX('Final Calculation Sheet'!$Z$4:$Z$40,$BJ32-3)="","",INDEX('Final Calculation Sheet'!$Z$4:$Z$40,$BJ32-3)),IF($BI32=1,SUM('Final Calculation Sheet'!$Z$4:$Z$40),IF($BH32&gt;0,SUMIFS('Final Calculation Sheet'!$Z$4:$Z$40,$AZ$5:$AZ$41,$BH32),"")))</f>
        <v/>
      </c>
      <c r="AB32" s="652">
        <f>IF($BJ32&gt;0,IF(INDEX('Final Calculation Sheet'!$AA$4:$AA$40,$BJ32-3)="","",INDEX('Final Calculation Sheet'!$AA$4:$AA$40,$BJ32-3)),IF($BI32=1,SUM('Final Calculation Sheet'!$AA$4:$AA$40),IF($BH32&gt;0,SUMIFS('Final Calculation Sheet'!$AA$4:$AA$40,$AZ$5:$AZ$41,$BH32),"")))</f>
        <v/>
      </c>
      <c r="AC32" s="652">
        <f>IF($BJ32&gt;0,IF(INDEX('Final Calculation Sheet'!$AB$4:$AB$40,$BJ32-3)="","",INDEX('Final Calculation Sheet'!$AB$4:$AB$40,$BJ32-3)),IF(OR($BI32=1,$BH32&gt;0),"–",""))</f>
        <v/>
      </c>
      <c r="AD32" s="652">
        <f>IF($BJ32&gt;0,IF(INDEX('Final Calculation Sheet'!$AC$4:$AC$40,$BJ32-3)="","",INDEX('Final Calculation Sheet'!$AC$4:$AC$40,$BJ32-3)),IF($BI32=1,SUM('Final Calculation Sheet'!$AC$4:$AC$40),IF($BH32&gt;0,SUMIFS('Final Calculation Sheet'!$AC$4:$AC$40,$AZ$5:$AZ$41,$BH32),"")))</f>
        <v/>
      </c>
      <c r="AE32" s="652">
        <f>IF($BJ32&gt;0,IF(INDEX('Final Calculation Sheet'!$AD$4:$AD$40,$BJ32-3)="","",INDEX('Final Calculation Sheet'!$AD$4:$AD$40,$BJ32-3)),IF($BI32=1,SUM('Final Calculation Sheet'!$AD$4:$AD$40),IF($BH32&gt;0,SUMIFS('Final Calculation Sheet'!$AD$4:$AD$40,$AZ$5:$AZ$41,$BH32),"")))</f>
        <v/>
      </c>
      <c r="AF32" s="652">
        <f>IF($BJ32&gt;0,IF(INDEX('Final Calculation Sheet'!$AE$4:$AE$40,$BJ32-3)="","",INDEX('Final Calculation Sheet'!$AE$4:$AE$40,$BJ32-3)),IF(OR($BI32=1,$BH32&gt;0),"–",""))</f>
        <v/>
      </c>
      <c r="AG32" s="656">
        <f>IF($BJ32&gt;0,IF(INDEX('Final Calculation Sheet'!$AF$4:$AF$40,$BJ32-3)="","",INDEX('Final Calculation Sheet'!$AF$4:$AF$40,$BJ32-3)),IF(OR($BI32=1,$BH32&gt;0),"–",""))</f>
        <v/>
      </c>
      <c r="AH32" s="652">
        <f>IF($BJ32&gt;0,IF(INDEX('Final Calculation Sheet'!$AG$4:$AG$40,$BJ32-3)="","",INDEX('Final Calculation Sheet'!$AG$4:$AG$40,$BJ32-3)),IF(OR($BI32=1,$BH32&gt;0),"–",""))</f>
        <v/>
      </c>
      <c r="AI32" s="657">
        <f>IF($BJ32&gt;0,IF(INDEX('Final Calculation Sheet'!$AD$4:$AD$40,$BJ32-3)="","",IF(INDEX('Final Calculation Sheet'!$AD$4:$AD$40,$BJ32-3)&lt;=0,"SETTLED","OUTSTANDING")),IF(OR($BI32=1,$BH32&gt;0),IF(IF($BI32=1,SUM('Final Calculation Sheet'!$AD$4:$AD$40),SUMIFS('Final Calculation Sheet'!$AD$4:$AD$40,$AZ$5:$AZ$41,$BH32))&lt;=0,"ALL SETTLED","OUTSTANDING"),""))</f>
        <v/>
      </c>
      <c r="AK32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/>
      </c>
      <c r="AM32">
        <f>IF($B$3="",1,IF(AND(IF(COUNTIF($AR$9:$AY$9,1)=0,TRUE,SUMPRODUCT(($AR$9:$AY$9=1)*($AR$6:$AY$6&lt;&gt;"")*ISNUMBER(SEARCH($AR$6:$AY$6,$AK32)))&gt;0),IF(COUNTIF($AR$9:$AY$9,2)=0,TRUE,SUMPRODUCT(($AR$9:$AY$9=2)*($AR$6:$AY$6&lt;&gt;"")*ISNUMBER(SEARCH($AR$6:$AY$6,$AK32)))&gt;0),IF(COUNTIF($AR$9:$AY$9,3)=0,TRUE,SUMPRODUCT(($AR$9:$AY$9=3)*($AR$6:$AY$6&lt;&gt;"")*ISNUMBER(SEARCH($AR$6:$AY$6,$AK32)))&gt;0),IF(COUNTIF($AR$9:$AY$9,4)=0,TRUE,SUMPRODUCT(($AR$9:$AY$9=4)*($AR$6:$AY$6&lt;&gt;"")*ISNUMBER(SEARCH($AR$6:$AY$6,$AK32)))&gt;0),IF(COUNTIF($AR$9:$AY$9,5)=0,TRUE,SUMPRODUCT(($AR$9:$AY$9=5)*($AR$6:$AY$6&lt;&gt;"")*ISNUMBER(SEARCH($AR$6:$AY$6,$AK32)))&gt;0),IF(COUNTIF($AR$9:$AY$9,6)=0,TRUE,SUMPRODUCT(($AR$9:$AY$9=6)*($AR$6:$AY$6&lt;&gt;"")*ISNUMBER(SEARCH($AR$6:$AY$6,$AK32)))&gt;0),IF(COUNTIF($AR$9:$AY$9,7)=0,TRUE,SUMPRODUCT(($AR$9:$AY$9=7)*($AR$6:$AY$6&lt;&gt;"")*ISNUMBER(SEARCH($AR$6:$AY$6,$AK32)))&gt;0),IF(COUNTIF($AR$9:$AY$9,8)=0,TRUE,SUMPRODUCT(($AR$9:$AY$9=8)*($AR$6:$AY$6&lt;&gt;"")*ISNUMBER(SEARCH($AR$6:$AY$6,$AK32)))&gt;0)),1,0))</f>
        <v/>
      </c>
      <c r="AZ32">
        <f>IF($B$3="",9,IF($AM32=0,10,IF(AND($AR$6&lt;&gt;"",ISNUMBER(SEARCH($AR$6,$AK32))),1,IF(AND($AS$6&lt;&gt;"",ISNUMBER(SEARCH($AS$6,$AK32))),2,IF(AND($AT$6&lt;&gt;"",ISNUMBER(SEARCH($AT$6,$AK32))),3,IF(AND($AU$6&lt;&gt;"",ISNUMBER(SEARCH($AU$6,$AK32))),4,IF(AND($AV$6&lt;&gt;"",ISNUMBER(SEARCH($AV$6,$AK32))),5,IF(AND($AW$6&lt;&gt;"",ISNUMBER(SEARCH($AW$6,$AK32))),6,IF(AND($AX$6&lt;&gt;"",ISNUMBER(SEARCH($AX$6,$AK32))),7,IF(AND($AY$6&lt;&gt;"",ISNUMBER(SEARCH($AY$6,$AK32))),8,0))))))))))</f>
        <v/>
      </c>
      <c r="BA32">
        <f>SUMPRODUCT(($AZ$5:$AZ$41=$AZ32)*($BC$5:$BC$41&lt;$BC32))+1</f>
        <v/>
      </c>
      <c r="BB32">
        <f>IF(INDEX($BF$4:$BF$13,$AZ32)=0,0,INDEX($BE$4:$BE$13,$AZ32)+$BA32-1)</f>
        <v/>
      </c>
      <c r="BC32" t="n">
        <v>31</v>
      </c>
      <c r="BH32">
        <f>IFERROR(MATCH(32,$BF$4:$BF$13,0),0)</f>
        <v/>
      </c>
      <c r="BI32">
        <f>IF(32=$BG$4,1,0)</f>
        <v/>
      </c>
      <c r="BJ32">
        <f>IF(OR($BH32&gt;0,$BI32=1),0,IFERROR(INDEX($BC$5:$BC$41,MATCH(32,$BB$5:$BB$41,0)),0))</f>
        <v/>
      </c>
      <c r="BK32">
        <f>IF($BJ32&gt;0,IF(INDEX($AZ$5:$AZ$41,MATCH(32,$BB$5:$BB$41,0))=10,1,0),IF($BH32=10,1,0))</f>
        <v/>
      </c>
    </row>
    <row r="33" ht="15" customHeight="1">
      <c r="A33" s="649">
        <f>IF($BJ33&gt;0,INDEX($BA$5:$BA$41,MATCH(33,$BB$5:$BB$41,0)),IF(OR($BI33=1,$BH33&gt;0),"∑",""))</f>
        <v/>
      </c>
      <c r="B33" s="650">
        <f>IF($BJ33&gt;0,IF(INDEX('Final Calculation Sheet'!$F$4:$F$40,$BJ33-3)="","",INDEX('Final Calculation Sheet'!$F$4:$F$40,$BJ33-3)),"")</f>
        <v/>
      </c>
      <c r="C33" s="650">
        <f>IF($BJ33&gt;0,IF(INDEX('Final Calculation Sheet'!$G$4:$G$40,$BJ33-3)="","",INDEX('Final Calculation Sheet'!$G$4:$G$40,$BJ33-3)),IF(OR($BI33=1,$BH33&gt;0),IF($BI33=1,37,INDEX($BD$4:$BD$13,$BH33))&amp;" lot(s)",""))</f>
        <v/>
      </c>
      <c r="D33" s="651">
        <f>IF($BJ33&gt;0,IF(INDEX('Final Calculation Sheet'!$B$4:$B$40,$BJ33-3)="","",INDEX('Final Calculation Sheet'!$B$4:$B$40,$BJ33-3)),IF(OR($BI33=1,$BH33&gt;0),IF($BI33=1,"GRAND TOTAL  —  matching + remaining",IF($BH33=10,"REMAINING  —  did not match the search",IF($BH33=9,"ALL LOTS  —  nothing typed in the box","GROUP "&amp;$BH33&amp;" TOTAL  —  lots matching  "&amp;INDEX($AR$6:$AY$6,$BH33)))),""))</f>
        <v/>
      </c>
      <c r="E33" s="651">
        <f>IF($BJ33&gt;0,IF(INDEX('Final Calculation Sheet'!$D$4:$D$40,$BJ33-3)="","",INDEX('Final Calculation Sheet'!$D$4:$D$40,$BJ33-3)),IF(OR($BI33=1,$BH33&gt;0),"–",""))</f>
        <v/>
      </c>
      <c r="F33" s="651">
        <f>IF($BJ33&gt;0,IF(INDEX('Final Calculation Sheet'!$A$4:$A$40,$BJ33-3)="","",INDEX('Final Calculation Sheet'!$A$4:$A$40,$BJ33-3)),IF($BI33=1,SUM('Final Calculation Sheet'!$A$4:$A$40),IF($BH33&gt;0,SUMIFS('Final Calculation Sheet'!$A$4:$A$40,$AZ$5:$AZ$41,$BH33),"")))</f>
        <v/>
      </c>
      <c r="G33" s="651">
        <f>IF($BJ33&gt;0,IF(INDEX('Final Calculation Sheet'!$E$4:$E$40,$BJ33-3)="","",INDEX('Final Calculation Sheet'!$E$4:$E$40,$BJ33-3)),IF(OR($BI33=1,$BH33&gt;0),"–",""))</f>
        <v/>
      </c>
      <c r="H33" s="652">
        <f>IF($BJ33&gt;0,IF(INDEX('Final Calculation Sheet'!$C$4:$C$40,$BJ33-3)="","",INDEX('Final Calculation Sheet'!$C$4:$C$40,$BJ33-3)),IF(OR($BI33=1,$BH33&gt;0),"–",""))</f>
        <v/>
      </c>
      <c r="I33" s="652">
        <f>IF($BJ33&gt;0,IF(INDEX('Final Calculation Sheet'!$H$4:$H$40,$BJ33-3)="","",INDEX('Final Calculation Sheet'!$H$4:$H$40,$BJ33-3)),IF($BI33=1,SUM('Final Calculation Sheet'!$H$4:$H$40),IF($BH33&gt;0,SUMIFS('Final Calculation Sheet'!$H$4:$H$40,$AZ$5:$AZ$41,$BH33),"")))</f>
        <v/>
      </c>
      <c r="J33" s="652">
        <f>IF($BJ33&gt;0,IF(INDEX('Final Calculation Sheet'!$I$4:$I$40,$BJ33-3)="","",INDEX('Final Calculation Sheet'!$I$4:$I$40,$BJ33-3)),IF($BI33=1,SUM('Final Calculation Sheet'!$I$4:$I$40),IF($BH33&gt;0,SUMIFS('Final Calculation Sheet'!$I$4:$I$40,$AZ$5:$AZ$41,$BH33),"")))</f>
        <v/>
      </c>
      <c r="K33" s="652">
        <f>IF($BJ33&gt;0,IF(INDEX('Final Calculation Sheet'!$J$4:$J$40,$BJ33-3)="","",INDEX('Final Calculation Sheet'!$J$4:$J$40,$BJ33-3)),IF($BI33=1,SUM('Final Calculation Sheet'!$J$4:$J$40),IF($BH33&gt;0,SUMIFS('Final Calculation Sheet'!$J$4:$J$40,$AZ$5:$AZ$41,$BH33),"")))</f>
        <v/>
      </c>
      <c r="L33" s="652">
        <f>IF($BJ33&gt;0,IF(INDEX('Final Calculation Sheet'!$K$4:$K$40,$BJ33-3)="","",INDEX('Final Calculation Sheet'!$K$4:$K$40,$BJ33-3)),IF($BI33=1,SUM('Final Calculation Sheet'!$K$4:$K$40),IF($BH33&gt;0,SUMIFS('Final Calculation Sheet'!$K$4:$K$40,$AZ$5:$AZ$41,$BH33),"")))</f>
        <v/>
      </c>
      <c r="M33" s="652">
        <f>IF($BJ33&gt;0,IF(INDEX('Final Calculation Sheet'!$L$4:$L$40,$BJ33-3)="","",INDEX('Final Calculation Sheet'!$L$4:$L$40,$BJ33-3)),IF($BI33=1,SUM('Final Calculation Sheet'!$L$4:$L$40),IF($BH33&gt;0,SUMIFS('Final Calculation Sheet'!$L$4:$L$40,$AZ$5:$AZ$41,$BH33),"")))</f>
        <v/>
      </c>
      <c r="N33" s="652">
        <f>IF($BJ33&gt;0,IF(INDEX('Final Calculation Sheet'!$M$4:$M$40,$BJ33-3)="","",INDEX('Final Calculation Sheet'!$M$4:$M$40,$BJ33-3)),IF($BI33=1,SUM('Final Calculation Sheet'!$M$4:$M$40),IF($BH33&gt;0,SUMIFS('Final Calculation Sheet'!$M$4:$M$40,$AZ$5:$AZ$41,$BH33),"")))</f>
        <v/>
      </c>
      <c r="O33" s="653">
        <f>IF($BJ33&gt;0,IF(INDEX('Final Calculation Sheet'!$N$4:$N$40,$BJ33-3)="","",INDEX('Final Calculation Sheet'!$N$4:$N$40,$BJ33-3)),IF($BI33=1,SUM('Final Calculation Sheet'!$N$4:$N$40),IF($BH33&gt;0,SUMIFS('Final Calculation Sheet'!$N$4:$N$40,$AZ$5:$AZ$41,$BH33),"")))</f>
        <v/>
      </c>
      <c r="P33" s="652">
        <f>IF($BJ33&gt;0,IF(INDEX('Final Calculation Sheet'!$O$4:$O$40,$BJ33-3)="","",INDEX('Final Calculation Sheet'!$O$4:$O$40,$BJ33-3)),IF($BI33=1,SUM('Final Calculation Sheet'!$O$4:$O$40),IF($BH33&gt;0,SUMIFS('Final Calculation Sheet'!$O$4:$O$40,$AZ$5:$AZ$41,$BH33),"")))</f>
        <v/>
      </c>
      <c r="Q33" s="652">
        <f>IF($BJ33&gt;0,IF(INDEX('Final Calculation Sheet'!$P$4:$P$40,$BJ33-3)="","",INDEX('Final Calculation Sheet'!$P$4:$P$40,$BJ33-3)),IF($BI33=1,SUM('Final Calculation Sheet'!$P$4:$P$40),IF($BH33&gt;0,SUMIFS('Final Calculation Sheet'!$P$4:$P$40,$AZ$5:$AZ$41,$BH33),"")))</f>
        <v/>
      </c>
      <c r="R33" s="654">
        <f>IF($BJ33&gt;0,IF(INDEX('Final Calculation Sheet'!$Q$4:$Q$40,$BJ33-3)="","",INDEX('Final Calculation Sheet'!$Q$4:$Q$40,$BJ33-3)),IF(OR($BI33=1,$BH33&gt;0),"–",""))</f>
        <v/>
      </c>
      <c r="S33" s="652">
        <f>IF($BJ33&gt;0,IF(INDEX('Final Calculation Sheet'!$R$4:$R$40,$BJ33-3)="","",INDEX('Final Calculation Sheet'!$R$4:$R$40,$BJ33-3)),IF($BI33=1,SUM('Final Calculation Sheet'!$R$4:$R$40),IF($BH33&gt;0,SUMIFS('Final Calculation Sheet'!$R$4:$R$40,$AZ$5:$AZ$41,$BH33),"")))</f>
        <v/>
      </c>
      <c r="T33" s="652">
        <f>IF($BJ33&gt;0,IF(INDEX('Final Calculation Sheet'!$S$4:$S$40,$BJ33-3)="","",INDEX('Final Calculation Sheet'!$S$4:$S$40,$BJ33-3)),IF($BI33=1,SUM('Final Calculation Sheet'!$S$4:$S$40),IF($BH33&gt;0,SUMIFS('Final Calculation Sheet'!$S$4:$S$40,$AZ$5:$AZ$41,$BH33),"")))</f>
        <v/>
      </c>
      <c r="U33" s="652">
        <f>IF($BJ33&gt;0,IF(INDEX('Final Calculation Sheet'!$T$4:$T$40,$BJ33-3)="","",INDEX('Final Calculation Sheet'!$T$4:$T$40,$BJ33-3)),IF($BI33=1,SUM('Final Calculation Sheet'!$T$4:$T$40),IF($BH33&gt;0,SUMIFS('Final Calculation Sheet'!$T$4:$T$40,$AZ$5:$AZ$41,$BH33),"")))</f>
        <v/>
      </c>
      <c r="V33" s="655">
        <f>IF($BJ33&gt;0,IF(INDEX('Final Calculation Sheet'!$U$4:$U$40,$BJ33-3)="","",INDEX('Final Calculation Sheet'!$U$4:$U$40,$BJ33-3)),IF($BI33=1,SUM('Final Calculation Sheet'!$U$4:$U$40),IF($BH33&gt;0,SUMIFS('Final Calculation Sheet'!$U$4:$U$40,$AZ$5:$AZ$41,$BH33),"")))</f>
        <v/>
      </c>
      <c r="W33" s="652">
        <f>IF($BJ33&gt;0,IF(INDEX('Final Calculation Sheet'!$V$4:$V$40,$BJ33-3)="","",INDEX('Final Calculation Sheet'!$V$4:$V$40,$BJ33-3)),IF(OR($BI33=1,$BH33&gt;0),"–",""))</f>
        <v/>
      </c>
      <c r="X33" s="652">
        <f>IF($BJ33&gt;0,IF(INDEX('Final Calculation Sheet'!$W$4:$W$40,$BJ33-3)="","",INDEX('Final Calculation Sheet'!$W$4:$W$40,$BJ33-3)),IF($BI33=1,SUM('Final Calculation Sheet'!$W$4:$W$40),IF($BH33&gt;0,SUMIFS('Final Calculation Sheet'!$W$4:$W$40,$AZ$5:$AZ$41,$BH33),"")))</f>
        <v/>
      </c>
      <c r="Y33" s="652">
        <f>IF($BJ33&gt;0,IF(INDEX('Final Calculation Sheet'!$X$4:$X$40,$BJ33-3)="","",INDEX('Final Calculation Sheet'!$X$4:$X$40,$BJ33-3)),IF($BI33=1,SUM('Final Calculation Sheet'!$X$4:$X$40),IF($BH33&gt;0,SUMIFS('Final Calculation Sheet'!$X$4:$X$40,$AZ$5:$AZ$41,$BH33),"")))</f>
        <v/>
      </c>
      <c r="Z33" s="652">
        <f>IF($BJ33&gt;0,IF(INDEX('Final Calculation Sheet'!$Y$4:$Y$40,$BJ33-3)="","",INDEX('Final Calculation Sheet'!$Y$4:$Y$40,$BJ33-3)),IF(OR($BI33=1,$BH33&gt;0),"–",""))</f>
        <v/>
      </c>
      <c r="AA33" s="652">
        <f>IF($BJ33&gt;0,IF(INDEX('Final Calculation Sheet'!$Z$4:$Z$40,$BJ33-3)="","",INDEX('Final Calculation Sheet'!$Z$4:$Z$40,$BJ33-3)),IF($BI33=1,SUM('Final Calculation Sheet'!$Z$4:$Z$40),IF($BH33&gt;0,SUMIFS('Final Calculation Sheet'!$Z$4:$Z$40,$AZ$5:$AZ$41,$BH33),"")))</f>
        <v/>
      </c>
      <c r="AB33" s="652">
        <f>IF($BJ33&gt;0,IF(INDEX('Final Calculation Sheet'!$AA$4:$AA$40,$BJ33-3)="","",INDEX('Final Calculation Sheet'!$AA$4:$AA$40,$BJ33-3)),IF($BI33=1,SUM('Final Calculation Sheet'!$AA$4:$AA$40),IF($BH33&gt;0,SUMIFS('Final Calculation Sheet'!$AA$4:$AA$40,$AZ$5:$AZ$41,$BH33),"")))</f>
        <v/>
      </c>
      <c r="AC33" s="652">
        <f>IF($BJ33&gt;0,IF(INDEX('Final Calculation Sheet'!$AB$4:$AB$40,$BJ33-3)="","",INDEX('Final Calculation Sheet'!$AB$4:$AB$40,$BJ33-3)),IF(OR($BI33=1,$BH33&gt;0),"–",""))</f>
        <v/>
      </c>
      <c r="AD33" s="652">
        <f>IF($BJ33&gt;0,IF(INDEX('Final Calculation Sheet'!$AC$4:$AC$40,$BJ33-3)="","",INDEX('Final Calculation Sheet'!$AC$4:$AC$40,$BJ33-3)),IF($BI33=1,SUM('Final Calculation Sheet'!$AC$4:$AC$40),IF($BH33&gt;0,SUMIFS('Final Calculation Sheet'!$AC$4:$AC$40,$AZ$5:$AZ$41,$BH33),"")))</f>
        <v/>
      </c>
      <c r="AE33" s="652">
        <f>IF($BJ33&gt;0,IF(INDEX('Final Calculation Sheet'!$AD$4:$AD$40,$BJ33-3)="","",INDEX('Final Calculation Sheet'!$AD$4:$AD$40,$BJ33-3)),IF($BI33=1,SUM('Final Calculation Sheet'!$AD$4:$AD$40),IF($BH33&gt;0,SUMIFS('Final Calculation Sheet'!$AD$4:$AD$40,$AZ$5:$AZ$41,$BH33),"")))</f>
        <v/>
      </c>
      <c r="AF33" s="652">
        <f>IF($BJ33&gt;0,IF(INDEX('Final Calculation Sheet'!$AE$4:$AE$40,$BJ33-3)="","",INDEX('Final Calculation Sheet'!$AE$4:$AE$40,$BJ33-3)),IF(OR($BI33=1,$BH33&gt;0),"–",""))</f>
        <v/>
      </c>
      <c r="AG33" s="656">
        <f>IF($BJ33&gt;0,IF(INDEX('Final Calculation Sheet'!$AF$4:$AF$40,$BJ33-3)="","",INDEX('Final Calculation Sheet'!$AF$4:$AF$40,$BJ33-3)),IF(OR($BI33=1,$BH33&gt;0),"–",""))</f>
        <v/>
      </c>
      <c r="AH33" s="652">
        <f>IF($BJ33&gt;0,IF(INDEX('Final Calculation Sheet'!$AG$4:$AG$40,$BJ33-3)="","",INDEX('Final Calculation Sheet'!$AG$4:$AG$40,$BJ33-3)),IF(OR($BI33=1,$BH33&gt;0),"–",""))</f>
        <v/>
      </c>
      <c r="AI33" s="657">
        <f>IF($BJ33&gt;0,IF(INDEX('Final Calculation Sheet'!$AD$4:$AD$40,$BJ33-3)="","",IF(INDEX('Final Calculation Sheet'!$AD$4:$AD$40,$BJ33-3)&lt;=0,"SETTLED","OUTSTANDING")),IF(OR($BI33=1,$BH33&gt;0),IF(IF($BI33=1,SUM('Final Calculation Sheet'!$AD$4:$AD$40),SUMIFS('Final Calculation Sheet'!$AD$4:$AD$40,$AZ$5:$AZ$41,$BH33))&lt;=0,"ALL SETTLED","OUTSTANDING"),""))</f>
        <v/>
      </c>
      <c r="AK33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/>
      </c>
      <c r="AM33">
        <f>IF($B$3="",1,IF(AND(IF(COUNTIF($AR$9:$AY$9,1)=0,TRUE,SUMPRODUCT(($AR$9:$AY$9=1)*($AR$6:$AY$6&lt;&gt;"")*ISNUMBER(SEARCH($AR$6:$AY$6,$AK33)))&gt;0),IF(COUNTIF($AR$9:$AY$9,2)=0,TRUE,SUMPRODUCT(($AR$9:$AY$9=2)*($AR$6:$AY$6&lt;&gt;"")*ISNUMBER(SEARCH($AR$6:$AY$6,$AK33)))&gt;0),IF(COUNTIF($AR$9:$AY$9,3)=0,TRUE,SUMPRODUCT(($AR$9:$AY$9=3)*($AR$6:$AY$6&lt;&gt;"")*ISNUMBER(SEARCH($AR$6:$AY$6,$AK33)))&gt;0),IF(COUNTIF($AR$9:$AY$9,4)=0,TRUE,SUMPRODUCT(($AR$9:$AY$9=4)*($AR$6:$AY$6&lt;&gt;"")*ISNUMBER(SEARCH($AR$6:$AY$6,$AK33)))&gt;0),IF(COUNTIF($AR$9:$AY$9,5)=0,TRUE,SUMPRODUCT(($AR$9:$AY$9=5)*($AR$6:$AY$6&lt;&gt;"")*ISNUMBER(SEARCH($AR$6:$AY$6,$AK33)))&gt;0),IF(COUNTIF($AR$9:$AY$9,6)=0,TRUE,SUMPRODUCT(($AR$9:$AY$9=6)*($AR$6:$AY$6&lt;&gt;"")*ISNUMBER(SEARCH($AR$6:$AY$6,$AK33)))&gt;0),IF(COUNTIF($AR$9:$AY$9,7)=0,TRUE,SUMPRODUCT(($AR$9:$AY$9=7)*($AR$6:$AY$6&lt;&gt;"")*ISNUMBER(SEARCH($AR$6:$AY$6,$AK33)))&gt;0),IF(COUNTIF($AR$9:$AY$9,8)=0,TRUE,SUMPRODUCT(($AR$9:$AY$9=8)*($AR$6:$AY$6&lt;&gt;"")*ISNUMBER(SEARCH($AR$6:$AY$6,$AK33)))&gt;0)),1,0))</f>
        <v/>
      </c>
      <c r="AZ33">
        <f>IF($B$3="",9,IF($AM33=0,10,IF(AND($AR$6&lt;&gt;"",ISNUMBER(SEARCH($AR$6,$AK33))),1,IF(AND($AS$6&lt;&gt;"",ISNUMBER(SEARCH($AS$6,$AK33))),2,IF(AND($AT$6&lt;&gt;"",ISNUMBER(SEARCH($AT$6,$AK33))),3,IF(AND($AU$6&lt;&gt;"",ISNUMBER(SEARCH($AU$6,$AK33))),4,IF(AND($AV$6&lt;&gt;"",ISNUMBER(SEARCH($AV$6,$AK33))),5,IF(AND($AW$6&lt;&gt;"",ISNUMBER(SEARCH($AW$6,$AK33))),6,IF(AND($AX$6&lt;&gt;"",ISNUMBER(SEARCH($AX$6,$AK33))),7,IF(AND($AY$6&lt;&gt;"",ISNUMBER(SEARCH($AY$6,$AK33))),8,0))))))))))</f>
        <v/>
      </c>
      <c r="BA33">
        <f>SUMPRODUCT(($AZ$5:$AZ$41=$AZ33)*($BC$5:$BC$41&lt;$BC33))+1</f>
        <v/>
      </c>
      <c r="BB33">
        <f>IF(INDEX($BF$4:$BF$13,$AZ33)=0,0,INDEX($BE$4:$BE$13,$AZ33)+$BA33-1)</f>
        <v/>
      </c>
      <c r="BC33" t="n">
        <v>32</v>
      </c>
      <c r="BH33">
        <f>IFERROR(MATCH(33,$BF$4:$BF$13,0),0)</f>
        <v/>
      </c>
      <c r="BI33">
        <f>IF(33=$BG$4,1,0)</f>
        <v/>
      </c>
      <c r="BJ33">
        <f>IF(OR($BH33&gt;0,$BI33=1),0,IFERROR(INDEX($BC$5:$BC$41,MATCH(33,$BB$5:$BB$41,0)),0))</f>
        <v/>
      </c>
      <c r="BK33">
        <f>IF($BJ33&gt;0,IF(INDEX($AZ$5:$AZ$41,MATCH(33,$BB$5:$BB$41,0))=10,1,0),IF($BH33=10,1,0))</f>
        <v/>
      </c>
    </row>
    <row r="34" ht="15" customHeight="1">
      <c r="A34" s="649">
        <f>IF($BJ34&gt;0,INDEX($BA$5:$BA$41,MATCH(34,$BB$5:$BB$41,0)),IF(OR($BI34=1,$BH34&gt;0),"∑",""))</f>
        <v/>
      </c>
      <c r="B34" s="650">
        <f>IF($BJ34&gt;0,IF(INDEX('Final Calculation Sheet'!$F$4:$F$40,$BJ34-3)="","",INDEX('Final Calculation Sheet'!$F$4:$F$40,$BJ34-3)),"")</f>
        <v/>
      </c>
      <c r="C34" s="650">
        <f>IF($BJ34&gt;0,IF(INDEX('Final Calculation Sheet'!$G$4:$G$40,$BJ34-3)="","",INDEX('Final Calculation Sheet'!$G$4:$G$40,$BJ34-3)),IF(OR($BI34=1,$BH34&gt;0),IF($BI34=1,37,INDEX($BD$4:$BD$13,$BH34))&amp;" lot(s)",""))</f>
        <v/>
      </c>
      <c r="D34" s="651">
        <f>IF($BJ34&gt;0,IF(INDEX('Final Calculation Sheet'!$B$4:$B$40,$BJ34-3)="","",INDEX('Final Calculation Sheet'!$B$4:$B$40,$BJ34-3)),IF(OR($BI34=1,$BH34&gt;0),IF($BI34=1,"GRAND TOTAL  —  matching + remaining",IF($BH34=10,"REMAINING  —  did not match the search",IF($BH34=9,"ALL LOTS  —  nothing typed in the box","GROUP "&amp;$BH34&amp;" TOTAL  —  lots matching  "&amp;INDEX($AR$6:$AY$6,$BH34)))),""))</f>
        <v/>
      </c>
      <c r="E34" s="651">
        <f>IF($BJ34&gt;0,IF(INDEX('Final Calculation Sheet'!$D$4:$D$40,$BJ34-3)="","",INDEX('Final Calculation Sheet'!$D$4:$D$40,$BJ34-3)),IF(OR($BI34=1,$BH34&gt;0),"–",""))</f>
        <v/>
      </c>
      <c r="F34" s="651">
        <f>IF($BJ34&gt;0,IF(INDEX('Final Calculation Sheet'!$A$4:$A$40,$BJ34-3)="","",INDEX('Final Calculation Sheet'!$A$4:$A$40,$BJ34-3)),IF($BI34=1,SUM('Final Calculation Sheet'!$A$4:$A$40),IF($BH34&gt;0,SUMIFS('Final Calculation Sheet'!$A$4:$A$40,$AZ$5:$AZ$41,$BH34),"")))</f>
        <v/>
      </c>
      <c r="G34" s="651">
        <f>IF($BJ34&gt;0,IF(INDEX('Final Calculation Sheet'!$E$4:$E$40,$BJ34-3)="","",INDEX('Final Calculation Sheet'!$E$4:$E$40,$BJ34-3)),IF(OR($BI34=1,$BH34&gt;0),"–",""))</f>
        <v/>
      </c>
      <c r="H34" s="652">
        <f>IF($BJ34&gt;0,IF(INDEX('Final Calculation Sheet'!$C$4:$C$40,$BJ34-3)="","",INDEX('Final Calculation Sheet'!$C$4:$C$40,$BJ34-3)),IF(OR($BI34=1,$BH34&gt;0),"–",""))</f>
        <v/>
      </c>
      <c r="I34" s="652">
        <f>IF($BJ34&gt;0,IF(INDEX('Final Calculation Sheet'!$H$4:$H$40,$BJ34-3)="","",INDEX('Final Calculation Sheet'!$H$4:$H$40,$BJ34-3)),IF($BI34=1,SUM('Final Calculation Sheet'!$H$4:$H$40),IF($BH34&gt;0,SUMIFS('Final Calculation Sheet'!$H$4:$H$40,$AZ$5:$AZ$41,$BH34),"")))</f>
        <v/>
      </c>
      <c r="J34" s="652">
        <f>IF($BJ34&gt;0,IF(INDEX('Final Calculation Sheet'!$I$4:$I$40,$BJ34-3)="","",INDEX('Final Calculation Sheet'!$I$4:$I$40,$BJ34-3)),IF($BI34=1,SUM('Final Calculation Sheet'!$I$4:$I$40),IF($BH34&gt;0,SUMIFS('Final Calculation Sheet'!$I$4:$I$40,$AZ$5:$AZ$41,$BH34),"")))</f>
        <v/>
      </c>
      <c r="K34" s="652">
        <f>IF($BJ34&gt;0,IF(INDEX('Final Calculation Sheet'!$J$4:$J$40,$BJ34-3)="","",INDEX('Final Calculation Sheet'!$J$4:$J$40,$BJ34-3)),IF($BI34=1,SUM('Final Calculation Sheet'!$J$4:$J$40),IF($BH34&gt;0,SUMIFS('Final Calculation Sheet'!$J$4:$J$40,$AZ$5:$AZ$41,$BH34),"")))</f>
        <v/>
      </c>
      <c r="L34" s="652">
        <f>IF($BJ34&gt;0,IF(INDEX('Final Calculation Sheet'!$K$4:$K$40,$BJ34-3)="","",INDEX('Final Calculation Sheet'!$K$4:$K$40,$BJ34-3)),IF($BI34=1,SUM('Final Calculation Sheet'!$K$4:$K$40),IF($BH34&gt;0,SUMIFS('Final Calculation Sheet'!$K$4:$K$40,$AZ$5:$AZ$41,$BH34),"")))</f>
        <v/>
      </c>
      <c r="M34" s="652">
        <f>IF($BJ34&gt;0,IF(INDEX('Final Calculation Sheet'!$L$4:$L$40,$BJ34-3)="","",INDEX('Final Calculation Sheet'!$L$4:$L$40,$BJ34-3)),IF($BI34=1,SUM('Final Calculation Sheet'!$L$4:$L$40),IF($BH34&gt;0,SUMIFS('Final Calculation Sheet'!$L$4:$L$40,$AZ$5:$AZ$41,$BH34),"")))</f>
        <v/>
      </c>
      <c r="N34" s="652">
        <f>IF($BJ34&gt;0,IF(INDEX('Final Calculation Sheet'!$M$4:$M$40,$BJ34-3)="","",INDEX('Final Calculation Sheet'!$M$4:$M$40,$BJ34-3)),IF($BI34=1,SUM('Final Calculation Sheet'!$M$4:$M$40),IF($BH34&gt;0,SUMIFS('Final Calculation Sheet'!$M$4:$M$40,$AZ$5:$AZ$41,$BH34),"")))</f>
        <v/>
      </c>
      <c r="O34" s="653">
        <f>IF($BJ34&gt;0,IF(INDEX('Final Calculation Sheet'!$N$4:$N$40,$BJ34-3)="","",INDEX('Final Calculation Sheet'!$N$4:$N$40,$BJ34-3)),IF($BI34=1,SUM('Final Calculation Sheet'!$N$4:$N$40),IF($BH34&gt;0,SUMIFS('Final Calculation Sheet'!$N$4:$N$40,$AZ$5:$AZ$41,$BH34),"")))</f>
        <v/>
      </c>
      <c r="P34" s="652">
        <f>IF($BJ34&gt;0,IF(INDEX('Final Calculation Sheet'!$O$4:$O$40,$BJ34-3)="","",INDEX('Final Calculation Sheet'!$O$4:$O$40,$BJ34-3)),IF($BI34=1,SUM('Final Calculation Sheet'!$O$4:$O$40),IF($BH34&gt;0,SUMIFS('Final Calculation Sheet'!$O$4:$O$40,$AZ$5:$AZ$41,$BH34),"")))</f>
        <v/>
      </c>
      <c r="Q34" s="652">
        <f>IF($BJ34&gt;0,IF(INDEX('Final Calculation Sheet'!$P$4:$P$40,$BJ34-3)="","",INDEX('Final Calculation Sheet'!$P$4:$P$40,$BJ34-3)),IF($BI34=1,SUM('Final Calculation Sheet'!$P$4:$P$40),IF($BH34&gt;0,SUMIFS('Final Calculation Sheet'!$P$4:$P$40,$AZ$5:$AZ$41,$BH34),"")))</f>
        <v/>
      </c>
      <c r="R34" s="654">
        <f>IF($BJ34&gt;0,IF(INDEX('Final Calculation Sheet'!$Q$4:$Q$40,$BJ34-3)="","",INDEX('Final Calculation Sheet'!$Q$4:$Q$40,$BJ34-3)),IF(OR($BI34=1,$BH34&gt;0),"–",""))</f>
        <v/>
      </c>
      <c r="S34" s="652">
        <f>IF($BJ34&gt;0,IF(INDEX('Final Calculation Sheet'!$R$4:$R$40,$BJ34-3)="","",INDEX('Final Calculation Sheet'!$R$4:$R$40,$BJ34-3)),IF($BI34=1,SUM('Final Calculation Sheet'!$R$4:$R$40),IF($BH34&gt;0,SUMIFS('Final Calculation Sheet'!$R$4:$R$40,$AZ$5:$AZ$41,$BH34),"")))</f>
        <v/>
      </c>
      <c r="T34" s="652">
        <f>IF($BJ34&gt;0,IF(INDEX('Final Calculation Sheet'!$S$4:$S$40,$BJ34-3)="","",INDEX('Final Calculation Sheet'!$S$4:$S$40,$BJ34-3)),IF($BI34=1,SUM('Final Calculation Sheet'!$S$4:$S$40),IF($BH34&gt;0,SUMIFS('Final Calculation Sheet'!$S$4:$S$40,$AZ$5:$AZ$41,$BH34),"")))</f>
        <v/>
      </c>
      <c r="U34" s="652">
        <f>IF($BJ34&gt;0,IF(INDEX('Final Calculation Sheet'!$T$4:$T$40,$BJ34-3)="","",INDEX('Final Calculation Sheet'!$T$4:$T$40,$BJ34-3)),IF($BI34=1,SUM('Final Calculation Sheet'!$T$4:$T$40),IF($BH34&gt;0,SUMIFS('Final Calculation Sheet'!$T$4:$T$40,$AZ$5:$AZ$41,$BH34),"")))</f>
        <v/>
      </c>
      <c r="V34" s="655">
        <f>IF($BJ34&gt;0,IF(INDEX('Final Calculation Sheet'!$U$4:$U$40,$BJ34-3)="","",INDEX('Final Calculation Sheet'!$U$4:$U$40,$BJ34-3)),IF($BI34=1,SUM('Final Calculation Sheet'!$U$4:$U$40),IF($BH34&gt;0,SUMIFS('Final Calculation Sheet'!$U$4:$U$40,$AZ$5:$AZ$41,$BH34),"")))</f>
        <v/>
      </c>
      <c r="W34" s="652">
        <f>IF($BJ34&gt;0,IF(INDEX('Final Calculation Sheet'!$V$4:$V$40,$BJ34-3)="","",INDEX('Final Calculation Sheet'!$V$4:$V$40,$BJ34-3)),IF(OR($BI34=1,$BH34&gt;0),"–",""))</f>
        <v/>
      </c>
      <c r="X34" s="652">
        <f>IF($BJ34&gt;0,IF(INDEX('Final Calculation Sheet'!$W$4:$W$40,$BJ34-3)="","",INDEX('Final Calculation Sheet'!$W$4:$W$40,$BJ34-3)),IF($BI34=1,SUM('Final Calculation Sheet'!$W$4:$W$40),IF($BH34&gt;0,SUMIFS('Final Calculation Sheet'!$W$4:$W$40,$AZ$5:$AZ$41,$BH34),"")))</f>
        <v/>
      </c>
      <c r="Y34" s="652">
        <f>IF($BJ34&gt;0,IF(INDEX('Final Calculation Sheet'!$X$4:$X$40,$BJ34-3)="","",INDEX('Final Calculation Sheet'!$X$4:$X$40,$BJ34-3)),IF($BI34=1,SUM('Final Calculation Sheet'!$X$4:$X$40),IF($BH34&gt;0,SUMIFS('Final Calculation Sheet'!$X$4:$X$40,$AZ$5:$AZ$41,$BH34),"")))</f>
        <v/>
      </c>
      <c r="Z34" s="652">
        <f>IF($BJ34&gt;0,IF(INDEX('Final Calculation Sheet'!$Y$4:$Y$40,$BJ34-3)="","",INDEX('Final Calculation Sheet'!$Y$4:$Y$40,$BJ34-3)),IF(OR($BI34=1,$BH34&gt;0),"–",""))</f>
        <v/>
      </c>
      <c r="AA34" s="652">
        <f>IF($BJ34&gt;0,IF(INDEX('Final Calculation Sheet'!$Z$4:$Z$40,$BJ34-3)="","",INDEX('Final Calculation Sheet'!$Z$4:$Z$40,$BJ34-3)),IF($BI34=1,SUM('Final Calculation Sheet'!$Z$4:$Z$40),IF($BH34&gt;0,SUMIFS('Final Calculation Sheet'!$Z$4:$Z$40,$AZ$5:$AZ$41,$BH34),"")))</f>
        <v/>
      </c>
      <c r="AB34" s="652">
        <f>IF($BJ34&gt;0,IF(INDEX('Final Calculation Sheet'!$AA$4:$AA$40,$BJ34-3)="","",INDEX('Final Calculation Sheet'!$AA$4:$AA$40,$BJ34-3)),IF($BI34=1,SUM('Final Calculation Sheet'!$AA$4:$AA$40),IF($BH34&gt;0,SUMIFS('Final Calculation Sheet'!$AA$4:$AA$40,$AZ$5:$AZ$41,$BH34),"")))</f>
        <v/>
      </c>
      <c r="AC34" s="652">
        <f>IF($BJ34&gt;0,IF(INDEX('Final Calculation Sheet'!$AB$4:$AB$40,$BJ34-3)="","",INDEX('Final Calculation Sheet'!$AB$4:$AB$40,$BJ34-3)),IF(OR($BI34=1,$BH34&gt;0),"–",""))</f>
        <v/>
      </c>
      <c r="AD34" s="652">
        <f>IF($BJ34&gt;0,IF(INDEX('Final Calculation Sheet'!$AC$4:$AC$40,$BJ34-3)="","",INDEX('Final Calculation Sheet'!$AC$4:$AC$40,$BJ34-3)),IF($BI34=1,SUM('Final Calculation Sheet'!$AC$4:$AC$40),IF($BH34&gt;0,SUMIFS('Final Calculation Sheet'!$AC$4:$AC$40,$AZ$5:$AZ$41,$BH34),"")))</f>
        <v/>
      </c>
      <c r="AE34" s="652">
        <f>IF($BJ34&gt;0,IF(INDEX('Final Calculation Sheet'!$AD$4:$AD$40,$BJ34-3)="","",INDEX('Final Calculation Sheet'!$AD$4:$AD$40,$BJ34-3)),IF($BI34=1,SUM('Final Calculation Sheet'!$AD$4:$AD$40),IF($BH34&gt;0,SUMIFS('Final Calculation Sheet'!$AD$4:$AD$40,$AZ$5:$AZ$41,$BH34),"")))</f>
        <v/>
      </c>
      <c r="AF34" s="652">
        <f>IF($BJ34&gt;0,IF(INDEX('Final Calculation Sheet'!$AE$4:$AE$40,$BJ34-3)="","",INDEX('Final Calculation Sheet'!$AE$4:$AE$40,$BJ34-3)),IF(OR($BI34=1,$BH34&gt;0),"–",""))</f>
        <v/>
      </c>
      <c r="AG34" s="656">
        <f>IF($BJ34&gt;0,IF(INDEX('Final Calculation Sheet'!$AF$4:$AF$40,$BJ34-3)="","",INDEX('Final Calculation Sheet'!$AF$4:$AF$40,$BJ34-3)),IF(OR($BI34=1,$BH34&gt;0),"–",""))</f>
        <v/>
      </c>
      <c r="AH34" s="652">
        <f>IF($BJ34&gt;0,IF(INDEX('Final Calculation Sheet'!$AG$4:$AG$40,$BJ34-3)="","",INDEX('Final Calculation Sheet'!$AG$4:$AG$40,$BJ34-3)),IF(OR($BI34=1,$BH34&gt;0),"–",""))</f>
        <v/>
      </c>
      <c r="AI34" s="657">
        <f>IF($BJ34&gt;0,IF(INDEX('Final Calculation Sheet'!$AD$4:$AD$40,$BJ34-3)="","",IF(INDEX('Final Calculation Sheet'!$AD$4:$AD$40,$BJ34-3)&lt;=0,"SETTLED","OUTSTANDING")),IF(OR($BI34=1,$BH34&gt;0),IF(IF($BI34=1,SUM('Final Calculation Sheet'!$AD$4:$AD$40),SUMIFS('Final Calculation Sheet'!$AD$4:$AD$40,$AZ$5:$AZ$41,$BH34))&lt;=0,"ALL SETTLED","OUTSTANDING"),""))</f>
        <v/>
      </c>
      <c r="AK34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/>
      </c>
      <c r="AM34">
        <f>IF($B$3="",1,IF(AND(IF(COUNTIF($AR$9:$AY$9,1)=0,TRUE,SUMPRODUCT(($AR$9:$AY$9=1)*($AR$6:$AY$6&lt;&gt;"")*ISNUMBER(SEARCH($AR$6:$AY$6,$AK34)))&gt;0),IF(COUNTIF($AR$9:$AY$9,2)=0,TRUE,SUMPRODUCT(($AR$9:$AY$9=2)*($AR$6:$AY$6&lt;&gt;"")*ISNUMBER(SEARCH($AR$6:$AY$6,$AK34)))&gt;0),IF(COUNTIF($AR$9:$AY$9,3)=0,TRUE,SUMPRODUCT(($AR$9:$AY$9=3)*($AR$6:$AY$6&lt;&gt;"")*ISNUMBER(SEARCH($AR$6:$AY$6,$AK34)))&gt;0),IF(COUNTIF($AR$9:$AY$9,4)=0,TRUE,SUMPRODUCT(($AR$9:$AY$9=4)*($AR$6:$AY$6&lt;&gt;"")*ISNUMBER(SEARCH($AR$6:$AY$6,$AK34)))&gt;0),IF(COUNTIF($AR$9:$AY$9,5)=0,TRUE,SUMPRODUCT(($AR$9:$AY$9=5)*($AR$6:$AY$6&lt;&gt;"")*ISNUMBER(SEARCH($AR$6:$AY$6,$AK34)))&gt;0),IF(COUNTIF($AR$9:$AY$9,6)=0,TRUE,SUMPRODUCT(($AR$9:$AY$9=6)*($AR$6:$AY$6&lt;&gt;"")*ISNUMBER(SEARCH($AR$6:$AY$6,$AK34)))&gt;0),IF(COUNTIF($AR$9:$AY$9,7)=0,TRUE,SUMPRODUCT(($AR$9:$AY$9=7)*($AR$6:$AY$6&lt;&gt;"")*ISNUMBER(SEARCH($AR$6:$AY$6,$AK34)))&gt;0),IF(COUNTIF($AR$9:$AY$9,8)=0,TRUE,SUMPRODUCT(($AR$9:$AY$9=8)*($AR$6:$AY$6&lt;&gt;"")*ISNUMBER(SEARCH($AR$6:$AY$6,$AK34)))&gt;0)),1,0))</f>
        <v/>
      </c>
      <c r="AZ34">
        <f>IF($B$3="",9,IF($AM34=0,10,IF(AND($AR$6&lt;&gt;"",ISNUMBER(SEARCH($AR$6,$AK34))),1,IF(AND($AS$6&lt;&gt;"",ISNUMBER(SEARCH($AS$6,$AK34))),2,IF(AND($AT$6&lt;&gt;"",ISNUMBER(SEARCH($AT$6,$AK34))),3,IF(AND($AU$6&lt;&gt;"",ISNUMBER(SEARCH($AU$6,$AK34))),4,IF(AND($AV$6&lt;&gt;"",ISNUMBER(SEARCH($AV$6,$AK34))),5,IF(AND($AW$6&lt;&gt;"",ISNUMBER(SEARCH($AW$6,$AK34))),6,IF(AND($AX$6&lt;&gt;"",ISNUMBER(SEARCH($AX$6,$AK34))),7,IF(AND($AY$6&lt;&gt;"",ISNUMBER(SEARCH($AY$6,$AK34))),8,0))))))))))</f>
        <v/>
      </c>
      <c r="BA34">
        <f>SUMPRODUCT(($AZ$5:$AZ$41=$AZ34)*($BC$5:$BC$41&lt;$BC34))+1</f>
        <v/>
      </c>
      <c r="BB34">
        <f>IF(INDEX($BF$4:$BF$13,$AZ34)=0,0,INDEX($BE$4:$BE$13,$AZ34)+$BA34-1)</f>
        <v/>
      </c>
      <c r="BC34" t="n">
        <v>33</v>
      </c>
      <c r="BH34">
        <f>IFERROR(MATCH(34,$BF$4:$BF$13,0),0)</f>
        <v/>
      </c>
      <c r="BI34">
        <f>IF(34=$BG$4,1,0)</f>
        <v/>
      </c>
      <c r="BJ34">
        <f>IF(OR($BH34&gt;0,$BI34=1),0,IFERROR(INDEX($BC$5:$BC$41,MATCH(34,$BB$5:$BB$41,0)),0))</f>
        <v/>
      </c>
      <c r="BK34">
        <f>IF($BJ34&gt;0,IF(INDEX($AZ$5:$AZ$41,MATCH(34,$BB$5:$BB$41,0))=10,1,0),IF($BH34=10,1,0))</f>
        <v/>
      </c>
    </row>
    <row r="35" ht="15" customHeight="1">
      <c r="A35" s="649">
        <f>IF($BJ35&gt;0,INDEX($BA$5:$BA$41,MATCH(35,$BB$5:$BB$41,0)),IF(OR($BI35=1,$BH35&gt;0),"∑",""))</f>
        <v/>
      </c>
      <c r="B35" s="650">
        <f>IF($BJ35&gt;0,IF(INDEX('Final Calculation Sheet'!$F$4:$F$40,$BJ35-3)="","",INDEX('Final Calculation Sheet'!$F$4:$F$40,$BJ35-3)),"")</f>
        <v/>
      </c>
      <c r="C35" s="650">
        <f>IF($BJ35&gt;0,IF(INDEX('Final Calculation Sheet'!$G$4:$G$40,$BJ35-3)="","",INDEX('Final Calculation Sheet'!$G$4:$G$40,$BJ35-3)),IF(OR($BI35=1,$BH35&gt;0),IF($BI35=1,37,INDEX($BD$4:$BD$13,$BH35))&amp;" lot(s)",""))</f>
        <v/>
      </c>
      <c r="D35" s="651">
        <f>IF($BJ35&gt;0,IF(INDEX('Final Calculation Sheet'!$B$4:$B$40,$BJ35-3)="","",INDEX('Final Calculation Sheet'!$B$4:$B$40,$BJ35-3)),IF(OR($BI35=1,$BH35&gt;0),IF($BI35=1,"GRAND TOTAL  —  matching + remaining",IF($BH35=10,"REMAINING  —  did not match the search",IF($BH35=9,"ALL LOTS  —  nothing typed in the box","GROUP "&amp;$BH35&amp;" TOTAL  —  lots matching  "&amp;INDEX($AR$6:$AY$6,$BH35)))),""))</f>
        <v/>
      </c>
      <c r="E35" s="651">
        <f>IF($BJ35&gt;0,IF(INDEX('Final Calculation Sheet'!$D$4:$D$40,$BJ35-3)="","",INDEX('Final Calculation Sheet'!$D$4:$D$40,$BJ35-3)),IF(OR($BI35=1,$BH35&gt;0),"–",""))</f>
        <v/>
      </c>
      <c r="F35" s="651">
        <f>IF($BJ35&gt;0,IF(INDEX('Final Calculation Sheet'!$A$4:$A$40,$BJ35-3)="","",INDEX('Final Calculation Sheet'!$A$4:$A$40,$BJ35-3)),IF($BI35=1,SUM('Final Calculation Sheet'!$A$4:$A$40),IF($BH35&gt;0,SUMIFS('Final Calculation Sheet'!$A$4:$A$40,$AZ$5:$AZ$41,$BH35),"")))</f>
        <v/>
      </c>
      <c r="G35" s="651">
        <f>IF($BJ35&gt;0,IF(INDEX('Final Calculation Sheet'!$E$4:$E$40,$BJ35-3)="","",INDEX('Final Calculation Sheet'!$E$4:$E$40,$BJ35-3)),IF(OR($BI35=1,$BH35&gt;0),"–",""))</f>
        <v/>
      </c>
      <c r="H35" s="652">
        <f>IF($BJ35&gt;0,IF(INDEX('Final Calculation Sheet'!$C$4:$C$40,$BJ35-3)="","",INDEX('Final Calculation Sheet'!$C$4:$C$40,$BJ35-3)),IF(OR($BI35=1,$BH35&gt;0),"–",""))</f>
        <v/>
      </c>
      <c r="I35" s="652">
        <f>IF($BJ35&gt;0,IF(INDEX('Final Calculation Sheet'!$H$4:$H$40,$BJ35-3)="","",INDEX('Final Calculation Sheet'!$H$4:$H$40,$BJ35-3)),IF($BI35=1,SUM('Final Calculation Sheet'!$H$4:$H$40),IF($BH35&gt;0,SUMIFS('Final Calculation Sheet'!$H$4:$H$40,$AZ$5:$AZ$41,$BH35),"")))</f>
        <v/>
      </c>
      <c r="J35" s="652">
        <f>IF($BJ35&gt;0,IF(INDEX('Final Calculation Sheet'!$I$4:$I$40,$BJ35-3)="","",INDEX('Final Calculation Sheet'!$I$4:$I$40,$BJ35-3)),IF($BI35=1,SUM('Final Calculation Sheet'!$I$4:$I$40),IF($BH35&gt;0,SUMIFS('Final Calculation Sheet'!$I$4:$I$40,$AZ$5:$AZ$41,$BH35),"")))</f>
        <v/>
      </c>
      <c r="K35" s="652">
        <f>IF($BJ35&gt;0,IF(INDEX('Final Calculation Sheet'!$J$4:$J$40,$BJ35-3)="","",INDEX('Final Calculation Sheet'!$J$4:$J$40,$BJ35-3)),IF($BI35=1,SUM('Final Calculation Sheet'!$J$4:$J$40),IF($BH35&gt;0,SUMIFS('Final Calculation Sheet'!$J$4:$J$40,$AZ$5:$AZ$41,$BH35),"")))</f>
        <v/>
      </c>
      <c r="L35" s="652">
        <f>IF($BJ35&gt;0,IF(INDEX('Final Calculation Sheet'!$K$4:$K$40,$BJ35-3)="","",INDEX('Final Calculation Sheet'!$K$4:$K$40,$BJ35-3)),IF($BI35=1,SUM('Final Calculation Sheet'!$K$4:$K$40),IF($BH35&gt;0,SUMIFS('Final Calculation Sheet'!$K$4:$K$40,$AZ$5:$AZ$41,$BH35),"")))</f>
        <v/>
      </c>
      <c r="M35" s="652">
        <f>IF($BJ35&gt;0,IF(INDEX('Final Calculation Sheet'!$L$4:$L$40,$BJ35-3)="","",INDEX('Final Calculation Sheet'!$L$4:$L$40,$BJ35-3)),IF($BI35=1,SUM('Final Calculation Sheet'!$L$4:$L$40),IF($BH35&gt;0,SUMIFS('Final Calculation Sheet'!$L$4:$L$40,$AZ$5:$AZ$41,$BH35),"")))</f>
        <v/>
      </c>
      <c r="N35" s="652">
        <f>IF($BJ35&gt;0,IF(INDEX('Final Calculation Sheet'!$M$4:$M$40,$BJ35-3)="","",INDEX('Final Calculation Sheet'!$M$4:$M$40,$BJ35-3)),IF($BI35=1,SUM('Final Calculation Sheet'!$M$4:$M$40),IF($BH35&gt;0,SUMIFS('Final Calculation Sheet'!$M$4:$M$40,$AZ$5:$AZ$41,$BH35),"")))</f>
        <v/>
      </c>
      <c r="O35" s="653">
        <f>IF($BJ35&gt;0,IF(INDEX('Final Calculation Sheet'!$N$4:$N$40,$BJ35-3)="","",INDEX('Final Calculation Sheet'!$N$4:$N$40,$BJ35-3)),IF($BI35=1,SUM('Final Calculation Sheet'!$N$4:$N$40),IF($BH35&gt;0,SUMIFS('Final Calculation Sheet'!$N$4:$N$40,$AZ$5:$AZ$41,$BH35),"")))</f>
        <v/>
      </c>
      <c r="P35" s="652">
        <f>IF($BJ35&gt;0,IF(INDEX('Final Calculation Sheet'!$O$4:$O$40,$BJ35-3)="","",INDEX('Final Calculation Sheet'!$O$4:$O$40,$BJ35-3)),IF($BI35=1,SUM('Final Calculation Sheet'!$O$4:$O$40),IF($BH35&gt;0,SUMIFS('Final Calculation Sheet'!$O$4:$O$40,$AZ$5:$AZ$41,$BH35),"")))</f>
        <v/>
      </c>
      <c r="Q35" s="652">
        <f>IF($BJ35&gt;0,IF(INDEX('Final Calculation Sheet'!$P$4:$P$40,$BJ35-3)="","",INDEX('Final Calculation Sheet'!$P$4:$P$40,$BJ35-3)),IF($BI35=1,SUM('Final Calculation Sheet'!$P$4:$P$40),IF($BH35&gt;0,SUMIFS('Final Calculation Sheet'!$P$4:$P$40,$AZ$5:$AZ$41,$BH35),"")))</f>
        <v/>
      </c>
      <c r="R35" s="654">
        <f>IF($BJ35&gt;0,IF(INDEX('Final Calculation Sheet'!$Q$4:$Q$40,$BJ35-3)="","",INDEX('Final Calculation Sheet'!$Q$4:$Q$40,$BJ35-3)),IF(OR($BI35=1,$BH35&gt;0),"–",""))</f>
        <v/>
      </c>
      <c r="S35" s="652">
        <f>IF($BJ35&gt;0,IF(INDEX('Final Calculation Sheet'!$R$4:$R$40,$BJ35-3)="","",INDEX('Final Calculation Sheet'!$R$4:$R$40,$BJ35-3)),IF($BI35=1,SUM('Final Calculation Sheet'!$R$4:$R$40),IF($BH35&gt;0,SUMIFS('Final Calculation Sheet'!$R$4:$R$40,$AZ$5:$AZ$41,$BH35),"")))</f>
        <v/>
      </c>
      <c r="T35" s="652">
        <f>IF($BJ35&gt;0,IF(INDEX('Final Calculation Sheet'!$S$4:$S$40,$BJ35-3)="","",INDEX('Final Calculation Sheet'!$S$4:$S$40,$BJ35-3)),IF($BI35=1,SUM('Final Calculation Sheet'!$S$4:$S$40),IF($BH35&gt;0,SUMIFS('Final Calculation Sheet'!$S$4:$S$40,$AZ$5:$AZ$41,$BH35),"")))</f>
        <v/>
      </c>
      <c r="U35" s="652">
        <f>IF($BJ35&gt;0,IF(INDEX('Final Calculation Sheet'!$T$4:$T$40,$BJ35-3)="","",INDEX('Final Calculation Sheet'!$T$4:$T$40,$BJ35-3)),IF($BI35=1,SUM('Final Calculation Sheet'!$T$4:$T$40),IF($BH35&gt;0,SUMIFS('Final Calculation Sheet'!$T$4:$T$40,$AZ$5:$AZ$41,$BH35),"")))</f>
        <v/>
      </c>
      <c r="V35" s="655">
        <f>IF($BJ35&gt;0,IF(INDEX('Final Calculation Sheet'!$U$4:$U$40,$BJ35-3)="","",INDEX('Final Calculation Sheet'!$U$4:$U$40,$BJ35-3)),IF($BI35=1,SUM('Final Calculation Sheet'!$U$4:$U$40),IF($BH35&gt;0,SUMIFS('Final Calculation Sheet'!$U$4:$U$40,$AZ$5:$AZ$41,$BH35),"")))</f>
        <v/>
      </c>
      <c r="W35" s="652">
        <f>IF($BJ35&gt;0,IF(INDEX('Final Calculation Sheet'!$V$4:$V$40,$BJ35-3)="","",INDEX('Final Calculation Sheet'!$V$4:$V$40,$BJ35-3)),IF(OR($BI35=1,$BH35&gt;0),"–",""))</f>
        <v/>
      </c>
      <c r="X35" s="652">
        <f>IF($BJ35&gt;0,IF(INDEX('Final Calculation Sheet'!$W$4:$W$40,$BJ35-3)="","",INDEX('Final Calculation Sheet'!$W$4:$W$40,$BJ35-3)),IF($BI35=1,SUM('Final Calculation Sheet'!$W$4:$W$40),IF($BH35&gt;0,SUMIFS('Final Calculation Sheet'!$W$4:$W$40,$AZ$5:$AZ$41,$BH35),"")))</f>
        <v/>
      </c>
      <c r="Y35" s="652">
        <f>IF($BJ35&gt;0,IF(INDEX('Final Calculation Sheet'!$X$4:$X$40,$BJ35-3)="","",INDEX('Final Calculation Sheet'!$X$4:$X$40,$BJ35-3)),IF($BI35=1,SUM('Final Calculation Sheet'!$X$4:$X$40),IF($BH35&gt;0,SUMIFS('Final Calculation Sheet'!$X$4:$X$40,$AZ$5:$AZ$41,$BH35),"")))</f>
        <v/>
      </c>
      <c r="Z35" s="652">
        <f>IF($BJ35&gt;0,IF(INDEX('Final Calculation Sheet'!$Y$4:$Y$40,$BJ35-3)="","",INDEX('Final Calculation Sheet'!$Y$4:$Y$40,$BJ35-3)),IF(OR($BI35=1,$BH35&gt;0),"–",""))</f>
        <v/>
      </c>
      <c r="AA35" s="652">
        <f>IF($BJ35&gt;0,IF(INDEX('Final Calculation Sheet'!$Z$4:$Z$40,$BJ35-3)="","",INDEX('Final Calculation Sheet'!$Z$4:$Z$40,$BJ35-3)),IF($BI35=1,SUM('Final Calculation Sheet'!$Z$4:$Z$40),IF($BH35&gt;0,SUMIFS('Final Calculation Sheet'!$Z$4:$Z$40,$AZ$5:$AZ$41,$BH35),"")))</f>
        <v/>
      </c>
      <c r="AB35" s="652">
        <f>IF($BJ35&gt;0,IF(INDEX('Final Calculation Sheet'!$AA$4:$AA$40,$BJ35-3)="","",INDEX('Final Calculation Sheet'!$AA$4:$AA$40,$BJ35-3)),IF($BI35=1,SUM('Final Calculation Sheet'!$AA$4:$AA$40),IF($BH35&gt;0,SUMIFS('Final Calculation Sheet'!$AA$4:$AA$40,$AZ$5:$AZ$41,$BH35),"")))</f>
        <v/>
      </c>
      <c r="AC35" s="652">
        <f>IF($BJ35&gt;0,IF(INDEX('Final Calculation Sheet'!$AB$4:$AB$40,$BJ35-3)="","",INDEX('Final Calculation Sheet'!$AB$4:$AB$40,$BJ35-3)),IF(OR($BI35=1,$BH35&gt;0),"–",""))</f>
        <v/>
      </c>
      <c r="AD35" s="652">
        <f>IF($BJ35&gt;0,IF(INDEX('Final Calculation Sheet'!$AC$4:$AC$40,$BJ35-3)="","",INDEX('Final Calculation Sheet'!$AC$4:$AC$40,$BJ35-3)),IF($BI35=1,SUM('Final Calculation Sheet'!$AC$4:$AC$40),IF($BH35&gt;0,SUMIFS('Final Calculation Sheet'!$AC$4:$AC$40,$AZ$5:$AZ$41,$BH35),"")))</f>
        <v/>
      </c>
      <c r="AE35" s="652">
        <f>IF($BJ35&gt;0,IF(INDEX('Final Calculation Sheet'!$AD$4:$AD$40,$BJ35-3)="","",INDEX('Final Calculation Sheet'!$AD$4:$AD$40,$BJ35-3)),IF($BI35=1,SUM('Final Calculation Sheet'!$AD$4:$AD$40),IF($BH35&gt;0,SUMIFS('Final Calculation Sheet'!$AD$4:$AD$40,$AZ$5:$AZ$41,$BH35),"")))</f>
        <v/>
      </c>
      <c r="AF35" s="652">
        <f>IF($BJ35&gt;0,IF(INDEX('Final Calculation Sheet'!$AE$4:$AE$40,$BJ35-3)="","",INDEX('Final Calculation Sheet'!$AE$4:$AE$40,$BJ35-3)),IF(OR($BI35=1,$BH35&gt;0),"–",""))</f>
        <v/>
      </c>
      <c r="AG35" s="656">
        <f>IF($BJ35&gt;0,IF(INDEX('Final Calculation Sheet'!$AF$4:$AF$40,$BJ35-3)="","",INDEX('Final Calculation Sheet'!$AF$4:$AF$40,$BJ35-3)),IF(OR($BI35=1,$BH35&gt;0),"–",""))</f>
        <v/>
      </c>
      <c r="AH35" s="652">
        <f>IF($BJ35&gt;0,IF(INDEX('Final Calculation Sheet'!$AG$4:$AG$40,$BJ35-3)="","",INDEX('Final Calculation Sheet'!$AG$4:$AG$40,$BJ35-3)),IF(OR($BI35=1,$BH35&gt;0),"–",""))</f>
        <v/>
      </c>
      <c r="AI35" s="657">
        <f>IF($BJ35&gt;0,IF(INDEX('Final Calculation Sheet'!$AD$4:$AD$40,$BJ35-3)="","",IF(INDEX('Final Calculation Sheet'!$AD$4:$AD$40,$BJ35-3)&lt;=0,"SETTLED","OUTSTANDING")),IF(OR($BI35=1,$BH35&gt;0),IF(IF($BI35=1,SUM('Final Calculation Sheet'!$AD$4:$AD$40),SUMIFS('Final Calculation Sheet'!$AD$4:$AD$40,$AZ$5:$AZ$41,$BH35))&lt;=0,"ALL SETTLED","OUTSTANDING"),""))</f>
        <v/>
      </c>
      <c r="AK35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/>
      </c>
      <c r="AM35">
        <f>IF($B$3="",1,IF(AND(IF(COUNTIF($AR$9:$AY$9,1)=0,TRUE,SUMPRODUCT(($AR$9:$AY$9=1)*($AR$6:$AY$6&lt;&gt;"")*ISNUMBER(SEARCH($AR$6:$AY$6,$AK35)))&gt;0),IF(COUNTIF($AR$9:$AY$9,2)=0,TRUE,SUMPRODUCT(($AR$9:$AY$9=2)*($AR$6:$AY$6&lt;&gt;"")*ISNUMBER(SEARCH($AR$6:$AY$6,$AK35)))&gt;0),IF(COUNTIF($AR$9:$AY$9,3)=0,TRUE,SUMPRODUCT(($AR$9:$AY$9=3)*($AR$6:$AY$6&lt;&gt;"")*ISNUMBER(SEARCH($AR$6:$AY$6,$AK35)))&gt;0),IF(COUNTIF($AR$9:$AY$9,4)=0,TRUE,SUMPRODUCT(($AR$9:$AY$9=4)*($AR$6:$AY$6&lt;&gt;"")*ISNUMBER(SEARCH($AR$6:$AY$6,$AK35)))&gt;0),IF(COUNTIF($AR$9:$AY$9,5)=0,TRUE,SUMPRODUCT(($AR$9:$AY$9=5)*($AR$6:$AY$6&lt;&gt;"")*ISNUMBER(SEARCH($AR$6:$AY$6,$AK35)))&gt;0),IF(COUNTIF($AR$9:$AY$9,6)=0,TRUE,SUMPRODUCT(($AR$9:$AY$9=6)*($AR$6:$AY$6&lt;&gt;"")*ISNUMBER(SEARCH($AR$6:$AY$6,$AK35)))&gt;0),IF(COUNTIF($AR$9:$AY$9,7)=0,TRUE,SUMPRODUCT(($AR$9:$AY$9=7)*($AR$6:$AY$6&lt;&gt;"")*ISNUMBER(SEARCH($AR$6:$AY$6,$AK35)))&gt;0),IF(COUNTIF($AR$9:$AY$9,8)=0,TRUE,SUMPRODUCT(($AR$9:$AY$9=8)*($AR$6:$AY$6&lt;&gt;"")*ISNUMBER(SEARCH($AR$6:$AY$6,$AK35)))&gt;0)),1,0))</f>
        <v/>
      </c>
      <c r="AZ35">
        <f>IF($B$3="",9,IF($AM35=0,10,IF(AND($AR$6&lt;&gt;"",ISNUMBER(SEARCH($AR$6,$AK35))),1,IF(AND($AS$6&lt;&gt;"",ISNUMBER(SEARCH($AS$6,$AK35))),2,IF(AND($AT$6&lt;&gt;"",ISNUMBER(SEARCH($AT$6,$AK35))),3,IF(AND($AU$6&lt;&gt;"",ISNUMBER(SEARCH($AU$6,$AK35))),4,IF(AND($AV$6&lt;&gt;"",ISNUMBER(SEARCH($AV$6,$AK35))),5,IF(AND($AW$6&lt;&gt;"",ISNUMBER(SEARCH($AW$6,$AK35))),6,IF(AND($AX$6&lt;&gt;"",ISNUMBER(SEARCH($AX$6,$AK35))),7,IF(AND($AY$6&lt;&gt;"",ISNUMBER(SEARCH($AY$6,$AK35))),8,0))))))))))</f>
        <v/>
      </c>
      <c r="BA35">
        <f>SUMPRODUCT(($AZ$5:$AZ$41=$AZ35)*($BC$5:$BC$41&lt;$BC35))+1</f>
        <v/>
      </c>
      <c r="BB35">
        <f>IF(INDEX($BF$4:$BF$13,$AZ35)=0,0,INDEX($BE$4:$BE$13,$AZ35)+$BA35-1)</f>
        <v/>
      </c>
      <c r="BC35" t="n">
        <v>34</v>
      </c>
      <c r="BH35">
        <f>IFERROR(MATCH(35,$BF$4:$BF$13,0),0)</f>
        <v/>
      </c>
      <c r="BI35">
        <f>IF(35=$BG$4,1,0)</f>
        <v/>
      </c>
      <c r="BJ35">
        <f>IF(OR($BH35&gt;0,$BI35=1),0,IFERROR(INDEX($BC$5:$BC$41,MATCH(35,$BB$5:$BB$41,0)),0))</f>
        <v/>
      </c>
      <c r="BK35">
        <f>IF($BJ35&gt;0,IF(INDEX($AZ$5:$AZ$41,MATCH(35,$BB$5:$BB$41,0))=10,1,0),IF($BH35=10,1,0))</f>
        <v/>
      </c>
    </row>
    <row r="36" ht="15" customHeight="1">
      <c r="A36" s="649">
        <f>IF($BJ36&gt;0,INDEX($BA$5:$BA$41,MATCH(36,$BB$5:$BB$41,0)),IF(OR($BI36=1,$BH36&gt;0),"∑",""))</f>
        <v/>
      </c>
      <c r="B36" s="650">
        <f>IF($BJ36&gt;0,IF(INDEX('Final Calculation Sheet'!$F$4:$F$40,$BJ36-3)="","",INDEX('Final Calculation Sheet'!$F$4:$F$40,$BJ36-3)),"")</f>
        <v/>
      </c>
      <c r="C36" s="650">
        <f>IF($BJ36&gt;0,IF(INDEX('Final Calculation Sheet'!$G$4:$G$40,$BJ36-3)="","",INDEX('Final Calculation Sheet'!$G$4:$G$40,$BJ36-3)),IF(OR($BI36=1,$BH36&gt;0),IF($BI36=1,37,INDEX($BD$4:$BD$13,$BH36))&amp;" lot(s)",""))</f>
        <v/>
      </c>
      <c r="D36" s="651">
        <f>IF($BJ36&gt;0,IF(INDEX('Final Calculation Sheet'!$B$4:$B$40,$BJ36-3)="","",INDEX('Final Calculation Sheet'!$B$4:$B$40,$BJ36-3)),IF(OR($BI36=1,$BH36&gt;0),IF($BI36=1,"GRAND TOTAL  —  matching + remaining",IF($BH36=10,"REMAINING  —  did not match the search",IF($BH36=9,"ALL LOTS  —  nothing typed in the box","GROUP "&amp;$BH36&amp;" TOTAL  —  lots matching  "&amp;INDEX($AR$6:$AY$6,$BH36)))),""))</f>
        <v/>
      </c>
      <c r="E36" s="651">
        <f>IF($BJ36&gt;0,IF(INDEX('Final Calculation Sheet'!$D$4:$D$40,$BJ36-3)="","",INDEX('Final Calculation Sheet'!$D$4:$D$40,$BJ36-3)),IF(OR($BI36=1,$BH36&gt;0),"–",""))</f>
        <v/>
      </c>
      <c r="F36" s="651">
        <f>IF($BJ36&gt;0,IF(INDEX('Final Calculation Sheet'!$A$4:$A$40,$BJ36-3)="","",INDEX('Final Calculation Sheet'!$A$4:$A$40,$BJ36-3)),IF($BI36=1,SUM('Final Calculation Sheet'!$A$4:$A$40),IF($BH36&gt;0,SUMIFS('Final Calculation Sheet'!$A$4:$A$40,$AZ$5:$AZ$41,$BH36),"")))</f>
        <v/>
      </c>
      <c r="G36" s="651">
        <f>IF($BJ36&gt;0,IF(INDEX('Final Calculation Sheet'!$E$4:$E$40,$BJ36-3)="","",INDEX('Final Calculation Sheet'!$E$4:$E$40,$BJ36-3)),IF(OR($BI36=1,$BH36&gt;0),"–",""))</f>
        <v/>
      </c>
      <c r="H36" s="652">
        <f>IF($BJ36&gt;0,IF(INDEX('Final Calculation Sheet'!$C$4:$C$40,$BJ36-3)="","",INDEX('Final Calculation Sheet'!$C$4:$C$40,$BJ36-3)),IF(OR($BI36=1,$BH36&gt;0),"–",""))</f>
        <v/>
      </c>
      <c r="I36" s="652">
        <f>IF($BJ36&gt;0,IF(INDEX('Final Calculation Sheet'!$H$4:$H$40,$BJ36-3)="","",INDEX('Final Calculation Sheet'!$H$4:$H$40,$BJ36-3)),IF($BI36=1,SUM('Final Calculation Sheet'!$H$4:$H$40),IF($BH36&gt;0,SUMIFS('Final Calculation Sheet'!$H$4:$H$40,$AZ$5:$AZ$41,$BH36),"")))</f>
        <v/>
      </c>
      <c r="J36" s="652">
        <f>IF($BJ36&gt;0,IF(INDEX('Final Calculation Sheet'!$I$4:$I$40,$BJ36-3)="","",INDEX('Final Calculation Sheet'!$I$4:$I$40,$BJ36-3)),IF($BI36=1,SUM('Final Calculation Sheet'!$I$4:$I$40),IF($BH36&gt;0,SUMIFS('Final Calculation Sheet'!$I$4:$I$40,$AZ$5:$AZ$41,$BH36),"")))</f>
        <v/>
      </c>
      <c r="K36" s="652">
        <f>IF($BJ36&gt;0,IF(INDEX('Final Calculation Sheet'!$J$4:$J$40,$BJ36-3)="","",INDEX('Final Calculation Sheet'!$J$4:$J$40,$BJ36-3)),IF($BI36=1,SUM('Final Calculation Sheet'!$J$4:$J$40),IF($BH36&gt;0,SUMIFS('Final Calculation Sheet'!$J$4:$J$40,$AZ$5:$AZ$41,$BH36),"")))</f>
        <v/>
      </c>
      <c r="L36" s="652">
        <f>IF($BJ36&gt;0,IF(INDEX('Final Calculation Sheet'!$K$4:$K$40,$BJ36-3)="","",INDEX('Final Calculation Sheet'!$K$4:$K$40,$BJ36-3)),IF($BI36=1,SUM('Final Calculation Sheet'!$K$4:$K$40),IF($BH36&gt;0,SUMIFS('Final Calculation Sheet'!$K$4:$K$40,$AZ$5:$AZ$41,$BH36),"")))</f>
        <v/>
      </c>
      <c r="M36" s="652">
        <f>IF($BJ36&gt;0,IF(INDEX('Final Calculation Sheet'!$L$4:$L$40,$BJ36-3)="","",INDEX('Final Calculation Sheet'!$L$4:$L$40,$BJ36-3)),IF($BI36=1,SUM('Final Calculation Sheet'!$L$4:$L$40),IF($BH36&gt;0,SUMIFS('Final Calculation Sheet'!$L$4:$L$40,$AZ$5:$AZ$41,$BH36),"")))</f>
        <v/>
      </c>
      <c r="N36" s="652">
        <f>IF($BJ36&gt;0,IF(INDEX('Final Calculation Sheet'!$M$4:$M$40,$BJ36-3)="","",INDEX('Final Calculation Sheet'!$M$4:$M$40,$BJ36-3)),IF($BI36=1,SUM('Final Calculation Sheet'!$M$4:$M$40),IF($BH36&gt;0,SUMIFS('Final Calculation Sheet'!$M$4:$M$40,$AZ$5:$AZ$41,$BH36),"")))</f>
        <v/>
      </c>
      <c r="O36" s="653">
        <f>IF($BJ36&gt;0,IF(INDEX('Final Calculation Sheet'!$N$4:$N$40,$BJ36-3)="","",INDEX('Final Calculation Sheet'!$N$4:$N$40,$BJ36-3)),IF($BI36=1,SUM('Final Calculation Sheet'!$N$4:$N$40),IF($BH36&gt;0,SUMIFS('Final Calculation Sheet'!$N$4:$N$40,$AZ$5:$AZ$41,$BH36),"")))</f>
        <v/>
      </c>
      <c r="P36" s="652">
        <f>IF($BJ36&gt;0,IF(INDEX('Final Calculation Sheet'!$O$4:$O$40,$BJ36-3)="","",INDEX('Final Calculation Sheet'!$O$4:$O$40,$BJ36-3)),IF($BI36=1,SUM('Final Calculation Sheet'!$O$4:$O$40),IF($BH36&gt;0,SUMIFS('Final Calculation Sheet'!$O$4:$O$40,$AZ$5:$AZ$41,$BH36),"")))</f>
        <v/>
      </c>
      <c r="Q36" s="652">
        <f>IF($BJ36&gt;0,IF(INDEX('Final Calculation Sheet'!$P$4:$P$40,$BJ36-3)="","",INDEX('Final Calculation Sheet'!$P$4:$P$40,$BJ36-3)),IF($BI36=1,SUM('Final Calculation Sheet'!$P$4:$P$40),IF($BH36&gt;0,SUMIFS('Final Calculation Sheet'!$P$4:$P$40,$AZ$5:$AZ$41,$BH36),"")))</f>
        <v/>
      </c>
      <c r="R36" s="654">
        <f>IF($BJ36&gt;0,IF(INDEX('Final Calculation Sheet'!$Q$4:$Q$40,$BJ36-3)="","",INDEX('Final Calculation Sheet'!$Q$4:$Q$40,$BJ36-3)),IF(OR($BI36=1,$BH36&gt;0),"–",""))</f>
        <v/>
      </c>
      <c r="S36" s="652">
        <f>IF($BJ36&gt;0,IF(INDEX('Final Calculation Sheet'!$R$4:$R$40,$BJ36-3)="","",INDEX('Final Calculation Sheet'!$R$4:$R$40,$BJ36-3)),IF($BI36=1,SUM('Final Calculation Sheet'!$R$4:$R$40),IF($BH36&gt;0,SUMIFS('Final Calculation Sheet'!$R$4:$R$40,$AZ$5:$AZ$41,$BH36),"")))</f>
        <v/>
      </c>
      <c r="T36" s="652">
        <f>IF($BJ36&gt;0,IF(INDEX('Final Calculation Sheet'!$S$4:$S$40,$BJ36-3)="","",INDEX('Final Calculation Sheet'!$S$4:$S$40,$BJ36-3)),IF($BI36=1,SUM('Final Calculation Sheet'!$S$4:$S$40),IF($BH36&gt;0,SUMIFS('Final Calculation Sheet'!$S$4:$S$40,$AZ$5:$AZ$41,$BH36),"")))</f>
        <v/>
      </c>
      <c r="U36" s="652">
        <f>IF($BJ36&gt;0,IF(INDEX('Final Calculation Sheet'!$T$4:$T$40,$BJ36-3)="","",INDEX('Final Calculation Sheet'!$T$4:$T$40,$BJ36-3)),IF($BI36=1,SUM('Final Calculation Sheet'!$T$4:$T$40),IF($BH36&gt;0,SUMIFS('Final Calculation Sheet'!$T$4:$T$40,$AZ$5:$AZ$41,$BH36),"")))</f>
        <v/>
      </c>
      <c r="V36" s="655">
        <f>IF($BJ36&gt;0,IF(INDEX('Final Calculation Sheet'!$U$4:$U$40,$BJ36-3)="","",INDEX('Final Calculation Sheet'!$U$4:$U$40,$BJ36-3)),IF($BI36=1,SUM('Final Calculation Sheet'!$U$4:$U$40),IF($BH36&gt;0,SUMIFS('Final Calculation Sheet'!$U$4:$U$40,$AZ$5:$AZ$41,$BH36),"")))</f>
        <v/>
      </c>
      <c r="W36" s="652">
        <f>IF($BJ36&gt;0,IF(INDEX('Final Calculation Sheet'!$V$4:$V$40,$BJ36-3)="","",INDEX('Final Calculation Sheet'!$V$4:$V$40,$BJ36-3)),IF(OR($BI36=1,$BH36&gt;0),"–",""))</f>
        <v/>
      </c>
      <c r="X36" s="652">
        <f>IF($BJ36&gt;0,IF(INDEX('Final Calculation Sheet'!$W$4:$W$40,$BJ36-3)="","",INDEX('Final Calculation Sheet'!$W$4:$W$40,$BJ36-3)),IF($BI36=1,SUM('Final Calculation Sheet'!$W$4:$W$40),IF($BH36&gt;0,SUMIFS('Final Calculation Sheet'!$W$4:$W$40,$AZ$5:$AZ$41,$BH36),"")))</f>
        <v/>
      </c>
      <c r="Y36" s="652">
        <f>IF($BJ36&gt;0,IF(INDEX('Final Calculation Sheet'!$X$4:$X$40,$BJ36-3)="","",INDEX('Final Calculation Sheet'!$X$4:$X$40,$BJ36-3)),IF($BI36=1,SUM('Final Calculation Sheet'!$X$4:$X$40),IF($BH36&gt;0,SUMIFS('Final Calculation Sheet'!$X$4:$X$40,$AZ$5:$AZ$41,$BH36),"")))</f>
        <v/>
      </c>
      <c r="Z36" s="652">
        <f>IF($BJ36&gt;0,IF(INDEX('Final Calculation Sheet'!$Y$4:$Y$40,$BJ36-3)="","",INDEX('Final Calculation Sheet'!$Y$4:$Y$40,$BJ36-3)),IF(OR($BI36=1,$BH36&gt;0),"–",""))</f>
        <v/>
      </c>
      <c r="AA36" s="652">
        <f>IF($BJ36&gt;0,IF(INDEX('Final Calculation Sheet'!$Z$4:$Z$40,$BJ36-3)="","",INDEX('Final Calculation Sheet'!$Z$4:$Z$40,$BJ36-3)),IF($BI36=1,SUM('Final Calculation Sheet'!$Z$4:$Z$40),IF($BH36&gt;0,SUMIFS('Final Calculation Sheet'!$Z$4:$Z$40,$AZ$5:$AZ$41,$BH36),"")))</f>
        <v/>
      </c>
      <c r="AB36" s="652">
        <f>IF($BJ36&gt;0,IF(INDEX('Final Calculation Sheet'!$AA$4:$AA$40,$BJ36-3)="","",INDEX('Final Calculation Sheet'!$AA$4:$AA$40,$BJ36-3)),IF($BI36=1,SUM('Final Calculation Sheet'!$AA$4:$AA$40),IF($BH36&gt;0,SUMIFS('Final Calculation Sheet'!$AA$4:$AA$40,$AZ$5:$AZ$41,$BH36),"")))</f>
        <v/>
      </c>
      <c r="AC36" s="652">
        <f>IF($BJ36&gt;0,IF(INDEX('Final Calculation Sheet'!$AB$4:$AB$40,$BJ36-3)="","",INDEX('Final Calculation Sheet'!$AB$4:$AB$40,$BJ36-3)),IF(OR($BI36=1,$BH36&gt;0),"–",""))</f>
        <v/>
      </c>
      <c r="AD36" s="652">
        <f>IF($BJ36&gt;0,IF(INDEX('Final Calculation Sheet'!$AC$4:$AC$40,$BJ36-3)="","",INDEX('Final Calculation Sheet'!$AC$4:$AC$40,$BJ36-3)),IF($BI36=1,SUM('Final Calculation Sheet'!$AC$4:$AC$40),IF($BH36&gt;0,SUMIFS('Final Calculation Sheet'!$AC$4:$AC$40,$AZ$5:$AZ$41,$BH36),"")))</f>
        <v/>
      </c>
      <c r="AE36" s="652">
        <f>IF($BJ36&gt;0,IF(INDEX('Final Calculation Sheet'!$AD$4:$AD$40,$BJ36-3)="","",INDEX('Final Calculation Sheet'!$AD$4:$AD$40,$BJ36-3)),IF($BI36=1,SUM('Final Calculation Sheet'!$AD$4:$AD$40),IF($BH36&gt;0,SUMIFS('Final Calculation Sheet'!$AD$4:$AD$40,$AZ$5:$AZ$41,$BH36),"")))</f>
        <v/>
      </c>
      <c r="AF36" s="652">
        <f>IF($BJ36&gt;0,IF(INDEX('Final Calculation Sheet'!$AE$4:$AE$40,$BJ36-3)="","",INDEX('Final Calculation Sheet'!$AE$4:$AE$40,$BJ36-3)),IF(OR($BI36=1,$BH36&gt;0),"–",""))</f>
        <v/>
      </c>
      <c r="AG36" s="656">
        <f>IF($BJ36&gt;0,IF(INDEX('Final Calculation Sheet'!$AF$4:$AF$40,$BJ36-3)="","",INDEX('Final Calculation Sheet'!$AF$4:$AF$40,$BJ36-3)),IF(OR($BI36=1,$BH36&gt;0),"–",""))</f>
        <v/>
      </c>
      <c r="AH36" s="652">
        <f>IF($BJ36&gt;0,IF(INDEX('Final Calculation Sheet'!$AG$4:$AG$40,$BJ36-3)="","",INDEX('Final Calculation Sheet'!$AG$4:$AG$40,$BJ36-3)),IF(OR($BI36=1,$BH36&gt;0),"–",""))</f>
        <v/>
      </c>
      <c r="AI36" s="657">
        <f>IF($BJ36&gt;0,IF(INDEX('Final Calculation Sheet'!$AD$4:$AD$40,$BJ36-3)="","",IF(INDEX('Final Calculation Sheet'!$AD$4:$AD$40,$BJ36-3)&lt;=0,"SETTLED","OUTSTANDING")),IF(OR($BI36=1,$BH36&gt;0),IF(IF($BI36=1,SUM('Final Calculation Sheet'!$AD$4:$AD$40),SUMIFS('Final Calculation Sheet'!$AD$4:$AD$40,$AZ$5:$AZ$41,$BH36))&lt;=0,"ALL SETTLED","OUTSTANDING"),""))</f>
        <v/>
      </c>
      <c r="AK36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/>
      </c>
      <c r="AM36">
        <f>IF($B$3="",1,IF(AND(IF(COUNTIF($AR$9:$AY$9,1)=0,TRUE,SUMPRODUCT(($AR$9:$AY$9=1)*($AR$6:$AY$6&lt;&gt;"")*ISNUMBER(SEARCH($AR$6:$AY$6,$AK36)))&gt;0),IF(COUNTIF($AR$9:$AY$9,2)=0,TRUE,SUMPRODUCT(($AR$9:$AY$9=2)*($AR$6:$AY$6&lt;&gt;"")*ISNUMBER(SEARCH($AR$6:$AY$6,$AK36)))&gt;0),IF(COUNTIF($AR$9:$AY$9,3)=0,TRUE,SUMPRODUCT(($AR$9:$AY$9=3)*($AR$6:$AY$6&lt;&gt;"")*ISNUMBER(SEARCH($AR$6:$AY$6,$AK36)))&gt;0),IF(COUNTIF($AR$9:$AY$9,4)=0,TRUE,SUMPRODUCT(($AR$9:$AY$9=4)*($AR$6:$AY$6&lt;&gt;"")*ISNUMBER(SEARCH($AR$6:$AY$6,$AK36)))&gt;0),IF(COUNTIF($AR$9:$AY$9,5)=0,TRUE,SUMPRODUCT(($AR$9:$AY$9=5)*($AR$6:$AY$6&lt;&gt;"")*ISNUMBER(SEARCH($AR$6:$AY$6,$AK36)))&gt;0),IF(COUNTIF($AR$9:$AY$9,6)=0,TRUE,SUMPRODUCT(($AR$9:$AY$9=6)*($AR$6:$AY$6&lt;&gt;"")*ISNUMBER(SEARCH($AR$6:$AY$6,$AK36)))&gt;0),IF(COUNTIF($AR$9:$AY$9,7)=0,TRUE,SUMPRODUCT(($AR$9:$AY$9=7)*($AR$6:$AY$6&lt;&gt;"")*ISNUMBER(SEARCH($AR$6:$AY$6,$AK36)))&gt;0),IF(COUNTIF($AR$9:$AY$9,8)=0,TRUE,SUMPRODUCT(($AR$9:$AY$9=8)*($AR$6:$AY$6&lt;&gt;"")*ISNUMBER(SEARCH($AR$6:$AY$6,$AK36)))&gt;0)),1,0))</f>
        <v/>
      </c>
      <c r="AZ36">
        <f>IF($B$3="",9,IF($AM36=0,10,IF(AND($AR$6&lt;&gt;"",ISNUMBER(SEARCH($AR$6,$AK36))),1,IF(AND($AS$6&lt;&gt;"",ISNUMBER(SEARCH($AS$6,$AK36))),2,IF(AND($AT$6&lt;&gt;"",ISNUMBER(SEARCH($AT$6,$AK36))),3,IF(AND($AU$6&lt;&gt;"",ISNUMBER(SEARCH($AU$6,$AK36))),4,IF(AND($AV$6&lt;&gt;"",ISNUMBER(SEARCH($AV$6,$AK36))),5,IF(AND($AW$6&lt;&gt;"",ISNUMBER(SEARCH($AW$6,$AK36))),6,IF(AND($AX$6&lt;&gt;"",ISNUMBER(SEARCH($AX$6,$AK36))),7,IF(AND($AY$6&lt;&gt;"",ISNUMBER(SEARCH($AY$6,$AK36))),8,0))))))))))</f>
        <v/>
      </c>
      <c r="BA36">
        <f>SUMPRODUCT(($AZ$5:$AZ$41=$AZ36)*($BC$5:$BC$41&lt;$BC36))+1</f>
        <v/>
      </c>
      <c r="BB36">
        <f>IF(INDEX($BF$4:$BF$13,$AZ36)=0,0,INDEX($BE$4:$BE$13,$AZ36)+$BA36-1)</f>
        <v/>
      </c>
      <c r="BC36" t="n">
        <v>35</v>
      </c>
      <c r="BH36">
        <f>IFERROR(MATCH(36,$BF$4:$BF$13,0),0)</f>
        <v/>
      </c>
      <c r="BI36">
        <f>IF(36=$BG$4,1,0)</f>
        <v/>
      </c>
      <c r="BJ36">
        <f>IF(OR($BH36&gt;0,$BI36=1),0,IFERROR(INDEX($BC$5:$BC$41,MATCH(36,$BB$5:$BB$41,0)),0))</f>
        <v/>
      </c>
      <c r="BK36">
        <f>IF($BJ36&gt;0,IF(INDEX($AZ$5:$AZ$41,MATCH(36,$BB$5:$BB$41,0))=10,1,0),IF($BH36=10,1,0))</f>
        <v/>
      </c>
    </row>
    <row r="37" ht="15" customHeight="1">
      <c r="A37" s="649">
        <f>IF($BJ37&gt;0,INDEX($BA$5:$BA$41,MATCH(37,$BB$5:$BB$41,0)),IF(OR($BI37=1,$BH37&gt;0),"∑",""))</f>
        <v/>
      </c>
      <c r="B37" s="650">
        <f>IF($BJ37&gt;0,IF(INDEX('Final Calculation Sheet'!$F$4:$F$40,$BJ37-3)="","",INDEX('Final Calculation Sheet'!$F$4:$F$40,$BJ37-3)),"")</f>
        <v/>
      </c>
      <c r="C37" s="650">
        <f>IF($BJ37&gt;0,IF(INDEX('Final Calculation Sheet'!$G$4:$G$40,$BJ37-3)="","",INDEX('Final Calculation Sheet'!$G$4:$G$40,$BJ37-3)),IF(OR($BI37=1,$BH37&gt;0),IF($BI37=1,37,INDEX($BD$4:$BD$13,$BH37))&amp;" lot(s)",""))</f>
        <v/>
      </c>
      <c r="D37" s="651">
        <f>IF($BJ37&gt;0,IF(INDEX('Final Calculation Sheet'!$B$4:$B$40,$BJ37-3)="","",INDEX('Final Calculation Sheet'!$B$4:$B$40,$BJ37-3)),IF(OR($BI37=1,$BH37&gt;0),IF($BI37=1,"GRAND TOTAL  —  matching + remaining",IF($BH37=10,"REMAINING  —  did not match the search",IF($BH37=9,"ALL LOTS  —  nothing typed in the box","GROUP "&amp;$BH37&amp;" TOTAL  —  lots matching  "&amp;INDEX($AR$6:$AY$6,$BH37)))),""))</f>
        <v/>
      </c>
      <c r="E37" s="651">
        <f>IF($BJ37&gt;0,IF(INDEX('Final Calculation Sheet'!$D$4:$D$40,$BJ37-3)="","",INDEX('Final Calculation Sheet'!$D$4:$D$40,$BJ37-3)),IF(OR($BI37=1,$BH37&gt;0),"–",""))</f>
        <v/>
      </c>
      <c r="F37" s="651">
        <f>IF($BJ37&gt;0,IF(INDEX('Final Calculation Sheet'!$A$4:$A$40,$BJ37-3)="","",INDEX('Final Calculation Sheet'!$A$4:$A$40,$BJ37-3)),IF($BI37=1,SUM('Final Calculation Sheet'!$A$4:$A$40),IF($BH37&gt;0,SUMIFS('Final Calculation Sheet'!$A$4:$A$40,$AZ$5:$AZ$41,$BH37),"")))</f>
        <v/>
      </c>
      <c r="G37" s="651">
        <f>IF($BJ37&gt;0,IF(INDEX('Final Calculation Sheet'!$E$4:$E$40,$BJ37-3)="","",INDEX('Final Calculation Sheet'!$E$4:$E$40,$BJ37-3)),IF(OR($BI37=1,$BH37&gt;0),"–",""))</f>
        <v/>
      </c>
      <c r="H37" s="652">
        <f>IF($BJ37&gt;0,IF(INDEX('Final Calculation Sheet'!$C$4:$C$40,$BJ37-3)="","",INDEX('Final Calculation Sheet'!$C$4:$C$40,$BJ37-3)),IF(OR($BI37=1,$BH37&gt;0),"–",""))</f>
        <v/>
      </c>
      <c r="I37" s="652">
        <f>IF($BJ37&gt;0,IF(INDEX('Final Calculation Sheet'!$H$4:$H$40,$BJ37-3)="","",INDEX('Final Calculation Sheet'!$H$4:$H$40,$BJ37-3)),IF($BI37=1,SUM('Final Calculation Sheet'!$H$4:$H$40),IF($BH37&gt;0,SUMIFS('Final Calculation Sheet'!$H$4:$H$40,$AZ$5:$AZ$41,$BH37),"")))</f>
        <v/>
      </c>
      <c r="J37" s="652">
        <f>IF($BJ37&gt;0,IF(INDEX('Final Calculation Sheet'!$I$4:$I$40,$BJ37-3)="","",INDEX('Final Calculation Sheet'!$I$4:$I$40,$BJ37-3)),IF($BI37=1,SUM('Final Calculation Sheet'!$I$4:$I$40),IF($BH37&gt;0,SUMIFS('Final Calculation Sheet'!$I$4:$I$40,$AZ$5:$AZ$41,$BH37),"")))</f>
        <v/>
      </c>
      <c r="K37" s="652">
        <f>IF($BJ37&gt;0,IF(INDEX('Final Calculation Sheet'!$J$4:$J$40,$BJ37-3)="","",INDEX('Final Calculation Sheet'!$J$4:$J$40,$BJ37-3)),IF($BI37=1,SUM('Final Calculation Sheet'!$J$4:$J$40),IF($BH37&gt;0,SUMIFS('Final Calculation Sheet'!$J$4:$J$40,$AZ$5:$AZ$41,$BH37),"")))</f>
        <v/>
      </c>
      <c r="L37" s="652">
        <f>IF($BJ37&gt;0,IF(INDEX('Final Calculation Sheet'!$K$4:$K$40,$BJ37-3)="","",INDEX('Final Calculation Sheet'!$K$4:$K$40,$BJ37-3)),IF($BI37=1,SUM('Final Calculation Sheet'!$K$4:$K$40),IF($BH37&gt;0,SUMIFS('Final Calculation Sheet'!$K$4:$K$40,$AZ$5:$AZ$41,$BH37),"")))</f>
        <v/>
      </c>
      <c r="M37" s="652">
        <f>IF($BJ37&gt;0,IF(INDEX('Final Calculation Sheet'!$L$4:$L$40,$BJ37-3)="","",INDEX('Final Calculation Sheet'!$L$4:$L$40,$BJ37-3)),IF($BI37=1,SUM('Final Calculation Sheet'!$L$4:$L$40),IF($BH37&gt;0,SUMIFS('Final Calculation Sheet'!$L$4:$L$40,$AZ$5:$AZ$41,$BH37),"")))</f>
        <v/>
      </c>
      <c r="N37" s="652">
        <f>IF($BJ37&gt;0,IF(INDEX('Final Calculation Sheet'!$M$4:$M$40,$BJ37-3)="","",INDEX('Final Calculation Sheet'!$M$4:$M$40,$BJ37-3)),IF($BI37=1,SUM('Final Calculation Sheet'!$M$4:$M$40),IF($BH37&gt;0,SUMIFS('Final Calculation Sheet'!$M$4:$M$40,$AZ$5:$AZ$41,$BH37),"")))</f>
        <v/>
      </c>
      <c r="O37" s="653">
        <f>IF($BJ37&gt;0,IF(INDEX('Final Calculation Sheet'!$N$4:$N$40,$BJ37-3)="","",INDEX('Final Calculation Sheet'!$N$4:$N$40,$BJ37-3)),IF($BI37=1,SUM('Final Calculation Sheet'!$N$4:$N$40),IF($BH37&gt;0,SUMIFS('Final Calculation Sheet'!$N$4:$N$40,$AZ$5:$AZ$41,$BH37),"")))</f>
        <v/>
      </c>
      <c r="P37" s="652">
        <f>IF($BJ37&gt;0,IF(INDEX('Final Calculation Sheet'!$O$4:$O$40,$BJ37-3)="","",INDEX('Final Calculation Sheet'!$O$4:$O$40,$BJ37-3)),IF($BI37=1,SUM('Final Calculation Sheet'!$O$4:$O$40),IF($BH37&gt;0,SUMIFS('Final Calculation Sheet'!$O$4:$O$40,$AZ$5:$AZ$41,$BH37),"")))</f>
        <v/>
      </c>
      <c r="Q37" s="652">
        <f>IF($BJ37&gt;0,IF(INDEX('Final Calculation Sheet'!$P$4:$P$40,$BJ37-3)="","",INDEX('Final Calculation Sheet'!$P$4:$P$40,$BJ37-3)),IF($BI37=1,SUM('Final Calculation Sheet'!$P$4:$P$40),IF($BH37&gt;0,SUMIFS('Final Calculation Sheet'!$P$4:$P$40,$AZ$5:$AZ$41,$BH37),"")))</f>
        <v/>
      </c>
      <c r="R37" s="654">
        <f>IF($BJ37&gt;0,IF(INDEX('Final Calculation Sheet'!$Q$4:$Q$40,$BJ37-3)="","",INDEX('Final Calculation Sheet'!$Q$4:$Q$40,$BJ37-3)),IF(OR($BI37=1,$BH37&gt;0),"–",""))</f>
        <v/>
      </c>
      <c r="S37" s="652">
        <f>IF($BJ37&gt;0,IF(INDEX('Final Calculation Sheet'!$R$4:$R$40,$BJ37-3)="","",INDEX('Final Calculation Sheet'!$R$4:$R$40,$BJ37-3)),IF($BI37=1,SUM('Final Calculation Sheet'!$R$4:$R$40),IF($BH37&gt;0,SUMIFS('Final Calculation Sheet'!$R$4:$R$40,$AZ$5:$AZ$41,$BH37),"")))</f>
        <v/>
      </c>
      <c r="T37" s="652">
        <f>IF($BJ37&gt;0,IF(INDEX('Final Calculation Sheet'!$S$4:$S$40,$BJ37-3)="","",INDEX('Final Calculation Sheet'!$S$4:$S$40,$BJ37-3)),IF($BI37=1,SUM('Final Calculation Sheet'!$S$4:$S$40),IF($BH37&gt;0,SUMIFS('Final Calculation Sheet'!$S$4:$S$40,$AZ$5:$AZ$41,$BH37),"")))</f>
        <v/>
      </c>
      <c r="U37" s="652">
        <f>IF($BJ37&gt;0,IF(INDEX('Final Calculation Sheet'!$T$4:$T$40,$BJ37-3)="","",INDEX('Final Calculation Sheet'!$T$4:$T$40,$BJ37-3)),IF($BI37=1,SUM('Final Calculation Sheet'!$T$4:$T$40),IF($BH37&gt;0,SUMIFS('Final Calculation Sheet'!$T$4:$T$40,$AZ$5:$AZ$41,$BH37),"")))</f>
        <v/>
      </c>
      <c r="V37" s="655">
        <f>IF($BJ37&gt;0,IF(INDEX('Final Calculation Sheet'!$U$4:$U$40,$BJ37-3)="","",INDEX('Final Calculation Sheet'!$U$4:$U$40,$BJ37-3)),IF($BI37=1,SUM('Final Calculation Sheet'!$U$4:$U$40),IF($BH37&gt;0,SUMIFS('Final Calculation Sheet'!$U$4:$U$40,$AZ$5:$AZ$41,$BH37),"")))</f>
        <v/>
      </c>
      <c r="W37" s="652">
        <f>IF($BJ37&gt;0,IF(INDEX('Final Calculation Sheet'!$V$4:$V$40,$BJ37-3)="","",INDEX('Final Calculation Sheet'!$V$4:$V$40,$BJ37-3)),IF(OR($BI37=1,$BH37&gt;0),"–",""))</f>
        <v/>
      </c>
      <c r="X37" s="652">
        <f>IF($BJ37&gt;0,IF(INDEX('Final Calculation Sheet'!$W$4:$W$40,$BJ37-3)="","",INDEX('Final Calculation Sheet'!$W$4:$W$40,$BJ37-3)),IF($BI37=1,SUM('Final Calculation Sheet'!$W$4:$W$40),IF($BH37&gt;0,SUMIFS('Final Calculation Sheet'!$W$4:$W$40,$AZ$5:$AZ$41,$BH37),"")))</f>
        <v/>
      </c>
      <c r="Y37" s="652">
        <f>IF($BJ37&gt;0,IF(INDEX('Final Calculation Sheet'!$X$4:$X$40,$BJ37-3)="","",INDEX('Final Calculation Sheet'!$X$4:$X$40,$BJ37-3)),IF($BI37=1,SUM('Final Calculation Sheet'!$X$4:$X$40),IF($BH37&gt;0,SUMIFS('Final Calculation Sheet'!$X$4:$X$40,$AZ$5:$AZ$41,$BH37),"")))</f>
        <v/>
      </c>
      <c r="Z37" s="652">
        <f>IF($BJ37&gt;0,IF(INDEX('Final Calculation Sheet'!$Y$4:$Y$40,$BJ37-3)="","",INDEX('Final Calculation Sheet'!$Y$4:$Y$40,$BJ37-3)),IF(OR($BI37=1,$BH37&gt;0),"–",""))</f>
        <v/>
      </c>
      <c r="AA37" s="652">
        <f>IF($BJ37&gt;0,IF(INDEX('Final Calculation Sheet'!$Z$4:$Z$40,$BJ37-3)="","",INDEX('Final Calculation Sheet'!$Z$4:$Z$40,$BJ37-3)),IF($BI37=1,SUM('Final Calculation Sheet'!$Z$4:$Z$40),IF($BH37&gt;0,SUMIFS('Final Calculation Sheet'!$Z$4:$Z$40,$AZ$5:$AZ$41,$BH37),"")))</f>
        <v/>
      </c>
      <c r="AB37" s="652">
        <f>IF($BJ37&gt;0,IF(INDEX('Final Calculation Sheet'!$AA$4:$AA$40,$BJ37-3)="","",INDEX('Final Calculation Sheet'!$AA$4:$AA$40,$BJ37-3)),IF($BI37=1,SUM('Final Calculation Sheet'!$AA$4:$AA$40),IF($BH37&gt;0,SUMIFS('Final Calculation Sheet'!$AA$4:$AA$40,$AZ$5:$AZ$41,$BH37),"")))</f>
        <v/>
      </c>
      <c r="AC37" s="652">
        <f>IF($BJ37&gt;0,IF(INDEX('Final Calculation Sheet'!$AB$4:$AB$40,$BJ37-3)="","",INDEX('Final Calculation Sheet'!$AB$4:$AB$40,$BJ37-3)),IF(OR($BI37=1,$BH37&gt;0),"–",""))</f>
        <v/>
      </c>
      <c r="AD37" s="652">
        <f>IF($BJ37&gt;0,IF(INDEX('Final Calculation Sheet'!$AC$4:$AC$40,$BJ37-3)="","",INDEX('Final Calculation Sheet'!$AC$4:$AC$40,$BJ37-3)),IF($BI37=1,SUM('Final Calculation Sheet'!$AC$4:$AC$40),IF($BH37&gt;0,SUMIFS('Final Calculation Sheet'!$AC$4:$AC$40,$AZ$5:$AZ$41,$BH37),"")))</f>
        <v/>
      </c>
      <c r="AE37" s="652">
        <f>IF($BJ37&gt;0,IF(INDEX('Final Calculation Sheet'!$AD$4:$AD$40,$BJ37-3)="","",INDEX('Final Calculation Sheet'!$AD$4:$AD$40,$BJ37-3)),IF($BI37=1,SUM('Final Calculation Sheet'!$AD$4:$AD$40),IF($BH37&gt;0,SUMIFS('Final Calculation Sheet'!$AD$4:$AD$40,$AZ$5:$AZ$41,$BH37),"")))</f>
        <v/>
      </c>
      <c r="AF37" s="652">
        <f>IF($BJ37&gt;0,IF(INDEX('Final Calculation Sheet'!$AE$4:$AE$40,$BJ37-3)="","",INDEX('Final Calculation Sheet'!$AE$4:$AE$40,$BJ37-3)),IF(OR($BI37=1,$BH37&gt;0),"–",""))</f>
        <v/>
      </c>
      <c r="AG37" s="656">
        <f>IF($BJ37&gt;0,IF(INDEX('Final Calculation Sheet'!$AF$4:$AF$40,$BJ37-3)="","",INDEX('Final Calculation Sheet'!$AF$4:$AF$40,$BJ37-3)),IF(OR($BI37=1,$BH37&gt;0),"–",""))</f>
        <v/>
      </c>
      <c r="AH37" s="652">
        <f>IF($BJ37&gt;0,IF(INDEX('Final Calculation Sheet'!$AG$4:$AG$40,$BJ37-3)="","",INDEX('Final Calculation Sheet'!$AG$4:$AG$40,$BJ37-3)),IF(OR($BI37=1,$BH37&gt;0),"–",""))</f>
        <v/>
      </c>
      <c r="AI37" s="657">
        <f>IF($BJ37&gt;0,IF(INDEX('Final Calculation Sheet'!$AD$4:$AD$40,$BJ37-3)="","",IF(INDEX('Final Calculation Sheet'!$AD$4:$AD$40,$BJ37-3)&lt;=0,"SETTLED","OUTSTANDING")),IF(OR($BI37=1,$BH37&gt;0),IF(IF($BI37=1,SUM('Final Calculation Sheet'!$AD$4:$AD$40),SUMIFS('Final Calculation Sheet'!$AD$4:$AD$40,$AZ$5:$AZ$41,$BH37))&lt;=0,"ALL SETTLED","OUTSTANDING"),""))</f>
        <v/>
      </c>
      <c r="AK37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/>
      </c>
      <c r="AM37">
        <f>IF($B$3="",1,IF(AND(IF(COUNTIF($AR$9:$AY$9,1)=0,TRUE,SUMPRODUCT(($AR$9:$AY$9=1)*($AR$6:$AY$6&lt;&gt;"")*ISNUMBER(SEARCH($AR$6:$AY$6,$AK37)))&gt;0),IF(COUNTIF($AR$9:$AY$9,2)=0,TRUE,SUMPRODUCT(($AR$9:$AY$9=2)*($AR$6:$AY$6&lt;&gt;"")*ISNUMBER(SEARCH($AR$6:$AY$6,$AK37)))&gt;0),IF(COUNTIF($AR$9:$AY$9,3)=0,TRUE,SUMPRODUCT(($AR$9:$AY$9=3)*($AR$6:$AY$6&lt;&gt;"")*ISNUMBER(SEARCH($AR$6:$AY$6,$AK37)))&gt;0),IF(COUNTIF($AR$9:$AY$9,4)=0,TRUE,SUMPRODUCT(($AR$9:$AY$9=4)*($AR$6:$AY$6&lt;&gt;"")*ISNUMBER(SEARCH($AR$6:$AY$6,$AK37)))&gt;0),IF(COUNTIF($AR$9:$AY$9,5)=0,TRUE,SUMPRODUCT(($AR$9:$AY$9=5)*($AR$6:$AY$6&lt;&gt;"")*ISNUMBER(SEARCH($AR$6:$AY$6,$AK37)))&gt;0),IF(COUNTIF($AR$9:$AY$9,6)=0,TRUE,SUMPRODUCT(($AR$9:$AY$9=6)*($AR$6:$AY$6&lt;&gt;"")*ISNUMBER(SEARCH($AR$6:$AY$6,$AK37)))&gt;0),IF(COUNTIF($AR$9:$AY$9,7)=0,TRUE,SUMPRODUCT(($AR$9:$AY$9=7)*($AR$6:$AY$6&lt;&gt;"")*ISNUMBER(SEARCH($AR$6:$AY$6,$AK37)))&gt;0),IF(COUNTIF($AR$9:$AY$9,8)=0,TRUE,SUMPRODUCT(($AR$9:$AY$9=8)*($AR$6:$AY$6&lt;&gt;"")*ISNUMBER(SEARCH($AR$6:$AY$6,$AK37)))&gt;0)),1,0))</f>
        <v/>
      </c>
      <c r="AZ37">
        <f>IF($B$3="",9,IF($AM37=0,10,IF(AND($AR$6&lt;&gt;"",ISNUMBER(SEARCH($AR$6,$AK37))),1,IF(AND($AS$6&lt;&gt;"",ISNUMBER(SEARCH($AS$6,$AK37))),2,IF(AND($AT$6&lt;&gt;"",ISNUMBER(SEARCH($AT$6,$AK37))),3,IF(AND($AU$6&lt;&gt;"",ISNUMBER(SEARCH($AU$6,$AK37))),4,IF(AND($AV$6&lt;&gt;"",ISNUMBER(SEARCH($AV$6,$AK37))),5,IF(AND($AW$6&lt;&gt;"",ISNUMBER(SEARCH($AW$6,$AK37))),6,IF(AND($AX$6&lt;&gt;"",ISNUMBER(SEARCH($AX$6,$AK37))),7,IF(AND($AY$6&lt;&gt;"",ISNUMBER(SEARCH($AY$6,$AK37))),8,0))))))))))</f>
        <v/>
      </c>
      <c r="BA37">
        <f>SUMPRODUCT(($AZ$5:$AZ$41=$AZ37)*($BC$5:$BC$41&lt;$BC37))+1</f>
        <v/>
      </c>
      <c r="BB37">
        <f>IF(INDEX($BF$4:$BF$13,$AZ37)=0,0,INDEX($BE$4:$BE$13,$AZ37)+$BA37-1)</f>
        <v/>
      </c>
      <c r="BC37" t="n">
        <v>36</v>
      </c>
      <c r="BH37">
        <f>IFERROR(MATCH(37,$BF$4:$BF$13,0),0)</f>
        <v/>
      </c>
      <c r="BI37">
        <f>IF(37=$BG$4,1,0)</f>
        <v/>
      </c>
      <c r="BJ37">
        <f>IF(OR($BH37&gt;0,$BI37=1),0,IFERROR(INDEX($BC$5:$BC$41,MATCH(37,$BB$5:$BB$41,0)),0))</f>
        <v/>
      </c>
      <c r="BK37">
        <f>IF($BJ37&gt;0,IF(INDEX($AZ$5:$AZ$41,MATCH(37,$BB$5:$BB$41,0))=10,1,0),IF($BH37=10,1,0))</f>
        <v/>
      </c>
    </row>
    <row r="38" ht="15" customHeight="1">
      <c r="A38" s="649">
        <f>IF($BJ38&gt;0,INDEX($BA$5:$BA$41,MATCH(38,$BB$5:$BB$41,0)),IF(OR($BI38=1,$BH38&gt;0),"∑",""))</f>
        <v/>
      </c>
      <c r="B38" s="650">
        <f>IF($BJ38&gt;0,IF(INDEX('Final Calculation Sheet'!$F$4:$F$40,$BJ38-3)="","",INDEX('Final Calculation Sheet'!$F$4:$F$40,$BJ38-3)),"")</f>
        <v/>
      </c>
      <c r="C38" s="650">
        <f>IF($BJ38&gt;0,IF(INDEX('Final Calculation Sheet'!$G$4:$G$40,$BJ38-3)="","",INDEX('Final Calculation Sheet'!$G$4:$G$40,$BJ38-3)),IF(OR($BI38=1,$BH38&gt;0),IF($BI38=1,37,INDEX($BD$4:$BD$13,$BH38))&amp;" lot(s)",""))</f>
        <v/>
      </c>
      <c r="D38" s="651">
        <f>IF($BJ38&gt;0,IF(INDEX('Final Calculation Sheet'!$B$4:$B$40,$BJ38-3)="","",INDEX('Final Calculation Sheet'!$B$4:$B$40,$BJ38-3)),IF(OR($BI38=1,$BH38&gt;0),IF($BI38=1,"GRAND TOTAL  —  matching + remaining",IF($BH38=10,"REMAINING  —  did not match the search",IF($BH38=9,"ALL LOTS  —  nothing typed in the box","GROUP "&amp;$BH38&amp;" TOTAL  —  lots matching  "&amp;INDEX($AR$6:$AY$6,$BH38)))),""))</f>
        <v/>
      </c>
      <c r="E38" s="651">
        <f>IF($BJ38&gt;0,IF(INDEX('Final Calculation Sheet'!$D$4:$D$40,$BJ38-3)="","",INDEX('Final Calculation Sheet'!$D$4:$D$40,$BJ38-3)),IF(OR($BI38=1,$BH38&gt;0),"–",""))</f>
        <v/>
      </c>
      <c r="F38" s="651">
        <f>IF($BJ38&gt;0,IF(INDEX('Final Calculation Sheet'!$A$4:$A$40,$BJ38-3)="","",INDEX('Final Calculation Sheet'!$A$4:$A$40,$BJ38-3)),IF($BI38=1,SUM('Final Calculation Sheet'!$A$4:$A$40),IF($BH38&gt;0,SUMIFS('Final Calculation Sheet'!$A$4:$A$40,$AZ$5:$AZ$41,$BH38),"")))</f>
        <v/>
      </c>
      <c r="G38" s="651">
        <f>IF($BJ38&gt;0,IF(INDEX('Final Calculation Sheet'!$E$4:$E$40,$BJ38-3)="","",INDEX('Final Calculation Sheet'!$E$4:$E$40,$BJ38-3)),IF(OR($BI38=1,$BH38&gt;0),"–",""))</f>
        <v/>
      </c>
      <c r="H38" s="652">
        <f>IF($BJ38&gt;0,IF(INDEX('Final Calculation Sheet'!$C$4:$C$40,$BJ38-3)="","",INDEX('Final Calculation Sheet'!$C$4:$C$40,$BJ38-3)),IF(OR($BI38=1,$BH38&gt;0),"–",""))</f>
        <v/>
      </c>
      <c r="I38" s="652">
        <f>IF($BJ38&gt;0,IF(INDEX('Final Calculation Sheet'!$H$4:$H$40,$BJ38-3)="","",INDEX('Final Calculation Sheet'!$H$4:$H$40,$BJ38-3)),IF($BI38=1,SUM('Final Calculation Sheet'!$H$4:$H$40),IF($BH38&gt;0,SUMIFS('Final Calculation Sheet'!$H$4:$H$40,$AZ$5:$AZ$41,$BH38),"")))</f>
        <v/>
      </c>
      <c r="J38" s="652">
        <f>IF($BJ38&gt;0,IF(INDEX('Final Calculation Sheet'!$I$4:$I$40,$BJ38-3)="","",INDEX('Final Calculation Sheet'!$I$4:$I$40,$BJ38-3)),IF($BI38=1,SUM('Final Calculation Sheet'!$I$4:$I$40),IF($BH38&gt;0,SUMIFS('Final Calculation Sheet'!$I$4:$I$40,$AZ$5:$AZ$41,$BH38),"")))</f>
        <v/>
      </c>
      <c r="K38" s="652">
        <f>IF($BJ38&gt;0,IF(INDEX('Final Calculation Sheet'!$J$4:$J$40,$BJ38-3)="","",INDEX('Final Calculation Sheet'!$J$4:$J$40,$BJ38-3)),IF($BI38=1,SUM('Final Calculation Sheet'!$J$4:$J$40),IF($BH38&gt;0,SUMIFS('Final Calculation Sheet'!$J$4:$J$40,$AZ$5:$AZ$41,$BH38),"")))</f>
        <v/>
      </c>
      <c r="L38" s="652">
        <f>IF($BJ38&gt;0,IF(INDEX('Final Calculation Sheet'!$K$4:$K$40,$BJ38-3)="","",INDEX('Final Calculation Sheet'!$K$4:$K$40,$BJ38-3)),IF($BI38=1,SUM('Final Calculation Sheet'!$K$4:$K$40),IF($BH38&gt;0,SUMIFS('Final Calculation Sheet'!$K$4:$K$40,$AZ$5:$AZ$41,$BH38),"")))</f>
        <v/>
      </c>
      <c r="M38" s="652">
        <f>IF($BJ38&gt;0,IF(INDEX('Final Calculation Sheet'!$L$4:$L$40,$BJ38-3)="","",INDEX('Final Calculation Sheet'!$L$4:$L$40,$BJ38-3)),IF($BI38=1,SUM('Final Calculation Sheet'!$L$4:$L$40),IF($BH38&gt;0,SUMIFS('Final Calculation Sheet'!$L$4:$L$40,$AZ$5:$AZ$41,$BH38),"")))</f>
        <v/>
      </c>
      <c r="N38" s="652">
        <f>IF($BJ38&gt;0,IF(INDEX('Final Calculation Sheet'!$M$4:$M$40,$BJ38-3)="","",INDEX('Final Calculation Sheet'!$M$4:$M$40,$BJ38-3)),IF($BI38=1,SUM('Final Calculation Sheet'!$M$4:$M$40),IF($BH38&gt;0,SUMIFS('Final Calculation Sheet'!$M$4:$M$40,$AZ$5:$AZ$41,$BH38),"")))</f>
        <v/>
      </c>
      <c r="O38" s="653">
        <f>IF($BJ38&gt;0,IF(INDEX('Final Calculation Sheet'!$N$4:$N$40,$BJ38-3)="","",INDEX('Final Calculation Sheet'!$N$4:$N$40,$BJ38-3)),IF($BI38=1,SUM('Final Calculation Sheet'!$N$4:$N$40),IF($BH38&gt;0,SUMIFS('Final Calculation Sheet'!$N$4:$N$40,$AZ$5:$AZ$41,$BH38),"")))</f>
        <v/>
      </c>
      <c r="P38" s="652">
        <f>IF($BJ38&gt;0,IF(INDEX('Final Calculation Sheet'!$O$4:$O$40,$BJ38-3)="","",INDEX('Final Calculation Sheet'!$O$4:$O$40,$BJ38-3)),IF($BI38=1,SUM('Final Calculation Sheet'!$O$4:$O$40),IF($BH38&gt;0,SUMIFS('Final Calculation Sheet'!$O$4:$O$40,$AZ$5:$AZ$41,$BH38),"")))</f>
        <v/>
      </c>
      <c r="Q38" s="652">
        <f>IF($BJ38&gt;0,IF(INDEX('Final Calculation Sheet'!$P$4:$P$40,$BJ38-3)="","",INDEX('Final Calculation Sheet'!$P$4:$P$40,$BJ38-3)),IF($BI38=1,SUM('Final Calculation Sheet'!$P$4:$P$40),IF($BH38&gt;0,SUMIFS('Final Calculation Sheet'!$P$4:$P$40,$AZ$5:$AZ$41,$BH38),"")))</f>
        <v/>
      </c>
      <c r="R38" s="654">
        <f>IF($BJ38&gt;0,IF(INDEX('Final Calculation Sheet'!$Q$4:$Q$40,$BJ38-3)="","",INDEX('Final Calculation Sheet'!$Q$4:$Q$40,$BJ38-3)),IF(OR($BI38=1,$BH38&gt;0),"–",""))</f>
        <v/>
      </c>
      <c r="S38" s="652">
        <f>IF($BJ38&gt;0,IF(INDEX('Final Calculation Sheet'!$R$4:$R$40,$BJ38-3)="","",INDEX('Final Calculation Sheet'!$R$4:$R$40,$BJ38-3)),IF($BI38=1,SUM('Final Calculation Sheet'!$R$4:$R$40),IF($BH38&gt;0,SUMIFS('Final Calculation Sheet'!$R$4:$R$40,$AZ$5:$AZ$41,$BH38),"")))</f>
        <v/>
      </c>
      <c r="T38" s="652">
        <f>IF($BJ38&gt;0,IF(INDEX('Final Calculation Sheet'!$S$4:$S$40,$BJ38-3)="","",INDEX('Final Calculation Sheet'!$S$4:$S$40,$BJ38-3)),IF($BI38=1,SUM('Final Calculation Sheet'!$S$4:$S$40),IF($BH38&gt;0,SUMIFS('Final Calculation Sheet'!$S$4:$S$40,$AZ$5:$AZ$41,$BH38),"")))</f>
        <v/>
      </c>
      <c r="U38" s="652">
        <f>IF($BJ38&gt;0,IF(INDEX('Final Calculation Sheet'!$T$4:$T$40,$BJ38-3)="","",INDEX('Final Calculation Sheet'!$T$4:$T$40,$BJ38-3)),IF($BI38=1,SUM('Final Calculation Sheet'!$T$4:$T$40),IF($BH38&gt;0,SUMIFS('Final Calculation Sheet'!$T$4:$T$40,$AZ$5:$AZ$41,$BH38),"")))</f>
        <v/>
      </c>
      <c r="V38" s="655">
        <f>IF($BJ38&gt;0,IF(INDEX('Final Calculation Sheet'!$U$4:$U$40,$BJ38-3)="","",INDEX('Final Calculation Sheet'!$U$4:$U$40,$BJ38-3)),IF($BI38=1,SUM('Final Calculation Sheet'!$U$4:$U$40),IF($BH38&gt;0,SUMIFS('Final Calculation Sheet'!$U$4:$U$40,$AZ$5:$AZ$41,$BH38),"")))</f>
        <v/>
      </c>
      <c r="W38" s="652">
        <f>IF($BJ38&gt;0,IF(INDEX('Final Calculation Sheet'!$V$4:$V$40,$BJ38-3)="","",INDEX('Final Calculation Sheet'!$V$4:$V$40,$BJ38-3)),IF(OR($BI38=1,$BH38&gt;0),"–",""))</f>
        <v/>
      </c>
      <c r="X38" s="652">
        <f>IF($BJ38&gt;0,IF(INDEX('Final Calculation Sheet'!$W$4:$W$40,$BJ38-3)="","",INDEX('Final Calculation Sheet'!$W$4:$W$40,$BJ38-3)),IF($BI38=1,SUM('Final Calculation Sheet'!$W$4:$W$40),IF($BH38&gt;0,SUMIFS('Final Calculation Sheet'!$W$4:$W$40,$AZ$5:$AZ$41,$BH38),"")))</f>
        <v/>
      </c>
      <c r="Y38" s="652">
        <f>IF($BJ38&gt;0,IF(INDEX('Final Calculation Sheet'!$X$4:$X$40,$BJ38-3)="","",INDEX('Final Calculation Sheet'!$X$4:$X$40,$BJ38-3)),IF($BI38=1,SUM('Final Calculation Sheet'!$X$4:$X$40),IF($BH38&gt;0,SUMIFS('Final Calculation Sheet'!$X$4:$X$40,$AZ$5:$AZ$41,$BH38),"")))</f>
        <v/>
      </c>
      <c r="Z38" s="652">
        <f>IF($BJ38&gt;0,IF(INDEX('Final Calculation Sheet'!$Y$4:$Y$40,$BJ38-3)="","",INDEX('Final Calculation Sheet'!$Y$4:$Y$40,$BJ38-3)),IF(OR($BI38=1,$BH38&gt;0),"–",""))</f>
        <v/>
      </c>
      <c r="AA38" s="652">
        <f>IF($BJ38&gt;0,IF(INDEX('Final Calculation Sheet'!$Z$4:$Z$40,$BJ38-3)="","",INDEX('Final Calculation Sheet'!$Z$4:$Z$40,$BJ38-3)),IF($BI38=1,SUM('Final Calculation Sheet'!$Z$4:$Z$40),IF($BH38&gt;0,SUMIFS('Final Calculation Sheet'!$Z$4:$Z$40,$AZ$5:$AZ$41,$BH38),"")))</f>
        <v/>
      </c>
      <c r="AB38" s="652">
        <f>IF($BJ38&gt;0,IF(INDEX('Final Calculation Sheet'!$AA$4:$AA$40,$BJ38-3)="","",INDEX('Final Calculation Sheet'!$AA$4:$AA$40,$BJ38-3)),IF($BI38=1,SUM('Final Calculation Sheet'!$AA$4:$AA$40),IF($BH38&gt;0,SUMIFS('Final Calculation Sheet'!$AA$4:$AA$40,$AZ$5:$AZ$41,$BH38),"")))</f>
        <v/>
      </c>
      <c r="AC38" s="652">
        <f>IF($BJ38&gt;0,IF(INDEX('Final Calculation Sheet'!$AB$4:$AB$40,$BJ38-3)="","",INDEX('Final Calculation Sheet'!$AB$4:$AB$40,$BJ38-3)),IF(OR($BI38=1,$BH38&gt;0),"–",""))</f>
        <v/>
      </c>
      <c r="AD38" s="652">
        <f>IF($BJ38&gt;0,IF(INDEX('Final Calculation Sheet'!$AC$4:$AC$40,$BJ38-3)="","",INDEX('Final Calculation Sheet'!$AC$4:$AC$40,$BJ38-3)),IF($BI38=1,SUM('Final Calculation Sheet'!$AC$4:$AC$40),IF($BH38&gt;0,SUMIFS('Final Calculation Sheet'!$AC$4:$AC$40,$AZ$5:$AZ$41,$BH38),"")))</f>
        <v/>
      </c>
      <c r="AE38" s="652">
        <f>IF($BJ38&gt;0,IF(INDEX('Final Calculation Sheet'!$AD$4:$AD$40,$BJ38-3)="","",INDEX('Final Calculation Sheet'!$AD$4:$AD$40,$BJ38-3)),IF($BI38=1,SUM('Final Calculation Sheet'!$AD$4:$AD$40),IF($BH38&gt;0,SUMIFS('Final Calculation Sheet'!$AD$4:$AD$40,$AZ$5:$AZ$41,$BH38),"")))</f>
        <v/>
      </c>
      <c r="AF38" s="652">
        <f>IF($BJ38&gt;0,IF(INDEX('Final Calculation Sheet'!$AE$4:$AE$40,$BJ38-3)="","",INDEX('Final Calculation Sheet'!$AE$4:$AE$40,$BJ38-3)),IF(OR($BI38=1,$BH38&gt;0),"–",""))</f>
        <v/>
      </c>
      <c r="AG38" s="656">
        <f>IF($BJ38&gt;0,IF(INDEX('Final Calculation Sheet'!$AF$4:$AF$40,$BJ38-3)="","",INDEX('Final Calculation Sheet'!$AF$4:$AF$40,$BJ38-3)),IF(OR($BI38=1,$BH38&gt;0),"–",""))</f>
        <v/>
      </c>
      <c r="AH38" s="652">
        <f>IF($BJ38&gt;0,IF(INDEX('Final Calculation Sheet'!$AG$4:$AG$40,$BJ38-3)="","",INDEX('Final Calculation Sheet'!$AG$4:$AG$40,$BJ38-3)),IF(OR($BI38=1,$BH38&gt;0),"–",""))</f>
        <v/>
      </c>
      <c r="AI38" s="657">
        <f>IF($BJ38&gt;0,IF(INDEX('Final Calculation Sheet'!$AD$4:$AD$40,$BJ38-3)="","",IF(INDEX('Final Calculation Sheet'!$AD$4:$AD$40,$BJ38-3)&lt;=0,"SETTLED","OUTSTANDING")),IF(OR($BI38=1,$BH38&gt;0),IF(IF($BI38=1,SUM('Final Calculation Sheet'!$AD$4:$AD$40),SUMIFS('Final Calculation Sheet'!$AD$4:$AD$40,$AZ$5:$AZ$41,$BH38))&lt;=0,"ALL SETTLED","OUTSTANDING"),""))</f>
        <v/>
      </c>
      <c r="AK38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/>
      </c>
      <c r="AM38">
        <f>IF($B$3="",1,IF(AND(IF(COUNTIF($AR$9:$AY$9,1)=0,TRUE,SUMPRODUCT(($AR$9:$AY$9=1)*($AR$6:$AY$6&lt;&gt;"")*ISNUMBER(SEARCH($AR$6:$AY$6,$AK38)))&gt;0),IF(COUNTIF($AR$9:$AY$9,2)=0,TRUE,SUMPRODUCT(($AR$9:$AY$9=2)*($AR$6:$AY$6&lt;&gt;"")*ISNUMBER(SEARCH($AR$6:$AY$6,$AK38)))&gt;0),IF(COUNTIF($AR$9:$AY$9,3)=0,TRUE,SUMPRODUCT(($AR$9:$AY$9=3)*($AR$6:$AY$6&lt;&gt;"")*ISNUMBER(SEARCH($AR$6:$AY$6,$AK38)))&gt;0),IF(COUNTIF($AR$9:$AY$9,4)=0,TRUE,SUMPRODUCT(($AR$9:$AY$9=4)*($AR$6:$AY$6&lt;&gt;"")*ISNUMBER(SEARCH($AR$6:$AY$6,$AK38)))&gt;0),IF(COUNTIF($AR$9:$AY$9,5)=0,TRUE,SUMPRODUCT(($AR$9:$AY$9=5)*($AR$6:$AY$6&lt;&gt;"")*ISNUMBER(SEARCH($AR$6:$AY$6,$AK38)))&gt;0),IF(COUNTIF($AR$9:$AY$9,6)=0,TRUE,SUMPRODUCT(($AR$9:$AY$9=6)*($AR$6:$AY$6&lt;&gt;"")*ISNUMBER(SEARCH($AR$6:$AY$6,$AK38)))&gt;0),IF(COUNTIF($AR$9:$AY$9,7)=0,TRUE,SUMPRODUCT(($AR$9:$AY$9=7)*($AR$6:$AY$6&lt;&gt;"")*ISNUMBER(SEARCH($AR$6:$AY$6,$AK38)))&gt;0),IF(COUNTIF($AR$9:$AY$9,8)=0,TRUE,SUMPRODUCT(($AR$9:$AY$9=8)*($AR$6:$AY$6&lt;&gt;"")*ISNUMBER(SEARCH($AR$6:$AY$6,$AK38)))&gt;0)),1,0))</f>
        <v/>
      </c>
      <c r="AZ38">
        <f>IF($B$3="",9,IF($AM38=0,10,IF(AND($AR$6&lt;&gt;"",ISNUMBER(SEARCH($AR$6,$AK38))),1,IF(AND($AS$6&lt;&gt;"",ISNUMBER(SEARCH($AS$6,$AK38))),2,IF(AND($AT$6&lt;&gt;"",ISNUMBER(SEARCH($AT$6,$AK38))),3,IF(AND($AU$6&lt;&gt;"",ISNUMBER(SEARCH($AU$6,$AK38))),4,IF(AND($AV$6&lt;&gt;"",ISNUMBER(SEARCH($AV$6,$AK38))),5,IF(AND($AW$6&lt;&gt;"",ISNUMBER(SEARCH($AW$6,$AK38))),6,IF(AND($AX$6&lt;&gt;"",ISNUMBER(SEARCH($AX$6,$AK38))),7,IF(AND($AY$6&lt;&gt;"",ISNUMBER(SEARCH($AY$6,$AK38))),8,0))))))))))</f>
        <v/>
      </c>
      <c r="BA38">
        <f>SUMPRODUCT(($AZ$5:$AZ$41=$AZ38)*($BC$5:$BC$41&lt;$BC38))+1</f>
        <v/>
      </c>
      <c r="BB38">
        <f>IF(INDEX($BF$4:$BF$13,$AZ38)=0,0,INDEX($BE$4:$BE$13,$AZ38)+$BA38-1)</f>
        <v/>
      </c>
      <c r="BC38" t="n">
        <v>37</v>
      </c>
      <c r="BH38">
        <f>IFERROR(MATCH(38,$BF$4:$BF$13,0),0)</f>
        <v/>
      </c>
      <c r="BI38">
        <f>IF(38=$BG$4,1,0)</f>
        <v/>
      </c>
      <c r="BJ38">
        <f>IF(OR($BH38&gt;0,$BI38=1),0,IFERROR(INDEX($BC$5:$BC$41,MATCH(38,$BB$5:$BB$41,0)),0))</f>
        <v/>
      </c>
      <c r="BK38">
        <f>IF($BJ38&gt;0,IF(INDEX($AZ$5:$AZ$41,MATCH(38,$BB$5:$BB$41,0))=10,1,0),IF($BH38=10,1,0))</f>
        <v/>
      </c>
    </row>
    <row r="39" ht="15" customHeight="1">
      <c r="A39" s="649">
        <f>IF($BJ39&gt;0,INDEX($BA$5:$BA$41,MATCH(39,$BB$5:$BB$41,0)),IF(OR($BI39=1,$BH39&gt;0),"∑",""))</f>
        <v/>
      </c>
      <c r="B39" s="650">
        <f>IF($BJ39&gt;0,IF(INDEX('Final Calculation Sheet'!$F$4:$F$40,$BJ39-3)="","",INDEX('Final Calculation Sheet'!$F$4:$F$40,$BJ39-3)),"")</f>
        <v/>
      </c>
      <c r="C39" s="650">
        <f>IF($BJ39&gt;0,IF(INDEX('Final Calculation Sheet'!$G$4:$G$40,$BJ39-3)="","",INDEX('Final Calculation Sheet'!$G$4:$G$40,$BJ39-3)),IF(OR($BI39=1,$BH39&gt;0),IF($BI39=1,37,INDEX($BD$4:$BD$13,$BH39))&amp;" lot(s)",""))</f>
        <v/>
      </c>
      <c r="D39" s="651">
        <f>IF($BJ39&gt;0,IF(INDEX('Final Calculation Sheet'!$B$4:$B$40,$BJ39-3)="","",INDEX('Final Calculation Sheet'!$B$4:$B$40,$BJ39-3)),IF(OR($BI39=1,$BH39&gt;0),IF($BI39=1,"GRAND TOTAL  —  matching + remaining",IF($BH39=10,"REMAINING  —  did not match the search",IF($BH39=9,"ALL LOTS  —  nothing typed in the box","GROUP "&amp;$BH39&amp;" TOTAL  —  lots matching  "&amp;INDEX($AR$6:$AY$6,$BH39)))),""))</f>
        <v/>
      </c>
      <c r="E39" s="651">
        <f>IF($BJ39&gt;0,IF(INDEX('Final Calculation Sheet'!$D$4:$D$40,$BJ39-3)="","",INDEX('Final Calculation Sheet'!$D$4:$D$40,$BJ39-3)),IF(OR($BI39=1,$BH39&gt;0),"–",""))</f>
        <v/>
      </c>
      <c r="F39" s="651">
        <f>IF($BJ39&gt;0,IF(INDEX('Final Calculation Sheet'!$A$4:$A$40,$BJ39-3)="","",INDEX('Final Calculation Sheet'!$A$4:$A$40,$BJ39-3)),IF($BI39=1,SUM('Final Calculation Sheet'!$A$4:$A$40),IF($BH39&gt;0,SUMIFS('Final Calculation Sheet'!$A$4:$A$40,$AZ$5:$AZ$41,$BH39),"")))</f>
        <v/>
      </c>
      <c r="G39" s="651">
        <f>IF($BJ39&gt;0,IF(INDEX('Final Calculation Sheet'!$E$4:$E$40,$BJ39-3)="","",INDEX('Final Calculation Sheet'!$E$4:$E$40,$BJ39-3)),IF(OR($BI39=1,$BH39&gt;0),"–",""))</f>
        <v/>
      </c>
      <c r="H39" s="652">
        <f>IF($BJ39&gt;0,IF(INDEX('Final Calculation Sheet'!$C$4:$C$40,$BJ39-3)="","",INDEX('Final Calculation Sheet'!$C$4:$C$40,$BJ39-3)),IF(OR($BI39=1,$BH39&gt;0),"–",""))</f>
        <v/>
      </c>
      <c r="I39" s="652">
        <f>IF($BJ39&gt;0,IF(INDEX('Final Calculation Sheet'!$H$4:$H$40,$BJ39-3)="","",INDEX('Final Calculation Sheet'!$H$4:$H$40,$BJ39-3)),IF($BI39=1,SUM('Final Calculation Sheet'!$H$4:$H$40),IF($BH39&gt;0,SUMIFS('Final Calculation Sheet'!$H$4:$H$40,$AZ$5:$AZ$41,$BH39),"")))</f>
        <v/>
      </c>
      <c r="J39" s="652">
        <f>IF($BJ39&gt;0,IF(INDEX('Final Calculation Sheet'!$I$4:$I$40,$BJ39-3)="","",INDEX('Final Calculation Sheet'!$I$4:$I$40,$BJ39-3)),IF($BI39=1,SUM('Final Calculation Sheet'!$I$4:$I$40),IF($BH39&gt;0,SUMIFS('Final Calculation Sheet'!$I$4:$I$40,$AZ$5:$AZ$41,$BH39),"")))</f>
        <v/>
      </c>
      <c r="K39" s="652">
        <f>IF($BJ39&gt;0,IF(INDEX('Final Calculation Sheet'!$J$4:$J$40,$BJ39-3)="","",INDEX('Final Calculation Sheet'!$J$4:$J$40,$BJ39-3)),IF($BI39=1,SUM('Final Calculation Sheet'!$J$4:$J$40),IF($BH39&gt;0,SUMIFS('Final Calculation Sheet'!$J$4:$J$40,$AZ$5:$AZ$41,$BH39),"")))</f>
        <v/>
      </c>
      <c r="L39" s="652">
        <f>IF($BJ39&gt;0,IF(INDEX('Final Calculation Sheet'!$K$4:$K$40,$BJ39-3)="","",INDEX('Final Calculation Sheet'!$K$4:$K$40,$BJ39-3)),IF($BI39=1,SUM('Final Calculation Sheet'!$K$4:$K$40),IF($BH39&gt;0,SUMIFS('Final Calculation Sheet'!$K$4:$K$40,$AZ$5:$AZ$41,$BH39),"")))</f>
        <v/>
      </c>
      <c r="M39" s="652">
        <f>IF($BJ39&gt;0,IF(INDEX('Final Calculation Sheet'!$L$4:$L$40,$BJ39-3)="","",INDEX('Final Calculation Sheet'!$L$4:$L$40,$BJ39-3)),IF($BI39=1,SUM('Final Calculation Sheet'!$L$4:$L$40),IF($BH39&gt;0,SUMIFS('Final Calculation Sheet'!$L$4:$L$40,$AZ$5:$AZ$41,$BH39),"")))</f>
        <v/>
      </c>
      <c r="N39" s="652">
        <f>IF($BJ39&gt;0,IF(INDEX('Final Calculation Sheet'!$M$4:$M$40,$BJ39-3)="","",INDEX('Final Calculation Sheet'!$M$4:$M$40,$BJ39-3)),IF($BI39=1,SUM('Final Calculation Sheet'!$M$4:$M$40),IF($BH39&gt;0,SUMIFS('Final Calculation Sheet'!$M$4:$M$40,$AZ$5:$AZ$41,$BH39),"")))</f>
        <v/>
      </c>
      <c r="O39" s="653">
        <f>IF($BJ39&gt;0,IF(INDEX('Final Calculation Sheet'!$N$4:$N$40,$BJ39-3)="","",INDEX('Final Calculation Sheet'!$N$4:$N$40,$BJ39-3)),IF($BI39=1,SUM('Final Calculation Sheet'!$N$4:$N$40),IF($BH39&gt;0,SUMIFS('Final Calculation Sheet'!$N$4:$N$40,$AZ$5:$AZ$41,$BH39),"")))</f>
        <v/>
      </c>
      <c r="P39" s="652">
        <f>IF($BJ39&gt;0,IF(INDEX('Final Calculation Sheet'!$O$4:$O$40,$BJ39-3)="","",INDEX('Final Calculation Sheet'!$O$4:$O$40,$BJ39-3)),IF($BI39=1,SUM('Final Calculation Sheet'!$O$4:$O$40),IF($BH39&gt;0,SUMIFS('Final Calculation Sheet'!$O$4:$O$40,$AZ$5:$AZ$41,$BH39),"")))</f>
        <v/>
      </c>
      <c r="Q39" s="652">
        <f>IF($BJ39&gt;0,IF(INDEX('Final Calculation Sheet'!$P$4:$P$40,$BJ39-3)="","",INDEX('Final Calculation Sheet'!$P$4:$P$40,$BJ39-3)),IF($BI39=1,SUM('Final Calculation Sheet'!$P$4:$P$40),IF($BH39&gt;0,SUMIFS('Final Calculation Sheet'!$P$4:$P$40,$AZ$5:$AZ$41,$BH39),"")))</f>
        <v/>
      </c>
      <c r="R39" s="654">
        <f>IF($BJ39&gt;0,IF(INDEX('Final Calculation Sheet'!$Q$4:$Q$40,$BJ39-3)="","",INDEX('Final Calculation Sheet'!$Q$4:$Q$40,$BJ39-3)),IF(OR($BI39=1,$BH39&gt;0),"–",""))</f>
        <v/>
      </c>
      <c r="S39" s="652">
        <f>IF($BJ39&gt;0,IF(INDEX('Final Calculation Sheet'!$R$4:$R$40,$BJ39-3)="","",INDEX('Final Calculation Sheet'!$R$4:$R$40,$BJ39-3)),IF($BI39=1,SUM('Final Calculation Sheet'!$R$4:$R$40),IF($BH39&gt;0,SUMIFS('Final Calculation Sheet'!$R$4:$R$40,$AZ$5:$AZ$41,$BH39),"")))</f>
        <v/>
      </c>
      <c r="T39" s="652">
        <f>IF($BJ39&gt;0,IF(INDEX('Final Calculation Sheet'!$S$4:$S$40,$BJ39-3)="","",INDEX('Final Calculation Sheet'!$S$4:$S$40,$BJ39-3)),IF($BI39=1,SUM('Final Calculation Sheet'!$S$4:$S$40),IF($BH39&gt;0,SUMIFS('Final Calculation Sheet'!$S$4:$S$40,$AZ$5:$AZ$41,$BH39),"")))</f>
        <v/>
      </c>
      <c r="U39" s="652">
        <f>IF($BJ39&gt;0,IF(INDEX('Final Calculation Sheet'!$T$4:$T$40,$BJ39-3)="","",INDEX('Final Calculation Sheet'!$T$4:$T$40,$BJ39-3)),IF($BI39=1,SUM('Final Calculation Sheet'!$T$4:$T$40),IF($BH39&gt;0,SUMIFS('Final Calculation Sheet'!$T$4:$T$40,$AZ$5:$AZ$41,$BH39),"")))</f>
        <v/>
      </c>
      <c r="V39" s="655">
        <f>IF($BJ39&gt;0,IF(INDEX('Final Calculation Sheet'!$U$4:$U$40,$BJ39-3)="","",INDEX('Final Calculation Sheet'!$U$4:$U$40,$BJ39-3)),IF($BI39=1,SUM('Final Calculation Sheet'!$U$4:$U$40),IF($BH39&gt;0,SUMIFS('Final Calculation Sheet'!$U$4:$U$40,$AZ$5:$AZ$41,$BH39),"")))</f>
        <v/>
      </c>
      <c r="W39" s="652">
        <f>IF($BJ39&gt;0,IF(INDEX('Final Calculation Sheet'!$V$4:$V$40,$BJ39-3)="","",INDEX('Final Calculation Sheet'!$V$4:$V$40,$BJ39-3)),IF(OR($BI39=1,$BH39&gt;0),"–",""))</f>
        <v/>
      </c>
      <c r="X39" s="652">
        <f>IF($BJ39&gt;0,IF(INDEX('Final Calculation Sheet'!$W$4:$W$40,$BJ39-3)="","",INDEX('Final Calculation Sheet'!$W$4:$W$40,$BJ39-3)),IF($BI39=1,SUM('Final Calculation Sheet'!$W$4:$W$40),IF($BH39&gt;0,SUMIFS('Final Calculation Sheet'!$W$4:$W$40,$AZ$5:$AZ$41,$BH39),"")))</f>
        <v/>
      </c>
      <c r="Y39" s="652">
        <f>IF($BJ39&gt;0,IF(INDEX('Final Calculation Sheet'!$X$4:$X$40,$BJ39-3)="","",INDEX('Final Calculation Sheet'!$X$4:$X$40,$BJ39-3)),IF($BI39=1,SUM('Final Calculation Sheet'!$X$4:$X$40),IF($BH39&gt;0,SUMIFS('Final Calculation Sheet'!$X$4:$X$40,$AZ$5:$AZ$41,$BH39),"")))</f>
        <v/>
      </c>
      <c r="Z39" s="652">
        <f>IF($BJ39&gt;0,IF(INDEX('Final Calculation Sheet'!$Y$4:$Y$40,$BJ39-3)="","",INDEX('Final Calculation Sheet'!$Y$4:$Y$40,$BJ39-3)),IF(OR($BI39=1,$BH39&gt;0),"–",""))</f>
        <v/>
      </c>
      <c r="AA39" s="652">
        <f>IF($BJ39&gt;0,IF(INDEX('Final Calculation Sheet'!$Z$4:$Z$40,$BJ39-3)="","",INDEX('Final Calculation Sheet'!$Z$4:$Z$40,$BJ39-3)),IF($BI39=1,SUM('Final Calculation Sheet'!$Z$4:$Z$40),IF($BH39&gt;0,SUMIFS('Final Calculation Sheet'!$Z$4:$Z$40,$AZ$5:$AZ$41,$BH39),"")))</f>
        <v/>
      </c>
      <c r="AB39" s="652">
        <f>IF($BJ39&gt;0,IF(INDEX('Final Calculation Sheet'!$AA$4:$AA$40,$BJ39-3)="","",INDEX('Final Calculation Sheet'!$AA$4:$AA$40,$BJ39-3)),IF($BI39=1,SUM('Final Calculation Sheet'!$AA$4:$AA$40),IF($BH39&gt;0,SUMIFS('Final Calculation Sheet'!$AA$4:$AA$40,$AZ$5:$AZ$41,$BH39),"")))</f>
        <v/>
      </c>
      <c r="AC39" s="652">
        <f>IF($BJ39&gt;0,IF(INDEX('Final Calculation Sheet'!$AB$4:$AB$40,$BJ39-3)="","",INDEX('Final Calculation Sheet'!$AB$4:$AB$40,$BJ39-3)),IF(OR($BI39=1,$BH39&gt;0),"–",""))</f>
        <v/>
      </c>
      <c r="AD39" s="652">
        <f>IF($BJ39&gt;0,IF(INDEX('Final Calculation Sheet'!$AC$4:$AC$40,$BJ39-3)="","",INDEX('Final Calculation Sheet'!$AC$4:$AC$40,$BJ39-3)),IF($BI39=1,SUM('Final Calculation Sheet'!$AC$4:$AC$40),IF($BH39&gt;0,SUMIFS('Final Calculation Sheet'!$AC$4:$AC$40,$AZ$5:$AZ$41,$BH39),"")))</f>
        <v/>
      </c>
      <c r="AE39" s="652">
        <f>IF($BJ39&gt;0,IF(INDEX('Final Calculation Sheet'!$AD$4:$AD$40,$BJ39-3)="","",INDEX('Final Calculation Sheet'!$AD$4:$AD$40,$BJ39-3)),IF($BI39=1,SUM('Final Calculation Sheet'!$AD$4:$AD$40),IF($BH39&gt;0,SUMIFS('Final Calculation Sheet'!$AD$4:$AD$40,$AZ$5:$AZ$41,$BH39),"")))</f>
        <v/>
      </c>
      <c r="AF39" s="652">
        <f>IF($BJ39&gt;0,IF(INDEX('Final Calculation Sheet'!$AE$4:$AE$40,$BJ39-3)="","",INDEX('Final Calculation Sheet'!$AE$4:$AE$40,$BJ39-3)),IF(OR($BI39=1,$BH39&gt;0),"–",""))</f>
        <v/>
      </c>
      <c r="AG39" s="656">
        <f>IF($BJ39&gt;0,IF(INDEX('Final Calculation Sheet'!$AF$4:$AF$40,$BJ39-3)="","",INDEX('Final Calculation Sheet'!$AF$4:$AF$40,$BJ39-3)),IF(OR($BI39=1,$BH39&gt;0),"–",""))</f>
        <v/>
      </c>
      <c r="AH39" s="652">
        <f>IF($BJ39&gt;0,IF(INDEX('Final Calculation Sheet'!$AG$4:$AG$40,$BJ39-3)="","",INDEX('Final Calculation Sheet'!$AG$4:$AG$40,$BJ39-3)),IF(OR($BI39=1,$BH39&gt;0),"–",""))</f>
        <v/>
      </c>
      <c r="AI39" s="657">
        <f>IF($BJ39&gt;0,IF(INDEX('Final Calculation Sheet'!$AD$4:$AD$40,$BJ39-3)="","",IF(INDEX('Final Calculation Sheet'!$AD$4:$AD$40,$BJ39-3)&lt;=0,"SETTLED","OUTSTANDING")),IF(OR($BI39=1,$BH39&gt;0),IF(IF($BI39=1,SUM('Final Calculation Sheet'!$AD$4:$AD$40),SUMIFS('Final Calculation Sheet'!$AD$4:$AD$40,$AZ$5:$AZ$41,$BH39))&lt;=0,"ALL SETTLED","OUTSTANDING"),""))</f>
        <v/>
      </c>
      <c r="AK39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/>
      </c>
      <c r="AM39">
        <f>IF($B$3="",1,IF(AND(IF(COUNTIF($AR$9:$AY$9,1)=0,TRUE,SUMPRODUCT(($AR$9:$AY$9=1)*($AR$6:$AY$6&lt;&gt;"")*ISNUMBER(SEARCH($AR$6:$AY$6,$AK39)))&gt;0),IF(COUNTIF($AR$9:$AY$9,2)=0,TRUE,SUMPRODUCT(($AR$9:$AY$9=2)*($AR$6:$AY$6&lt;&gt;"")*ISNUMBER(SEARCH($AR$6:$AY$6,$AK39)))&gt;0),IF(COUNTIF($AR$9:$AY$9,3)=0,TRUE,SUMPRODUCT(($AR$9:$AY$9=3)*($AR$6:$AY$6&lt;&gt;"")*ISNUMBER(SEARCH($AR$6:$AY$6,$AK39)))&gt;0),IF(COUNTIF($AR$9:$AY$9,4)=0,TRUE,SUMPRODUCT(($AR$9:$AY$9=4)*($AR$6:$AY$6&lt;&gt;"")*ISNUMBER(SEARCH($AR$6:$AY$6,$AK39)))&gt;0),IF(COUNTIF($AR$9:$AY$9,5)=0,TRUE,SUMPRODUCT(($AR$9:$AY$9=5)*($AR$6:$AY$6&lt;&gt;"")*ISNUMBER(SEARCH($AR$6:$AY$6,$AK39)))&gt;0),IF(COUNTIF($AR$9:$AY$9,6)=0,TRUE,SUMPRODUCT(($AR$9:$AY$9=6)*($AR$6:$AY$6&lt;&gt;"")*ISNUMBER(SEARCH($AR$6:$AY$6,$AK39)))&gt;0),IF(COUNTIF($AR$9:$AY$9,7)=0,TRUE,SUMPRODUCT(($AR$9:$AY$9=7)*($AR$6:$AY$6&lt;&gt;"")*ISNUMBER(SEARCH($AR$6:$AY$6,$AK39)))&gt;0),IF(COUNTIF($AR$9:$AY$9,8)=0,TRUE,SUMPRODUCT(($AR$9:$AY$9=8)*($AR$6:$AY$6&lt;&gt;"")*ISNUMBER(SEARCH($AR$6:$AY$6,$AK39)))&gt;0)),1,0))</f>
        <v/>
      </c>
      <c r="AZ39">
        <f>IF($B$3="",9,IF($AM39=0,10,IF(AND($AR$6&lt;&gt;"",ISNUMBER(SEARCH($AR$6,$AK39))),1,IF(AND($AS$6&lt;&gt;"",ISNUMBER(SEARCH($AS$6,$AK39))),2,IF(AND($AT$6&lt;&gt;"",ISNUMBER(SEARCH($AT$6,$AK39))),3,IF(AND($AU$6&lt;&gt;"",ISNUMBER(SEARCH($AU$6,$AK39))),4,IF(AND($AV$6&lt;&gt;"",ISNUMBER(SEARCH($AV$6,$AK39))),5,IF(AND($AW$6&lt;&gt;"",ISNUMBER(SEARCH($AW$6,$AK39))),6,IF(AND($AX$6&lt;&gt;"",ISNUMBER(SEARCH($AX$6,$AK39))),7,IF(AND($AY$6&lt;&gt;"",ISNUMBER(SEARCH($AY$6,$AK39))),8,0))))))))))</f>
        <v/>
      </c>
      <c r="BA39">
        <f>SUMPRODUCT(($AZ$5:$AZ$41=$AZ39)*($BC$5:$BC$41&lt;$BC39))+1</f>
        <v/>
      </c>
      <c r="BB39">
        <f>IF(INDEX($BF$4:$BF$13,$AZ39)=0,0,INDEX($BE$4:$BE$13,$AZ39)+$BA39-1)</f>
        <v/>
      </c>
      <c r="BC39" t="n">
        <v>38</v>
      </c>
      <c r="BH39">
        <f>IFERROR(MATCH(39,$BF$4:$BF$13,0),0)</f>
        <v/>
      </c>
      <c r="BI39">
        <f>IF(39=$BG$4,1,0)</f>
        <v/>
      </c>
      <c r="BJ39">
        <f>IF(OR($BH39&gt;0,$BI39=1),0,IFERROR(INDEX($BC$5:$BC$41,MATCH(39,$BB$5:$BB$41,0)),0))</f>
        <v/>
      </c>
      <c r="BK39">
        <f>IF($BJ39&gt;0,IF(INDEX($AZ$5:$AZ$41,MATCH(39,$BB$5:$BB$41,0))=10,1,0),IF($BH39=10,1,0))</f>
        <v/>
      </c>
    </row>
    <row r="40" ht="15" customHeight="1">
      <c r="A40" s="649">
        <f>IF($BJ40&gt;0,INDEX($BA$5:$BA$41,MATCH(40,$BB$5:$BB$41,0)),IF(OR($BI40=1,$BH40&gt;0),"∑",""))</f>
        <v/>
      </c>
      <c r="B40" s="650">
        <f>IF($BJ40&gt;0,IF(INDEX('Final Calculation Sheet'!$F$4:$F$40,$BJ40-3)="","",INDEX('Final Calculation Sheet'!$F$4:$F$40,$BJ40-3)),"")</f>
        <v/>
      </c>
      <c r="C40" s="650">
        <f>IF($BJ40&gt;0,IF(INDEX('Final Calculation Sheet'!$G$4:$G$40,$BJ40-3)="","",INDEX('Final Calculation Sheet'!$G$4:$G$40,$BJ40-3)),IF(OR($BI40=1,$BH40&gt;0),IF($BI40=1,37,INDEX($BD$4:$BD$13,$BH40))&amp;" lot(s)",""))</f>
        <v/>
      </c>
      <c r="D40" s="651">
        <f>IF($BJ40&gt;0,IF(INDEX('Final Calculation Sheet'!$B$4:$B$40,$BJ40-3)="","",INDEX('Final Calculation Sheet'!$B$4:$B$40,$BJ40-3)),IF(OR($BI40=1,$BH40&gt;0),IF($BI40=1,"GRAND TOTAL  —  matching + remaining",IF($BH40=10,"REMAINING  —  did not match the search",IF($BH40=9,"ALL LOTS  —  nothing typed in the box","GROUP "&amp;$BH40&amp;" TOTAL  —  lots matching  "&amp;INDEX($AR$6:$AY$6,$BH40)))),""))</f>
        <v/>
      </c>
      <c r="E40" s="651">
        <f>IF($BJ40&gt;0,IF(INDEX('Final Calculation Sheet'!$D$4:$D$40,$BJ40-3)="","",INDEX('Final Calculation Sheet'!$D$4:$D$40,$BJ40-3)),IF(OR($BI40=1,$BH40&gt;0),"–",""))</f>
        <v/>
      </c>
      <c r="F40" s="651">
        <f>IF($BJ40&gt;0,IF(INDEX('Final Calculation Sheet'!$A$4:$A$40,$BJ40-3)="","",INDEX('Final Calculation Sheet'!$A$4:$A$40,$BJ40-3)),IF($BI40=1,SUM('Final Calculation Sheet'!$A$4:$A$40),IF($BH40&gt;0,SUMIFS('Final Calculation Sheet'!$A$4:$A$40,$AZ$5:$AZ$41,$BH40),"")))</f>
        <v/>
      </c>
      <c r="G40" s="651">
        <f>IF($BJ40&gt;0,IF(INDEX('Final Calculation Sheet'!$E$4:$E$40,$BJ40-3)="","",INDEX('Final Calculation Sheet'!$E$4:$E$40,$BJ40-3)),IF(OR($BI40=1,$BH40&gt;0),"–",""))</f>
        <v/>
      </c>
      <c r="H40" s="652">
        <f>IF($BJ40&gt;0,IF(INDEX('Final Calculation Sheet'!$C$4:$C$40,$BJ40-3)="","",INDEX('Final Calculation Sheet'!$C$4:$C$40,$BJ40-3)),IF(OR($BI40=1,$BH40&gt;0),"–",""))</f>
        <v/>
      </c>
      <c r="I40" s="652">
        <f>IF($BJ40&gt;0,IF(INDEX('Final Calculation Sheet'!$H$4:$H$40,$BJ40-3)="","",INDEX('Final Calculation Sheet'!$H$4:$H$40,$BJ40-3)),IF($BI40=1,SUM('Final Calculation Sheet'!$H$4:$H$40),IF($BH40&gt;0,SUMIFS('Final Calculation Sheet'!$H$4:$H$40,$AZ$5:$AZ$41,$BH40),"")))</f>
        <v/>
      </c>
      <c r="J40" s="652">
        <f>IF($BJ40&gt;0,IF(INDEX('Final Calculation Sheet'!$I$4:$I$40,$BJ40-3)="","",INDEX('Final Calculation Sheet'!$I$4:$I$40,$BJ40-3)),IF($BI40=1,SUM('Final Calculation Sheet'!$I$4:$I$40),IF($BH40&gt;0,SUMIFS('Final Calculation Sheet'!$I$4:$I$40,$AZ$5:$AZ$41,$BH40),"")))</f>
        <v/>
      </c>
      <c r="K40" s="652">
        <f>IF($BJ40&gt;0,IF(INDEX('Final Calculation Sheet'!$J$4:$J$40,$BJ40-3)="","",INDEX('Final Calculation Sheet'!$J$4:$J$40,$BJ40-3)),IF($BI40=1,SUM('Final Calculation Sheet'!$J$4:$J$40),IF($BH40&gt;0,SUMIFS('Final Calculation Sheet'!$J$4:$J$40,$AZ$5:$AZ$41,$BH40),"")))</f>
        <v/>
      </c>
      <c r="L40" s="652">
        <f>IF($BJ40&gt;0,IF(INDEX('Final Calculation Sheet'!$K$4:$K$40,$BJ40-3)="","",INDEX('Final Calculation Sheet'!$K$4:$K$40,$BJ40-3)),IF($BI40=1,SUM('Final Calculation Sheet'!$K$4:$K$40),IF($BH40&gt;0,SUMIFS('Final Calculation Sheet'!$K$4:$K$40,$AZ$5:$AZ$41,$BH40),"")))</f>
        <v/>
      </c>
      <c r="M40" s="652">
        <f>IF($BJ40&gt;0,IF(INDEX('Final Calculation Sheet'!$L$4:$L$40,$BJ40-3)="","",INDEX('Final Calculation Sheet'!$L$4:$L$40,$BJ40-3)),IF($BI40=1,SUM('Final Calculation Sheet'!$L$4:$L$40),IF($BH40&gt;0,SUMIFS('Final Calculation Sheet'!$L$4:$L$40,$AZ$5:$AZ$41,$BH40),"")))</f>
        <v/>
      </c>
      <c r="N40" s="652">
        <f>IF($BJ40&gt;0,IF(INDEX('Final Calculation Sheet'!$M$4:$M$40,$BJ40-3)="","",INDEX('Final Calculation Sheet'!$M$4:$M$40,$BJ40-3)),IF($BI40=1,SUM('Final Calculation Sheet'!$M$4:$M$40),IF($BH40&gt;0,SUMIFS('Final Calculation Sheet'!$M$4:$M$40,$AZ$5:$AZ$41,$BH40),"")))</f>
        <v/>
      </c>
      <c r="O40" s="653">
        <f>IF($BJ40&gt;0,IF(INDEX('Final Calculation Sheet'!$N$4:$N$40,$BJ40-3)="","",INDEX('Final Calculation Sheet'!$N$4:$N$40,$BJ40-3)),IF($BI40=1,SUM('Final Calculation Sheet'!$N$4:$N$40),IF($BH40&gt;0,SUMIFS('Final Calculation Sheet'!$N$4:$N$40,$AZ$5:$AZ$41,$BH40),"")))</f>
        <v/>
      </c>
      <c r="P40" s="652">
        <f>IF($BJ40&gt;0,IF(INDEX('Final Calculation Sheet'!$O$4:$O$40,$BJ40-3)="","",INDEX('Final Calculation Sheet'!$O$4:$O$40,$BJ40-3)),IF($BI40=1,SUM('Final Calculation Sheet'!$O$4:$O$40),IF($BH40&gt;0,SUMIFS('Final Calculation Sheet'!$O$4:$O$40,$AZ$5:$AZ$41,$BH40),"")))</f>
        <v/>
      </c>
      <c r="Q40" s="652">
        <f>IF($BJ40&gt;0,IF(INDEX('Final Calculation Sheet'!$P$4:$P$40,$BJ40-3)="","",INDEX('Final Calculation Sheet'!$P$4:$P$40,$BJ40-3)),IF($BI40=1,SUM('Final Calculation Sheet'!$P$4:$P$40),IF($BH40&gt;0,SUMIFS('Final Calculation Sheet'!$P$4:$P$40,$AZ$5:$AZ$41,$BH40),"")))</f>
        <v/>
      </c>
      <c r="R40" s="654">
        <f>IF($BJ40&gt;0,IF(INDEX('Final Calculation Sheet'!$Q$4:$Q$40,$BJ40-3)="","",INDEX('Final Calculation Sheet'!$Q$4:$Q$40,$BJ40-3)),IF(OR($BI40=1,$BH40&gt;0),"–",""))</f>
        <v/>
      </c>
      <c r="S40" s="652">
        <f>IF($BJ40&gt;0,IF(INDEX('Final Calculation Sheet'!$R$4:$R$40,$BJ40-3)="","",INDEX('Final Calculation Sheet'!$R$4:$R$40,$BJ40-3)),IF($BI40=1,SUM('Final Calculation Sheet'!$R$4:$R$40),IF($BH40&gt;0,SUMIFS('Final Calculation Sheet'!$R$4:$R$40,$AZ$5:$AZ$41,$BH40),"")))</f>
        <v/>
      </c>
      <c r="T40" s="652">
        <f>IF($BJ40&gt;0,IF(INDEX('Final Calculation Sheet'!$S$4:$S$40,$BJ40-3)="","",INDEX('Final Calculation Sheet'!$S$4:$S$40,$BJ40-3)),IF($BI40=1,SUM('Final Calculation Sheet'!$S$4:$S$40),IF($BH40&gt;0,SUMIFS('Final Calculation Sheet'!$S$4:$S$40,$AZ$5:$AZ$41,$BH40),"")))</f>
        <v/>
      </c>
      <c r="U40" s="652">
        <f>IF($BJ40&gt;0,IF(INDEX('Final Calculation Sheet'!$T$4:$T$40,$BJ40-3)="","",INDEX('Final Calculation Sheet'!$T$4:$T$40,$BJ40-3)),IF($BI40=1,SUM('Final Calculation Sheet'!$T$4:$T$40),IF($BH40&gt;0,SUMIFS('Final Calculation Sheet'!$T$4:$T$40,$AZ$5:$AZ$41,$BH40),"")))</f>
        <v/>
      </c>
      <c r="V40" s="655">
        <f>IF($BJ40&gt;0,IF(INDEX('Final Calculation Sheet'!$U$4:$U$40,$BJ40-3)="","",INDEX('Final Calculation Sheet'!$U$4:$U$40,$BJ40-3)),IF($BI40=1,SUM('Final Calculation Sheet'!$U$4:$U$40),IF($BH40&gt;0,SUMIFS('Final Calculation Sheet'!$U$4:$U$40,$AZ$5:$AZ$41,$BH40),"")))</f>
        <v/>
      </c>
      <c r="W40" s="652">
        <f>IF($BJ40&gt;0,IF(INDEX('Final Calculation Sheet'!$V$4:$V$40,$BJ40-3)="","",INDEX('Final Calculation Sheet'!$V$4:$V$40,$BJ40-3)),IF(OR($BI40=1,$BH40&gt;0),"–",""))</f>
        <v/>
      </c>
      <c r="X40" s="652">
        <f>IF($BJ40&gt;0,IF(INDEX('Final Calculation Sheet'!$W$4:$W$40,$BJ40-3)="","",INDEX('Final Calculation Sheet'!$W$4:$W$40,$BJ40-3)),IF($BI40=1,SUM('Final Calculation Sheet'!$W$4:$W$40),IF($BH40&gt;0,SUMIFS('Final Calculation Sheet'!$W$4:$W$40,$AZ$5:$AZ$41,$BH40),"")))</f>
        <v/>
      </c>
      <c r="Y40" s="652">
        <f>IF($BJ40&gt;0,IF(INDEX('Final Calculation Sheet'!$X$4:$X$40,$BJ40-3)="","",INDEX('Final Calculation Sheet'!$X$4:$X$40,$BJ40-3)),IF($BI40=1,SUM('Final Calculation Sheet'!$X$4:$X$40),IF($BH40&gt;0,SUMIFS('Final Calculation Sheet'!$X$4:$X$40,$AZ$5:$AZ$41,$BH40),"")))</f>
        <v/>
      </c>
      <c r="Z40" s="652">
        <f>IF($BJ40&gt;0,IF(INDEX('Final Calculation Sheet'!$Y$4:$Y$40,$BJ40-3)="","",INDEX('Final Calculation Sheet'!$Y$4:$Y$40,$BJ40-3)),IF(OR($BI40=1,$BH40&gt;0),"–",""))</f>
        <v/>
      </c>
      <c r="AA40" s="652">
        <f>IF($BJ40&gt;0,IF(INDEX('Final Calculation Sheet'!$Z$4:$Z$40,$BJ40-3)="","",INDEX('Final Calculation Sheet'!$Z$4:$Z$40,$BJ40-3)),IF($BI40=1,SUM('Final Calculation Sheet'!$Z$4:$Z$40),IF($BH40&gt;0,SUMIFS('Final Calculation Sheet'!$Z$4:$Z$40,$AZ$5:$AZ$41,$BH40),"")))</f>
        <v/>
      </c>
      <c r="AB40" s="652">
        <f>IF($BJ40&gt;0,IF(INDEX('Final Calculation Sheet'!$AA$4:$AA$40,$BJ40-3)="","",INDEX('Final Calculation Sheet'!$AA$4:$AA$40,$BJ40-3)),IF($BI40=1,SUM('Final Calculation Sheet'!$AA$4:$AA$40),IF($BH40&gt;0,SUMIFS('Final Calculation Sheet'!$AA$4:$AA$40,$AZ$5:$AZ$41,$BH40),"")))</f>
        <v/>
      </c>
      <c r="AC40" s="652">
        <f>IF($BJ40&gt;0,IF(INDEX('Final Calculation Sheet'!$AB$4:$AB$40,$BJ40-3)="","",INDEX('Final Calculation Sheet'!$AB$4:$AB$40,$BJ40-3)),IF(OR($BI40=1,$BH40&gt;0),"–",""))</f>
        <v/>
      </c>
      <c r="AD40" s="652">
        <f>IF($BJ40&gt;0,IF(INDEX('Final Calculation Sheet'!$AC$4:$AC$40,$BJ40-3)="","",INDEX('Final Calculation Sheet'!$AC$4:$AC$40,$BJ40-3)),IF($BI40=1,SUM('Final Calculation Sheet'!$AC$4:$AC$40),IF($BH40&gt;0,SUMIFS('Final Calculation Sheet'!$AC$4:$AC$40,$AZ$5:$AZ$41,$BH40),"")))</f>
        <v/>
      </c>
      <c r="AE40" s="652">
        <f>IF($BJ40&gt;0,IF(INDEX('Final Calculation Sheet'!$AD$4:$AD$40,$BJ40-3)="","",INDEX('Final Calculation Sheet'!$AD$4:$AD$40,$BJ40-3)),IF($BI40=1,SUM('Final Calculation Sheet'!$AD$4:$AD$40),IF($BH40&gt;0,SUMIFS('Final Calculation Sheet'!$AD$4:$AD$40,$AZ$5:$AZ$41,$BH40),"")))</f>
        <v/>
      </c>
      <c r="AF40" s="652">
        <f>IF($BJ40&gt;0,IF(INDEX('Final Calculation Sheet'!$AE$4:$AE$40,$BJ40-3)="","",INDEX('Final Calculation Sheet'!$AE$4:$AE$40,$BJ40-3)),IF(OR($BI40=1,$BH40&gt;0),"–",""))</f>
        <v/>
      </c>
      <c r="AG40" s="656">
        <f>IF($BJ40&gt;0,IF(INDEX('Final Calculation Sheet'!$AF$4:$AF$40,$BJ40-3)="","",INDEX('Final Calculation Sheet'!$AF$4:$AF$40,$BJ40-3)),IF(OR($BI40=1,$BH40&gt;0),"–",""))</f>
        <v/>
      </c>
      <c r="AH40" s="652">
        <f>IF($BJ40&gt;0,IF(INDEX('Final Calculation Sheet'!$AG$4:$AG$40,$BJ40-3)="","",INDEX('Final Calculation Sheet'!$AG$4:$AG$40,$BJ40-3)),IF(OR($BI40=1,$BH40&gt;0),"–",""))</f>
        <v/>
      </c>
      <c r="AI40" s="657">
        <f>IF($BJ40&gt;0,IF(INDEX('Final Calculation Sheet'!$AD$4:$AD$40,$BJ40-3)="","",IF(INDEX('Final Calculation Sheet'!$AD$4:$AD$40,$BJ40-3)&lt;=0,"SETTLED","OUTSTANDING")),IF(OR($BI40=1,$BH40&gt;0),IF(IF($BI40=1,SUM('Final Calculation Sheet'!$AD$4:$AD$40),SUMIFS('Final Calculation Sheet'!$AD$4:$AD$40,$AZ$5:$AZ$41,$BH40))&lt;=0,"ALL SETTLED","OUTSTANDING"),""))</f>
        <v/>
      </c>
      <c r="AK40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/>
      </c>
      <c r="AM40">
        <f>IF($B$3="",1,IF(AND(IF(COUNTIF($AR$9:$AY$9,1)=0,TRUE,SUMPRODUCT(($AR$9:$AY$9=1)*($AR$6:$AY$6&lt;&gt;"")*ISNUMBER(SEARCH($AR$6:$AY$6,$AK40)))&gt;0),IF(COUNTIF($AR$9:$AY$9,2)=0,TRUE,SUMPRODUCT(($AR$9:$AY$9=2)*($AR$6:$AY$6&lt;&gt;"")*ISNUMBER(SEARCH($AR$6:$AY$6,$AK40)))&gt;0),IF(COUNTIF($AR$9:$AY$9,3)=0,TRUE,SUMPRODUCT(($AR$9:$AY$9=3)*($AR$6:$AY$6&lt;&gt;"")*ISNUMBER(SEARCH($AR$6:$AY$6,$AK40)))&gt;0),IF(COUNTIF($AR$9:$AY$9,4)=0,TRUE,SUMPRODUCT(($AR$9:$AY$9=4)*($AR$6:$AY$6&lt;&gt;"")*ISNUMBER(SEARCH($AR$6:$AY$6,$AK40)))&gt;0),IF(COUNTIF($AR$9:$AY$9,5)=0,TRUE,SUMPRODUCT(($AR$9:$AY$9=5)*($AR$6:$AY$6&lt;&gt;"")*ISNUMBER(SEARCH($AR$6:$AY$6,$AK40)))&gt;0),IF(COUNTIF($AR$9:$AY$9,6)=0,TRUE,SUMPRODUCT(($AR$9:$AY$9=6)*($AR$6:$AY$6&lt;&gt;"")*ISNUMBER(SEARCH($AR$6:$AY$6,$AK40)))&gt;0),IF(COUNTIF($AR$9:$AY$9,7)=0,TRUE,SUMPRODUCT(($AR$9:$AY$9=7)*($AR$6:$AY$6&lt;&gt;"")*ISNUMBER(SEARCH($AR$6:$AY$6,$AK40)))&gt;0),IF(COUNTIF($AR$9:$AY$9,8)=0,TRUE,SUMPRODUCT(($AR$9:$AY$9=8)*($AR$6:$AY$6&lt;&gt;"")*ISNUMBER(SEARCH($AR$6:$AY$6,$AK40)))&gt;0)),1,0))</f>
        <v/>
      </c>
      <c r="AZ40">
        <f>IF($B$3="",9,IF($AM40=0,10,IF(AND($AR$6&lt;&gt;"",ISNUMBER(SEARCH($AR$6,$AK40))),1,IF(AND($AS$6&lt;&gt;"",ISNUMBER(SEARCH($AS$6,$AK40))),2,IF(AND($AT$6&lt;&gt;"",ISNUMBER(SEARCH($AT$6,$AK40))),3,IF(AND($AU$6&lt;&gt;"",ISNUMBER(SEARCH($AU$6,$AK40))),4,IF(AND($AV$6&lt;&gt;"",ISNUMBER(SEARCH($AV$6,$AK40))),5,IF(AND($AW$6&lt;&gt;"",ISNUMBER(SEARCH($AW$6,$AK40))),6,IF(AND($AX$6&lt;&gt;"",ISNUMBER(SEARCH($AX$6,$AK40))),7,IF(AND($AY$6&lt;&gt;"",ISNUMBER(SEARCH($AY$6,$AK40))),8,0))))))))))</f>
        <v/>
      </c>
      <c r="BA40">
        <f>SUMPRODUCT(($AZ$5:$AZ$41=$AZ40)*($BC$5:$BC$41&lt;$BC40))+1</f>
        <v/>
      </c>
      <c r="BB40">
        <f>IF(INDEX($BF$4:$BF$13,$AZ40)=0,0,INDEX($BE$4:$BE$13,$AZ40)+$BA40-1)</f>
        <v/>
      </c>
      <c r="BC40" t="n">
        <v>39</v>
      </c>
      <c r="BH40">
        <f>IFERROR(MATCH(40,$BF$4:$BF$13,0),0)</f>
        <v/>
      </c>
      <c r="BI40">
        <f>IF(40=$BG$4,1,0)</f>
        <v/>
      </c>
      <c r="BJ40">
        <f>IF(OR($BH40&gt;0,$BI40=1),0,IFERROR(INDEX($BC$5:$BC$41,MATCH(40,$BB$5:$BB$41,0)),0))</f>
        <v/>
      </c>
      <c r="BK40">
        <f>IF($BJ40&gt;0,IF(INDEX($AZ$5:$AZ$41,MATCH(40,$BB$5:$BB$41,0))=10,1,0),IF($BH40=10,1,0))</f>
        <v/>
      </c>
    </row>
    <row r="41" ht="15" customHeight="1">
      <c r="A41" s="649">
        <f>IF($BJ41&gt;0,INDEX($BA$5:$BA$41,MATCH(41,$BB$5:$BB$41,0)),IF(OR($BI41=1,$BH41&gt;0),"∑",""))</f>
        <v/>
      </c>
      <c r="B41" s="650">
        <f>IF($BJ41&gt;0,IF(INDEX('Final Calculation Sheet'!$F$4:$F$40,$BJ41-3)="","",INDEX('Final Calculation Sheet'!$F$4:$F$40,$BJ41-3)),"")</f>
        <v/>
      </c>
      <c r="C41" s="650">
        <f>IF($BJ41&gt;0,IF(INDEX('Final Calculation Sheet'!$G$4:$G$40,$BJ41-3)="","",INDEX('Final Calculation Sheet'!$G$4:$G$40,$BJ41-3)),IF(OR($BI41=1,$BH41&gt;0),IF($BI41=1,37,INDEX($BD$4:$BD$13,$BH41))&amp;" lot(s)",""))</f>
        <v/>
      </c>
      <c r="D41" s="651">
        <f>IF($BJ41&gt;0,IF(INDEX('Final Calculation Sheet'!$B$4:$B$40,$BJ41-3)="","",INDEX('Final Calculation Sheet'!$B$4:$B$40,$BJ41-3)),IF(OR($BI41=1,$BH41&gt;0),IF($BI41=1,"GRAND TOTAL  —  matching + remaining",IF($BH41=10,"REMAINING  —  did not match the search",IF($BH41=9,"ALL LOTS  —  nothing typed in the box","GROUP "&amp;$BH41&amp;" TOTAL  —  lots matching  "&amp;INDEX($AR$6:$AY$6,$BH41)))),""))</f>
        <v/>
      </c>
      <c r="E41" s="651">
        <f>IF($BJ41&gt;0,IF(INDEX('Final Calculation Sheet'!$D$4:$D$40,$BJ41-3)="","",INDEX('Final Calculation Sheet'!$D$4:$D$40,$BJ41-3)),IF(OR($BI41=1,$BH41&gt;0),"–",""))</f>
        <v/>
      </c>
      <c r="F41" s="651">
        <f>IF($BJ41&gt;0,IF(INDEX('Final Calculation Sheet'!$A$4:$A$40,$BJ41-3)="","",INDEX('Final Calculation Sheet'!$A$4:$A$40,$BJ41-3)),IF($BI41=1,SUM('Final Calculation Sheet'!$A$4:$A$40),IF($BH41&gt;0,SUMIFS('Final Calculation Sheet'!$A$4:$A$40,$AZ$5:$AZ$41,$BH41),"")))</f>
        <v/>
      </c>
      <c r="G41" s="651">
        <f>IF($BJ41&gt;0,IF(INDEX('Final Calculation Sheet'!$E$4:$E$40,$BJ41-3)="","",INDEX('Final Calculation Sheet'!$E$4:$E$40,$BJ41-3)),IF(OR($BI41=1,$BH41&gt;0),"–",""))</f>
        <v/>
      </c>
      <c r="H41" s="652">
        <f>IF($BJ41&gt;0,IF(INDEX('Final Calculation Sheet'!$C$4:$C$40,$BJ41-3)="","",INDEX('Final Calculation Sheet'!$C$4:$C$40,$BJ41-3)),IF(OR($BI41=1,$BH41&gt;0),"–",""))</f>
        <v/>
      </c>
      <c r="I41" s="652">
        <f>IF($BJ41&gt;0,IF(INDEX('Final Calculation Sheet'!$H$4:$H$40,$BJ41-3)="","",INDEX('Final Calculation Sheet'!$H$4:$H$40,$BJ41-3)),IF($BI41=1,SUM('Final Calculation Sheet'!$H$4:$H$40),IF($BH41&gt;0,SUMIFS('Final Calculation Sheet'!$H$4:$H$40,$AZ$5:$AZ$41,$BH41),"")))</f>
        <v/>
      </c>
      <c r="J41" s="652">
        <f>IF($BJ41&gt;0,IF(INDEX('Final Calculation Sheet'!$I$4:$I$40,$BJ41-3)="","",INDEX('Final Calculation Sheet'!$I$4:$I$40,$BJ41-3)),IF($BI41=1,SUM('Final Calculation Sheet'!$I$4:$I$40),IF($BH41&gt;0,SUMIFS('Final Calculation Sheet'!$I$4:$I$40,$AZ$5:$AZ$41,$BH41),"")))</f>
        <v/>
      </c>
      <c r="K41" s="652">
        <f>IF($BJ41&gt;0,IF(INDEX('Final Calculation Sheet'!$J$4:$J$40,$BJ41-3)="","",INDEX('Final Calculation Sheet'!$J$4:$J$40,$BJ41-3)),IF($BI41=1,SUM('Final Calculation Sheet'!$J$4:$J$40),IF($BH41&gt;0,SUMIFS('Final Calculation Sheet'!$J$4:$J$40,$AZ$5:$AZ$41,$BH41),"")))</f>
        <v/>
      </c>
      <c r="L41" s="652">
        <f>IF($BJ41&gt;0,IF(INDEX('Final Calculation Sheet'!$K$4:$K$40,$BJ41-3)="","",INDEX('Final Calculation Sheet'!$K$4:$K$40,$BJ41-3)),IF($BI41=1,SUM('Final Calculation Sheet'!$K$4:$K$40),IF($BH41&gt;0,SUMIFS('Final Calculation Sheet'!$K$4:$K$40,$AZ$5:$AZ$41,$BH41),"")))</f>
        <v/>
      </c>
      <c r="M41" s="652">
        <f>IF($BJ41&gt;0,IF(INDEX('Final Calculation Sheet'!$L$4:$L$40,$BJ41-3)="","",INDEX('Final Calculation Sheet'!$L$4:$L$40,$BJ41-3)),IF($BI41=1,SUM('Final Calculation Sheet'!$L$4:$L$40),IF($BH41&gt;0,SUMIFS('Final Calculation Sheet'!$L$4:$L$40,$AZ$5:$AZ$41,$BH41),"")))</f>
        <v/>
      </c>
      <c r="N41" s="652">
        <f>IF($BJ41&gt;0,IF(INDEX('Final Calculation Sheet'!$M$4:$M$40,$BJ41-3)="","",INDEX('Final Calculation Sheet'!$M$4:$M$40,$BJ41-3)),IF($BI41=1,SUM('Final Calculation Sheet'!$M$4:$M$40),IF($BH41&gt;0,SUMIFS('Final Calculation Sheet'!$M$4:$M$40,$AZ$5:$AZ$41,$BH41),"")))</f>
        <v/>
      </c>
      <c r="O41" s="653">
        <f>IF($BJ41&gt;0,IF(INDEX('Final Calculation Sheet'!$N$4:$N$40,$BJ41-3)="","",INDEX('Final Calculation Sheet'!$N$4:$N$40,$BJ41-3)),IF($BI41=1,SUM('Final Calculation Sheet'!$N$4:$N$40),IF($BH41&gt;0,SUMIFS('Final Calculation Sheet'!$N$4:$N$40,$AZ$5:$AZ$41,$BH41),"")))</f>
        <v/>
      </c>
      <c r="P41" s="652">
        <f>IF($BJ41&gt;0,IF(INDEX('Final Calculation Sheet'!$O$4:$O$40,$BJ41-3)="","",INDEX('Final Calculation Sheet'!$O$4:$O$40,$BJ41-3)),IF($BI41=1,SUM('Final Calculation Sheet'!$O$4:$O$40),IF($BH41&gt;0,SUMIFS('Final Calculation Sheet'!$O$4:$O$40,$AZ$5:$AZ$41,$BH41),"")))</f>
        <v/>
      </c>
      <c r="Q41" s="652">
        <f>IF($BJ41&gt;0,IF(INDEX('Final Calculation Sheet'!$P$4:$P$40,$BJ41-3)="","",INDEX('Final Calculation Sheet'!$P$4:$P$40,$BJ41-3)),IF($BI41=1,SUM('Final Calculation Sheet'!$P$4:$P$40),IF($BH41&gt;0,SUMIFS('Final Calculation Sheet'!$P$4:$P$40,$AZ$5:$AZ$41,$BH41),"")))</f>
        <v/>
      </c>
      <c r="R41" s="654">
        <f>IF($BJ41&gt;0,IF(INDEX('Final Calculation Sheet'!$Q$4:$Q$40,$BJ41-3)="","",INDEX('Final Calculation Sheet'!$Q$4:$Q$40,$BJ41-3)),IF(OR($BI41=1,$BH41&gt;0),"–",""))</f>
        <v/>
      </c>
      <c r="S41" s="652">
        <f>IF($BJ41&gt;0,IF(INDEX('Final Calculation Sheet'!$R$4:$R$40,$BJ41-3)="","",INDEX('Final Calculation Sheet'!$R$4:$R$40,$BJ41-3)),IF($BI41=1,SUM('Final Calculation Sheet'!$R$4:$R$40),IF($BH41&gt;0,SUMIFS('Final Calculation Sheet'!$R$4:$R$40,$AZ$5:$AZ$41,$BH41),"")))</f>
        <v/>
      </c>
      <c r="T41" s="652">
        <f>IF($BJ41&gt;0,IF(INDEX('Final Calculation Sheet'!$S$4:$S$40,$BJ41-3)="","",INDEX('Final Calculation Sheet'!$S$4:$S$40,$BJ41-3)),IF($BI41=1,SUM('Final Calculation Sheet'!$S$4:$S$40),IF($BH41&gt;0,SUMIFS('Final Calculation Sheet'!$S$4:$S$40,$AZ$5:$AZ$41,$BH41),"")))</f>
        <v/>
      </c>
      <c r="U41" s="652">
        <f>IF($BJ41&gt;0,IF(INDEX('Final Calculation Sheet'!$T$4:$T$40,$BJ41-3)="","",INDEX('Final Calculation Sheet'!$T$4:$T$40,$BJ41-3)),IF($BI41=1,SUM('Final Calculation Sheet'!$T$4:$T$40),IF($BH41&gt;0,SUMIFS('Final Calculation Sheet'!$T$4:$T$40,$AZ$5:$AZ$41,$BH41),"")))</f>
        <v/>
      </c>
      <c r="V41" s="655">
        <f>IF($BJ41&gt;0,IF(INDEX('Final Calculation Sheet'!$U$4:$U$40,$BJ41-3)="","",INDEX('Final Calculation Sheet'!$U$4:$U$40,$BJ41-3)),IF($BI41=1,SUM('Final Calculation Sheet'!$U$4:$U$40),IF($BH41&gt;0,SUMIFS('Final Calculation Sheet'!$U$4:$U$40,$AZ$5:$AZ$41,$BH41),"")))</f>
        <v/>
      </c>
      <c r="W41" s="652">
        <f>IF($BJ41&gt;0,IF(INDEX('Final Calculation Sheet'!$V$4:$V$40,$BJ41-3)="","",INDEX('Final Calculation Sheet'!$V$4:$V$40,$BJ41-3)),IF(OR($BI41=1,$BH41&gt;0),"–",""))</f>
        <v/>
      </c>
      <c r="X41" s="652">
        <f>IF($BJ41&gt;0,IF(INDEX('Final Calculation Sheet'!$W$4:$W$40,$BJ41-3)="","",INDEX('Final Calculation Sheet'!$W$4:$W$40,$BJ41-3)),IF($BI41=1,SUM('Final Calculation Sheet'!$W$4:$W$40),IF($BH41&gt;0,SUMIFS('Final Calculation Sheet'!$W$4:$W$40,$AZ$5:$AZ$41,$BH41),"")))</f>
        <v/>
      </c>
      <c r="Y41" s="652">
        <f>IF($BJ41&gt;0,IF(INDEX('Final Calculation Sheet'!$X$4:$X$40,$BJ41-3)="","",INDEX('Final Calculation Sheet'!$X$4:$X$40,$BJ41-3)),IF($BI41=1,SUM('Final Calculation Sheet'!$X$4:$X$40),IF($BH41&gt;0,SUMIFS('Final Calculation Sheet'!$X$4:$X$40,$AZ$5:$AZ$41,$BH41),"")))</f>
        <v/>
      </c>
      <c r="Z41" s="652">
        <f>IF($BJ41&gt;0,IF(INDEX('Final Calculation Sheet'!$Y$4:$Y$40,$BJ41-3)="","",INDEX('Final Calculation Sheet'!$Y$4:$Y$40,$BJ41-3)),IF(OR($BI41=1,$BH41&gt;0),"–",""))</f>
        <v/>
      </c>
      <c r="AA41" s="652">
        <f>IF($BJ41&gt;0,IF(INDEX('Final Calculation Sheet'!$Z$4:$Z$40,$BJ41-3)="","",INDEX('Final Calculation Sheet'!$Z$4:$Z$40,$BJ41-3)),IF($BI41=1,SUM('Final Calculation Sheet'!$Z$4:$Z$40),IF($BH41&gt;0,SUMIFS('Final Calculation Sheet'!$Z$4:$Z$40,$AZ$5:$AZ$41,$BH41),"")))</f>
        <v/>
      </c>
      <c r="AB41" s="652">
        <f>IF($BJ41&gt;0,IF(INDEX('Final Calculation Sheet'!$AA$4:$AA$40,$BJ41-3)="","",INDEX('Final Calculation Sheet'!$AA$4:$AA$40,$BJ41-3)),IF($BI41=1,SUM('Final Calculation Sheet'!$AA$4:$AA$40),IF($BH41&gt;0,SUMIFS('Final Calculation Sheet'!$AA$4:$AA$40,$AZ$5:$AZ$41,$BH41),"")))</f>
        <v/>
      </c>
      <c r="AC41" s="652">
        <f>IF($BJ41&gt;0,IF(INDEX('Final Calculation Sheet'!$AB$4:$AB$40,$BJ41-3)="","",INDEX('Final Calculation Sheet'!$AB$4:$AB$40,$BJ41-3)),IF(OR($BI41=1,$BH41&gt;0),"–",""))</f>
        <v/>
      </c>
      <c r="AD41" s="652">
        <f>IF($BJ41&gt;0,IF(INDEX('Final Calculation Sheet'!$AC$4:$AC$40,$BJ41-3)="","",INDEX('Final Calculation Sheet'!$AC$4:$AC$40,$BJ41-3)),IF($BI41=1,SUM('Final Calculation Sheet'!$AC$4:$AC$40),IF($BH41&gt;0,SUMIFS('Final Calculation Sheet'!$AC$4:$AC$40,$AZ$5:$AZ$41,$BH41),"")))</f>
        <v/>
      </c>
      <c r="AE41" s="652">
        <f>IF($BJ41&gt;0,IF(INDEX('Final Calculation Sheet'!$AD$4:$AD$40,$BJ41-3)="","",INDEX('Final Calculation Sheet'!$AD$4:$AD$40,$BJ41-3)),IF($BI41=1,SUM('Final Calculation Sheet'!$AD$4:$AD$40),IF($BH41&gt;0,SUMIFS('Final Calculation Sheet'!$AD$4:$AD$40,$AZ$5:$AZ$41,$BH41),"")))</f>
        <v/>
      </c>
      <c r="AF41" s="652">
        <f>IF($BJ41&gt;0,IF(INDEX('Final Calculation Sheet'!$AE$4:$AE$40,$BJ41-3)="","",INDEX('Final Calculation Sheet'!$AE$4:$AE$40,$BJ41-3)),IF(OR($BI41=1,$BH41&gt;0),"–",""))</f>
        <v/>
      </c>
      <c r="AG41" s="656">
        <f>IF($BJ41&gt;0,IF(INDEX('Final Calculation Sheet'!$AF$4:$AF$40,$BJ41-3)="","",INDEX('Final Calculation Sheet'!$AF$4:$AF$40,$BJ41-3)),IF(OR($BI41=1,$BH41&gt;0),"–",""))</f>
        <v/>
      </c>
      <c r="AH41" s="652">
        <f>IF($BJ41&gt;0,IF(INDEX('Final Calculation Sheet'!$AG$4:$AG$40,$BJ41-3)="","",INDEX('Final Calculation Sheet'!$AG$4:$AG$40,$BJ41-3)),IF(OR($BI41=1,$BH41&gt;0),"–",""))</f>
        <v/>
      </c>
      <c r="AI41" s="657">
        <f>IF($BJ41&gt;0,IF(INDEX('Final Calculation Sheet'!$AD$4:$AD$40,$BJ41-3)="","",IF(INDEX('Final Calculation Sheet'!$AD$4:$AD$40,$BJ41-3)&lt;=0,"SETTLED","OUTSTANDING")),IF(OR($BI41=1,$BH41&gt;0),IF(IF($BI41=1,SUM('Final Calculation Sheet'!$AD$4:$AD$40),SUMIFS('Final Calculation Sheet'!$AD$4:$AD$40,$AZ$5:$AZ$41,$BH41))&lt;=0,"ALL SETTLED","OUTSTANDING"),""))</f>
        <v/>
      </c>
      <c r="AK41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/>
      </c>
      <c r="AM41">
        <f>IF($B$3="",1,IF(AND(IF(COUNTIF($AR$9:$AY$9,1)=0,TRUE,SUMPRODUCT(($AR$9:$AY$9=1)*($AR$6:$AY$6&lt;&gt;"")*ISNUMBER(SEARCH($AR$6:$AY$6,$AK41)))&gt;0),IF(COUNTIF($AR$9:$AY$9,2)=0,TRUE,SUMPRODUCT(($AR$9:$AY$9=2)*($AR$6:$AY$6&lt;&gt;"")*ISNUMBER(SEARCH($AR$6:$AY$6,$AK41)))&gt;0),IF(COUNTIF($AR$9:$AY$9,3)=0,TRUE,SUMPRODUCT(($AR$9:$AY$9=3)*($AR$6:$AY$6&lt;&gt;"")*ISNUMBER(SEARCH($AR$6:$AY$6,$AK41)))&gt;0),IF(COUNTIF($AR$9:$AY$9,4)=0,TRUE,SUMPRODUCT(($AR$9:$AY$9=4)*($AR$6:$AY$6&lt;&gt;"")*ISNUMBER(SEARCH($AR$6:$AY$6,$AK41)))&gt;0),IF(COUNTIF($AR$9:$AY$9,5)=0,TRUE,SUMPRODUCT(($AR$9:$AY$9=5)*($AR$6:$AY$6&lt;&gt;"")*ISNUMBER(SEARCH($AR$6:$AY$6,$AK41)))&gt;0),IF(COUNTIF($AR$9:$AY$9,6)=0,TRUE,SUMPRODUCT(($AR$9:$AY$9=6)*($AR$6:$AY$6&lt;&gt;"")*ISNUMBER(SEARCH($AR$6:$AY$6,$AK41)))&gt;0),IF(COUNTIF($AR$9:$AY$9,7)=0,TRUE,SUMPRODUCT(($AR$9:$AY$9=7)*($AR$6:$AY$6&lt;&gt;"")*ISNUMBER(SEARCH($AR$6:$AY$6,$AK41)))&gt;0),IF(COUNTIF($AR$9:$AY$9,8)=0,TRUE,SUMPRODUCT(($AR$9:$AY$9=8)*($AR$6:$AY$6&lt;&gt;"")*ISNUMBER(SEARCH($AR$6:$AY$6,$AK41)))&gt;0)),1,0))</f>
        <v/>
      </c>
      <c r="AZ41">
        <f>IF($B$3="",9,IF($AM41=0,10,IF(AND($AR$6&lt;&gt;"",ISNUMBER(SEARCH($AR$6,$AK41))),1,IF(AND($AS$6&lt;&gt;"",ISNUMBER(SEARCH($AS$6,$AK41))),2,IF(AND($AT$6&lt;&gt;"",ISNUMBER(SEARCH($AT$6,$AK41))),3,IF(AND($AU$6&lt;&gt;"",ISNUMBER(SEARCH($AU$6,$AK41))),4,IF(AND($AV$6&lt;&gt;"",ISNUMBER(SEARCH($AV$6,$AK41))),5,IF(AND($AW$6&lt;&gt;"",ISNUMBER(SEARCH($AW$6,$AK41))),6,IF(AND($AX$6&lt;&gt;"",ISNUMBER(SEARCH($AX$6,$AK41))),7,IF(AND($AY$6&lt;&gt;"",ISNUMBER(SEARCH($AY$6,$AK41))),8,0))))))))))</f>
        <v/>
      </c>
      <c r="BA41">
        <f>SUMPRODUCT(($AZ$5:$AZ$41=$AZ41)*($BC$5:$BC$41&lt;$BC41))+1</f>
        <v/>
      </c>
      <c r="BB41">
        <f>IF(INDEX($BF$4:$BF$13,$AZ41)=0,0,INDEX($BE$4:$BE$13,$AZ41)+$BA41-1)</f>
        <v/>
      </c>
      <c r="BC41" t="n">
        <v>40</v>
      </c>
      <c r="BH41">
        <f>IFERROR(MATCH(41,$BF$4:$BF$13,0),0)</f>
        <v/>
      </c>
      <c r="BI41">
        <f>IF(41=$BG$4,1,0)</f>
        <v/>
      </c>
      <c r="BJ41">
        <f>IF(OR($BH41&gt;0,$BI41=1),0,IFERROR(INDEX($BC$5:$BC$41,MATCH(41,$BB$5:$BB$41,0)),0))</f>
        <v/>
      </c>
      <c r="BK41">
        <f>IF($BJ41&gt;0,IF(INDEX($AZ$5:$AZ$41,MATCH(41,$BB$5:$BB$41,0))=10,1,0),IF($BH41=10,1,0))</f>
        <v/>
      </c>
    </row>
    <row r="42" ht="15" customHeight="1">
      <c r="A42" s="649">
        <f>IF($BJ42&gt;0,INDEX($BA$5:$BA$41,MATCH(42,$BB$5:$BB$41,0)),IF(OR($BI42=1,$BH42&gt;0),"∑",""))</f>
        <v/>
      </c>
      <c r="B42" s="650">
        <f>IF($BJ42&gt;0,IF(INDEX('Final Calculation Sheet'!$F$4:$F$40,$BJ42-3)="","",INDEX('Final Calculation Sheet'!$F$4:$F$40,$BJ42-3)),"")</f>
        <v/>
      </c>
      <c r="C42" s="650">
        <f>IF($BJ42&gt;0,IF(INDEX('Final Calculation Sheet'!$G$4:$G$40,$BJ42-3)="","",INDEX('Final Calculation Sheet'!$G$4:$G$40,$BJ42-3)),IF(OR($BI42=1,$BH42&gt;0),IF($BI42=1,37,INDEX($BD$4:$BD$13,$BH42))&amp;" lot(s)",""))</f>
        <v/>
      </c>
      <c r="D42" s="651">
        <f>IF($BJ42&gt;0,IF(INDEX('Final Calculation Sheet'!$B$4:$B$40,$BJ42-3)="","",INDEX('Final Calculation Sheet'!$B$4:$B$40,$BJ42-3)),IF(OR($BI42=1,$BH42&gt;0),IF($BI42=1,"GRAND TOTAL  —  matching + remaining",IF($BH42=10,"REMAINING  —  did not match the search",IF($BH42=9,"ALL LOTS  —  nothing typed in the box","GROUP "&amp;$BH42&amp;" TOTAL  —  lots matching  "&amp;INDEX($AR$6:$AY$6,$BH42)))),""))</f>
        <v/>
      </c>
      <c r="E42" s="651">
        <f>IF($BJ42&gt;0,IF(INDEX('Final Calculation Sheet'!$D$4:$D$40,$BJ42-3)="","",INDEX('Final Calculation Sheet'!$D$4:$D$40,$BJ42-3)),IF(OR($BI42=1,$BH42&gt;0),"–",""))</f>
        <v/>
      </c>
      <c r="F42" s="651">
        <f>IF($BJ42&gt;0,IF(INDEX('Final Calculation Sheet'!$A$4:$A$40,$BJ42-3)="","",INDEX('Final Calculation Sheet'!$A$4:$A$40,$BJ42-3)),IF($BI42=1,SUM('Final Calculation Sheet'!$A$4:$A$40),IF($BH42&gt;0,SUMIFS('Final Calculation Sheet'!$A$4:$A$40,$AZ$5:$AZ$41,$BH42),"")))</f>
        <v/>
      </c>
      <c r="G42" s="651">
        <f>IF($BJ42&gt;0,IF(INDEX('Final Calculation Sheet'!$E$4:$E$40,$BJ42-3)="","",INDEX('Final Calculation Sheet'!$E$4:$E$40,$BJ42-3)),IF(OR($BI42=1,$BH42&gt;0),"–",""))</f>
        <v/>
      </c>
      <c r="H42" s="652">
        <f>IF($BJ42&gt;0,IF(INDEX('Final Calculation Sheet'!$C$4:$C$40,$BJ42-3)="","",INDEX('Final Calculation Sheet'!$C$4:$C$40,$BJ42-3)),IF(OR($BI42=1,$BH42&gt;0),"–",""))</f>
        <v/>
      </c>
      <c r="I42" s="652">
        <f>IF($BJ42&gt;0,IF(INDEX('Final Calculation Sheet'!$H$4:$H$40,$BJ42-3)="","",INDEX('Final Calculation Sheet'!$H$4:$H$40,$BJ42-3)),IF($BI42=1,SUM('Final Calculation Sheet'!$H$4:$H$40),IF($BH42&gt;0,SUMIFS('Final Calculation Sheet'!$H$4:$H$40,$AZ$5:$AZ$41,$BH42),"")))</f>
        <v/>
      </c>
      <c r="J42" s="652">
        <f>IF($BJ42&gt;0,IF(INDEX('Final Calculation Sheet'!$I$4:$I$40,$BJ42-3)="","",INDEX('Final Calculation Sheet'!$I$4:$I$40,$BJ42-3)),IF($BI42=1,SUM('Final Calculation Sheet'!$I$4:$I$40),IF($BH42&gt;0,SUMIFS('Final Calculation Sheet'!$I$4:$I$40,$AZ$5:$AZ$41,$BH42),"")))</f>
        <v/>
      </c>
      <c r="K42" s="652">
        <f>IF($BJ42&gt;0,IF(INDEX('Final Calculation Sheet'!$J$4:$J$40,$BJ42-3)="","",INDEX('Final Calculation Sheet'!$J$4:$J$40,$BJ42-3)),IF($BI42=1,SUM('Final Calculation Sheet'!$J$4:$J$40),IF($BH42&gt;0,SUMIFS('Final Calculation Sheet'!$J$4:$J$40,$AZ$5:$AZ$41,$BH42),"")))</f>
        <v/>
      </c>
      <c r="L42" s="652">
        <f>IF($BJ42&gt;0,IF(INDEX('Final Calculation Sheet'!$K$4:$K$40,$BJ42-3)="","",INDEX('Final Calculation Sheet'!$K$4:$K$40,$BJ42-3)),IF($BI42=1,SUM('Final Calculation Sheet'!$K$4:$K$40),IF($BH42&gt;0,SUMIFS('Final Calculation Sheet'!$K$4:$K$40,$AZ$5:$AZ$41,$BH42),"")))</f>
        <v/>
      </c>
      <c r="M42" s="652">
        <f>IF($BJ42&gt;0,IF(INDEX('Final Calculation Sheet'!$L$4:$L$40,$BJ42-3)="","",INDEX('Final Calculation Sheet'!$L$4:$L$40,$BJ42-3)),IF($BI42=1,SUM('Final Calculation Sheet'!$L$4:$L$40),IF($BH42&gt;0,SUMIFS('Final Calculation Sheet'!$L$4:$L$40,$AZ$5:$AZ$41,$BH42),"")))</f>
        <v/>
      </c>
      <c r="N42" s="652">
        <f>IF($BJ42&gt;0,IF(INDEX('Final Calculation Sheet'!$M$4:$M$40,$BJ42-3)="","",INDEX('Final Calculation Sheet'!$M$4:$M$40,$BJ42-3)),IF($BI42=1,SUM('Final Calculation Sheet'!$M$4:$M$40),IF($BH42&gt;0,SUMIFS('Final Calculation Sheet'!$M$4:$M$40,$AZ$5:$AZ$41,$BH42),"")))</f>
        <v/>
      </c>
      <c r="O42" s="653">
        <f>IF($BJ42&gt;0,IF(INDEX('Final Calculation Sheet'!$N$4:$N$40,$BJ42-3)="","",INDEX('Final Calculation Sheet'!$N$4:$N$40,$BJ42-3)),IF($BI42=1,SUM('Final Calculation Sheet'!$N$4:$N$40),IF($BH42&gt;0,SUMIFS('Final Calculation Sheet'!$N$4:$N$40,$AZ$5:$AZ$41,$BH42),"")))</f>
        <v/>
      </c>
      <c r="P42" s="652">
        <f>IF($BJ42&gt;0,IF(INDEX('Final Calculation Sheet'!$O$4:$O$40,$BJ42-3)="","",INDEX('Final Calculation Sheet'!$O$4:$O$40,$BJ42-3)),IF($BI42=1,SUM('Final Calculation Sheet'!$O$4:$O$40),IF($BH42&gt;0,SUMIFS('Final Calculation Sheet'!$O$4:$O$40,$AZ$5:$AZ$41,$BH42),"")))</f>
        <v/>
      </c>
      <c r="Q42" s="652">
        <f>IF($BJ42&gt;0,IF(INDEX('Final Calculation Sheet'!$P$4:$P$40,$BJ42-3)="","",INDEX('Final Calculation Sheet'!$P$4:$P$40,$BJ42-3)),IF($BI42=1,SUM('Final Calculation Sheet'!$P$4:$P$40),IF($BH42&gt;0,SUMIFS('Final Calculation Sheet'!$P$4:$P$40,$AZ$5:$AZ$41,$BH42),"")))</f>
        <v/>
      </c>
      <c r="R42" s="654">
        <f>IF($BJ42&gt;0,IF(INDEX('Final Calculation Sheet'!$Q$4:$Q$40,$BJ42-3)="","",INDEX('Final Calculation Sheet'!$Q$4:$Q$40,$BJ42-3)),IF(OR($BI42=1,$BH42&gt;0),"–",""))</f>
        <v/>
      </c>
      <c r="S42" s="652">
        <f>IF($BJ42&gt;0,IF(INDEX('Final Calculation Sheet'!$R$4:$R$40,$BJ42-3)="","",INDEX('Final Calculation Sheet'!$R$4:$R$40,$BJ42-3)),IF($BI42=1,SUM('Final Calculation Sheet'!$R$4:$R$40),IF($BH42&gt;0,SUMIFS('Final Calculation Sheet'!$R$4:$R$40,$AZ$5:$AZ$41,$BH42),"")))</f>
        <v/>
      </c>
      <c r="T42" s="652">
        <f>IF($BJ42&gt;0,IF(INDEX('Final Calculation Sheet'!$S$4:$S$40,$BJ42-3)="","",INDEX('Final Calculation Sheet'!$S$4:$S$40,$BJ42-3)),IF($BI42=1,SUM('Final Calculation Sheet'!$S$4:$S$40),IF($BH42&gt;0,SUMIFS('Final Calculation Sheet'!$S$4:$S$40,$AZ$5:$AZ$41,$BH42),"")))</f>
        <v/>
      </c>
      <c r="U42" s="652">
        <f>IF($BJ42&gt;0,IF(INDEX('Final Calculation Sheet'!$T$4:$T$40,$BJ42-3)="","",INDEX('Final Calculation Sheet'!$T$4:$T$40,$BJ42-3)),IF($BI42=1,SUM('Final Calculation Sheet'!$T$4:$T$40),IF($BH42&gt;0,SUMIFS('Final Calculation Sheet'!$T$4:$T$40,$AZ$5:$AZ$41,$BH42),"")))</f>
        <v/>
      </c>
      <c r="V42" s="655">
        <f>IF($BJ42&gt;0,IF(INDEX('Final Calculation Sheet'!$U$4:$U$40,$BJ42-3)="","",INDEX('Final Calculation Sheet'!$U$4:$U$40,$BJ42-3)),IF($BI42=1,SUM('Final Calculation Sheet'!$U$4:$U$40),IF($BH42&gt;0,SUMIFS('Final Calculation Sheet'!$U$4:$U$40,$AZ$5:$AZ$41,$BH42),"")))</f>
        <v/>
      </c>
      <c r="W42" s="652">
        <f>IF($BJ42&gt;0,IF(INDEX('Final Calculation Sheet'!$V$4:$V$40,$BJ42-3)="","",INDEX('Final Calculation Sheet'!$V$4:$V$40,$BJ42-3)),IF(OR($BI42=1,$BH42&gt;0),"–",""))</f>
        <v/>
      </c>
      <c r="X42" s="652">
        <f>IF($BJ42&gt;0,IF(INDEX('Final Calculation Sheet'!$W$4:$W$40,$BJ42-3)="","",INDEX('Final Calculation Sheet'!$W$4:$W$40,$BJ42-3)),IF($BI42=1,SUM('Final Calculation Sheet'!$W$4:$W$40),IF($BH42&gt;0,SUMIFS('Final Calculation Sheet'!$W$4:$W$40,$AZ$5:$AZ$41,$BH42),"")))</f>
        <v/>
      </c>
      <c r="Y42" s="652">
        <f>IF($BJ42&gt;0,IF(INDEX('Final Calculation Sheet'!$X$4:$X$40,$BJ42-3)="","",INDEX('Final Calculation Sheet'!$X$4:$X$40,$BJ42-3)),IF($BI42=1,SUM('Final Calculation Sheet'!$X$4:$X$40),IF($BH42&gt;0,SUMIFS('Final Calculation Sheet'!$X$4:$X$40,$AZ$5:$AZ$41,$BH42),"")))</f>
        <v/>
      </c>
      <c r="Z42" s="652">
        <f>IF($BJ42&gt;0,IF(INDEX('Final Calculation Sheet'!$Y$4:$Y$40,$BJ42-3)="","",INDEX('Final Calculation Sheet'!$Y$4:$Y$40,$BJ42-3)),IF(OR($BI42=1,$BH42&gt;0),"–",""))</f>
        <v/>
      </c>
      <c r="AA42" s="652">
        <f>IF($BJ42&gt;0,IF(INDEX('Final Calculation Sheet'!$Z$4:$Z$40,$BJ42-3)="","",INDEX('Final Calculation Sheet'!$Z$4:$Z$40,$BJ42-3)),IF($BI42=1,SUM('Final Calculation Sheet'!$Z$4:$Z$40),IF($BH42&gt;0,SUMIFS('Final Calculation Sheet'!$Z$4:$Z$40,$AZ$5:$AZ$41,$BH42),"")))</f>
        <v/>
      </c>
      <c r="AB42" s="652">
        <f>IF($BJ42&gt;0,IF(INDEX('Final Calculation Sheet'!$AA$4:$AA$40,$BJ42-3)="","",INDEX('Final Calculation Sheet'!$AA$4:$AA$40,$BJ42-3)),IF($BI42=1,SUM('Final Calculation Sheet'!$AA$4:$AA$40),IF($BH42&gt;0,SUMIFS('Final Calculation Sheet'!$AA$4:$AA$40,$AZ$5:$AZ$41,$BH42),"")))</f>
        <v/>
      </c>
      <c r="AC42" s="652">
        <f>IF($BJ42&gt;0,IF(INDEX('Final Calculation Sheet'!$AB$4:$AB$40,$BJ42-3)="","",INDEX('Final Calculation Sheet'!$AB$4:$AB$40,$BJ42-3)),IF(OR($BI42=1,$BH42&gt;0),"–",""))</f>
        <v/>
      </c>
      <c r="AD42" s="652">
        <f>IF($BJ42&gt;0,IF(INDEX('Final Calculation Sheet'!$AC$4:$AC$40,$BJ42-3)="","",INDEX('Final Calculation Sheet'!$AC$4:$AC$40,$BJ42-3)),IF($BI42=1,SUM('Final Calculation Sheet'!$AC$4:$AC$40),IF($BH42&gt;0,SUMIFS('Final Calculation Sheet'!$AC$4:$AC$40,$AZ$5:$AZ$41,$BH42),"")))</f>
        <v/>
      </c>
      <c r="AE42" s="652">
        <f>IF($BJ42&gt;0,IF(INDEX('Final Calculation Sheet'!$AD$4:$AD$40,$BJ42-3)="","",INDEX('Final Calculation Sheet'!$AD$4:$AD$40,$BJ42-3)),IF($BI42=1,SUM('Final Calculation Sheet'!$AD$4:$AD$40),IF($BH42&gt;0,SUMIFS('Final Calculation Sheet'!$AD$4:$AD$40,$AZ$5:$AZ$41,$BH42),"")))</f>
        <v/>
      </c>
      <c r="AF42" s="652">
        <f>IF($BJ42&gt;0,IF(INDEX('Final Calculation Sheet'!$AE$4:$AE$40,$BJ42-3)="","",INDEX('Final Calculation Sheet'!$AE$4:$AE$40,$BJ42-3)),IF(OR($BI42=1,$BH42&gt;0),"–",""))</f>
        <v/>
      </c>
      <c r="AG42" s="656">
        <f>IF($BJ42&gt;0,IF(INDEX('Final Calculation Sheet'!$AF$4:$AF$40,$BJ42-3)="","",INDEX('Final Calculation Sheet'!$AF$4:$AF$40,$BJ42-3)),IF(OR($BI42=1,$BH42&gt;0),"–",""))</f>
        <v/>
      </c>
      <c r="AH42" s="652">
        <f>IF($BJ42&gt;0,IF(INDEX('Final Calculation Sheet'!$AG$4:$AG$40,$BJ42-3)="","",INDEX('Final Calculation Sheet'!$AG$4:$AG$40,$BJ42-3)),IF(OR($BI42=1,$BH42&gt;0),"–",""))</f>
        <v/>
      </c>
      <c r="AI42" s="657">
        <f>IF($BJ42&gt;0,IF(INDEX('Final Calculation Sheet'!$AD$4:$AD$40,$BJ42-3)="","",IF(INDEX('Final Calculation Sheet'!$AD$4:$AD$40,$BJ42-3)&lt;=0,"SETTLED","OUTSTANDING")),IF(OR($BI42=1,$BH42&gt;0),IF(IF($BI42=1,SUM('Final Calculation Sheet'!$AD$4:$AD$40),SUMIFS('Final Calculation Sheet'!$AD$4:$AD$40,$AZ$5:$AZ$41,$BH42))&lt;=0,"ALL SETTLED","OUTSTANDING"),""))</f>
        <v/>
      </c>
      <c r="BH42">
        <f>IFERROR(MATCH(42,$BF$4:$BF$13,0),0)</f>
        <v/>
      </c>
      <c r="BI42">
        <f>IF(42=$BG$4,1,0)</f>
        <v/>
      </c>
      <c r="BJ42">
        <f>IF(OR($BH42&gt;0,$BI42=1),0,IFERROR(INDEX($BC$5:$BC$41,MATCH(42,$BB$5:$BB$41,0)),0))</f>
        <v/>
      </c>
      <c r="BK42">
        <f>IF($BJ42&gt;0,IF(INDEX($AZ$5:$AZ$41,MATCH(42,$BB$5:$BB$41,0))=10,1,0),IF($BH42=10,1,0))</f>
        <v/>
      </c>
    </row>
    <row r="43" ht="15" customHeight="1">
      <c r="A43" s="649">
        <f>IF($BJ43&gt;0,INDEX($BA$5:$BA$41,MATCH(43,$BB$5:$BB$41,0)),IF(OR($BI43=1,$BH43&gt;0),"∑",""))</f>
        <v/>
      </c>
      <c r="B43" s="650">
        <f>IF($BJ43&gt;0,IF(INDEX('Final Calculation Sheet'!$F$4:$F$40,$BJ43-3)="","",INDEX('Final Calculation Sheet'!$F$4:$F$40,$BJ43-3)),"")</f>
        <v/>
      </c>
      <c r="C43" s="650">
        <f>IF($BJ43&gt;0,IF(INDEX('Final Calculation Sheet'!$G$4:$G$40,$BJ43-3)="","",INDEX('Final Calculation Sheet'!$G$4:$G$40,$BJ43-3)),IF(OR($BI43=1,$BH43&gt;0),IF($BI43=1,37,INDEX($BD$4:$BD$13,$BH43))&amp;" lot(s)",""))</f>
        <v/>
      </c>
      <c r="D43" s="651">
        <f>IF($BJ43&gt;0,IF(INDEX('Final Calculation Sheet'!$B$4:$B$40,$BJ43-3)="","",INDEX('Final Calculation Sheet'!$B$4:$B$40,$BJ43-3)),IF(OR($BI43=1,$BH43&gt;0),IF($BI43=1,"GRAND TOTAL  —  matching + remaining",IF($BH43=10,"REMAINING  —  did not match the search",IF($BH43=9,"ALL LOTS  —  nothing typed in the box","GROUP "&amp;$BH43&amp;" TOTAL  —  lots matching  "&amp;INDEX($AR$6:$AY$6,$BH43)))),""))</f>
        <v/>
      </c>
      <c r="E43" s="651">
        <f>IF($BJ43&gt;0,IF(INDEX('Final Calculation Sheet'!$D$4:$D$40,$BJ43-3)="","",INDEX('Final Calculation Sheet'!$D$4:$D$40,$BJ43-3)),IF(OR($BI43=1,$BH43&gt;0),"–",""))</f>
        <v/>
      </c>
      <c r="F43" s="651">
        <f>IF($BJ43&gt;0,IF(INDEX('Final Calculation Sheet'!$A$4:$A$40,$BJ43-3)="","",INDEX('Final Calculation Sheet'!$A$4:$A$40,$BJ43-3)),IF($BI43=1,SUM('Final Calculation Sheet'!$A$4:$A$40),IF($BH43&gt;0,SUMIFS('Final Calculation Sheet'!$A$4:$A$40,$AZ$5:$AZ$41,$BH43),"")))</f>
        <v/>
      </c>
      <c r="G43" s="651">
        <f>IF($BJ43&gt;0,IF(INDEX('Final Calculation Sheet'!$E$4:$E$40,$BJ43-3)="","",INDEX('Final Calculation Sheet'!$E$4:$E$40,$BJ43-3)),IF(OR($BI43=1,$BH43&gt;0),"–",""))</f>
        <v/>
      </c>
      <c r="H43" s="652">
        <f>IF($BJ43&gt;0,IF(INDEX('Final Calculation Sheet'!$C$4:$C$40,$BJ43-3)="","",INDEX('Final Calculation Sheet'!$C$4:$C$40,$BJ43-3)),IF(OR($BI43=1,$BH43&gt;0),"–",""))</f>
        <v/>
      </c>
      <c r="I43" s="652">
        <f>IF($BJ43&gt;0,IF(INDEX('Final Calculation Sheet'!$H$4:$H$40,$BJ43-3)="","",INDEX('Final Calculation Sheet'!$H$4:$H$40,$BJ43-3)),IF($BI43=1,SUM('Final Calculation Sheet'!$H$4:$H$40),IF($BH43&gt;0,SUMIFS('Final Calculation Sheet'!$H$4:$H$40,$AZ$5:$AZ$41,$BH43),"")))</f>
        <v/>
      </c>
      <c r="J43" s="652">
        <f>IF($BJ43&gt;0,IF(INDEX('Final Calculation Sheet'!$I$4:$I$40,$BJ43-3)="","",INDEX('Final Calculation Sheet'!$I$4:$I$40,$BJ43-3)),IF($BI43=1,SUM('Final Calculation Sheet'!$I$4:$I$40),IF($BH43&gt;0,SUMIFS('Final Calculation Sheet'!$I$4:$I$40,$AZ$5:$AZ$41,$BH43),"")))</f>
        <v/>
      </c>
      <c r="K43" s="652">
        <f>IF($BJ43&gt;0,IF(INDEX('Final Calculation Sheet'!$J$4:$J$40,$BJ43-3)="","",INDEX('Final Calculation Sheet'!$J$4:$J$40,$BJ43-3)),IF($BI43=1,SUM('Final Calculation Sheet'!$J$4:$J$40),IF($BH43&gt;0,SUMIFS('Final Calculation Sheet'!$J$4:$J$40,$AZ$5:$AZ$41,$BH43),"")))</f>
        <v/>
      </c>
      <c r="L43" s="652">
        <f>IF($BJ43&gt;0,IF(INDEX('Final Calculation Sheet'!$K$4:$K$40,$BJ43-3)="","",INDEX('Final Calculation Sheet'!$K$4:$K$40,$BJ43-3)),IF($BI43=1,SUM('Final Calculation Sheet'!$K$4:$K$40),IF($BH43&gt;0,SUMIFS('Final Calculation Sheet'!$K$4:$K$40,$AZ$5:$AZ$41,$BH43),"")))</f>
        <v/>
      </c>
      <c r="M43" s="652">
        <f>IF($BJ43&gt;0,IF(INDEX('Final Calculation Sheet'!$L$4:$L$40,$BJ43-3)="","",INDEX('Final Calculation Sheet'!$L$4:$L$40,$BJ43-3)),IF($BI43=1,SUM('Final Calculation Sheet'!$L$4:$L$40),IF($BH43&gt;0,SUMIFS('Final Calculation Sheet'!$L$4:$L$40,$AZ$5:$AZ$41,$BH43),"")))</f>
        <v/>
      </c>
      <c r="N43" s="652">
        <f>IF($BJ43&gt;0,IF(INDEX('Final Calculation Sheet'!$M$4:$M$40,$BJ43-3)="","",INDEX('Final Calculation Sheet'!$M$4:$M$40,$BJ43-3)),IF($BI43=1,SUM('Final Calculation Sheet'!$M$4:$M$40),IF($BH43&gt;0,SUMIFS('Final Calculation Sheet'!$M$4:$M$40,$AZ$5:$AZ$41,$BH43),"")))</f>
        <v/>
      </c>
      <c r="O43" s="653">
        <f>IF($BJ43&gt;0,IF(INDEX('Final Calculation Sheet'!$N$4:$N$40,$BJ43-3)="","",INDEX('Final Calculation Sheet'!$N$4:$N$40,$BJ43-3)),IF($BI43=1,SUM('Final Calculation Sheet'!$N$4:$N$40),IF($BH43&gt;0,SUMIFS('Final Calculation Sheet'!$N$4:$N$40,$AZ$5:$AZ$41,$BH43),"")))</f>
        <v/>
      </c>
      <c r="P43" s="652">
        <f>IF($BJ43&gt;0,IF(INDEX('Final Calculation Sheet'!$O$4:$O$40,$BJ43-3)="","",INDEX('Final Calculation Sheet'!$O$4:$O$40,$BJ43-3)),IF($BI43=1,SUM('Final Calculation Sheet'!$O$4:$O$40),IF($BH43&gt;0,SUMIFS('Final Calculation Sheet'!$O$4:$O$40,$AZ$5:$AZ$41,$BH43),"")))</f>
        <v/>
      </c>
      <c r="Q43" s="652">
        <f>IF($BJ43&gt;0,IF(INDEX('Final Calculation Sheet'!$P$4:$P$40,$BJ43-3)="","",INDEX('Final Calculation Sheet'!$P$4:$P$40,$BJ43-3)),IF($BI43=1,SUM('Final Calculation Sheet'!$P$4:$P$40),IF($BH43&gt;0,SUMIFS('Final Calculation Sheet'!$P$4:$P$40,$AZ$5:$AZ$41,$BH43),"")))</f>
        <v/>
      </c>
      <c r="R43" s="654">
        <f>IF($BJ43&gt;0,IF(INDEX('Final Calculation Sheet'!$Q$4:$Q$40,$BJ43-3)="","",INDEX('Final Calculation Sheet'!$Q$4:$Q$40,$BJ43-3)),IF(OR($BI43=1,$BH43&gt;0),"–",""))</f>
        <v/>
      </c>
      <c r="S43" s="652">
        <f>IF($BJ43&gt;0,IF(INDEX('Final Calculation Sheet'!$R$4:$R$40,$BJ43-3)="","",INDEX('Final Calculation Sheet'!$R$4:$R$40,$BJ43-3)),IF($BI43=1,SUM('Final Calculation Sheet'!$R$4:$R$40),IF($BH43&gt;0,SUMIFS('Final Calculation Sheet'!$R$4:$R$40,$AZ$5:$AZ$41,$BH43),"")))</f>
        <v/>
      </c>
      <c r="T43" s="652">
        <f>IF($BJ43&gt;0,IF(INDEX('Final Calculation Sheet'!$S$4:$S$40,$BJ43-3)="","",INDEX('Final Calculation Sheet'!$S$4:$S$40,$BJ43-3)),IF($BI43=1,SUM('Final Calculation Sheet'!$S$4:$S$40),IF($BH43&gt;0,SUMIFS('Final Calculation Sheet'!$S$4:$S$40,$AZ$5:$AZ$41,$BH43),"")))</f>
        <v/>
      </c>
      <c r="U43" s="652">
        <f>IF($BJ43&gt;0,IF(INDEX('Final Calculation Sheet'!$T$4:$T$40,$BJ43-3)="","",INDEX('Final Calculation Sheet'!$T$4:$T$40,$BJ43-3)),IF($BI43=1,SUM('Final Calculation Sheet'!$T$4:$T$40),IF($BH43&gt;0,SUMIFS('Final Calculation Sheet'!$T$4:$T$40,$AZ$5:$AZ$41,$BH43),"")))</f>
        <v/>
      </c>
      <c r="V43" s="655">
        <f>IF($BJ43&gt;0,IF(INDEX('Final Calculation Sheet'!$U$4:$U$40,$BJ43-3)="","",INDEX('Final Calculation Sheet'!$U$4:$U$40,$BJ43-3)),IF($BI43=1,SUM('Final Calculation Sheet'!$U$4:$U$40),IF($BH43&gt;0,SUMIFS('Final Calculation Sheet'!$U$4:$U$40,$AZ$5:$AZ$41,$BH43),"")))</f>
        <v/>
      </c>
      <c r="W43" s="652">
        <f>IF($BJ43&gt;0,IF(INDEX('Final Calculation Sheet'!$V$4:$V$40,$BJ43-3)="","",INDEX('Final Calculation Sheet'!$V$4:$V$40,$BJ43-3)),IF(OR($BI43=1,$BH43&gt;0),"–",""))</f>
        <v/>
      </c>
      <c r="X43" s="652">
        <f>IF($BJ43&gt;0,IF(INDEX('Final Calculation Sheet'!$W$4:$W$40,$BJ43-3)="","",INDEX('Final Calculation Sheet'!$W$4:$W$40,$BJ43-3)),IF($BI43=1,SUM('Final Calculation Sheet'!$W$4:$W$40),IF($BH43&gt;0,SUMIFS('Final Calculation Sheet'!$W$4:$W$40,$AZ$5:$AZ$41,$BH43),"")))</f>
        <v/>
      </c>
      <c r="Y43" s="652">
        <f>IF($BJ43&gt;0,IF(INDEX('Final Calculation Sheet'!$X$4:$X$40,$BJ43-3)="","",INDEX('Final Calculation Sheet'!$X$4:$X$40,$BJ43-3)),IF($BI43=1,SUM('Final Calculation Sheet'!$X$4:$X$40),IF($BH43&gt;0,SUMIFS('Final Calculation Sheet'!$X$4:$X$40,$AZ$5:$AZ$41,$BH43),"")))</f>
        <v/>
      </c>
      <c r="Z43" s="652">
        <f>IF($BJ43&gt;0,IF(INDEX('Final Calculation Sheet'!$Y$4:$Y$40,$BJ43-3)="","",INDEX('Final Calculation Sheet'!$Y$4:$Y$40,$BJ43-3)),IF(OR($BI43=1,$BH43&gt;0),"–",""))</f>
        <v/>
      </c>
      <c r="AA43" s="652">
        <f>IF($BJ43&gt;0,IF(INDEX('Final Calculation Sheet'!$Z$4:$Z$40,$BJ43-3)="","",INDEX('Final Calculation Sheet'!$Z$4:$Z$40,$BJ43-3)),IF($BI43=1,SUM('Final Calculation Sheet'!$Z$4:$Z$40),IF($BH43&gt;0,SUMIFS('Final Calculation Sheet'!$Z$4:$Z$40,$AZ$5:$AZ$41,$BH43),"")))</f>
        <v/>
      </c>
      <c r="AB43" s="652">
        <f>IF($BJ43&gt;0,IF(INDEX('Final Calculation Sheet'!$AA$4:$AA$40,$BJ43-3)="","",INDEX('Final Calculation Sheet'!$AA$4:$AA$40,$BJ43-3)),IF($BI43=1,SUM('Final Calculation Sheet'!$AA$4:$AA$40),IF($BH43&gt;0,SUMIFS('Final Calculation Sheet'!$AA$4:$AA$40,$AZ$5:$AZ$41,$BH43),"")))</f>
        <v/>
      </c>
      <c r="AC43" s="652">
        <f>IF($BJ43&gt;0,IF(INDEX('Final Calculation Sheet'!$AB$4:$AB$40,$BJ43-3)="","",INDEX('Final Calculation Sheet'!$AB$4:$AB$40,$BJ43-3)),IF(OR($BI43=1,$BH43&gt;0),"–",""))</f>
        <v/>
      </c>
      <c r="AD43" s="652">
        <f>IF($BJ43&gt;0,IF(INDEX('Final Calculation Sheet'!$AC$4:$AC$40,$BJ43-3)="","",INDEX('Final Calculation Sheet'!$AC$4:$AC$40,$BJ43-3)),IF($BI43=1,SUM('Final Calculation Sheet'!$AC$4:$AC$40),IF($BH43&gt;0,SUMIFS('Final Calculation Sheet'!$AC$4:$AC$40,$AZ$5:$AZ$41,$BH43),"")))</f>
        <v/>
      </c>
      <c r="AE43" s="652">
        <f>IF($BJ43&gt;0,IF(INDEX('Final Calculation Sheet'!$AD$4:$AD$40,$BJ43-3)="","",INDEX('Final Calculation Sheet'!$AD$4:$AD$40,$BJ43-3)),IF($BI43=1,SUM('Final Calculation Sheet'!$AD$4:$AD$40),IF($BH43&gt;0,SUMIFS('Final Calculation Sheet'!$AD$4:$AD$40,$AZ$5:$AZ$41,$BH43),"")))</f>
        <v/>
      </c>
      <c r="AF43" s="652">
        <f>IF($BJ43&gt;0,IF(INDEX('Final Calculation Sheet'!$AE$4:$AE$40,$BJ43-3)="","",INDEX('Final Calculation Sheet'!$AE$4:$AE$40,$BJ43-3)),IF(OR($BI43=1,$BH43&gt;0),"–",""))</f>
        <v/>
      </c>
      <c r="AG43" s="656">
        <f>IF($BJ43&gt;0,IF(INDEX('Final Calculation Sheet'!$AF$4:$AF$40,$BJ43-3)="","",INDEX('Final Calculation Sheet'!$AF$4:$AF$40,$BJ43-3)),IF(OR($BI43=1,$BH43&gt;0),"–",""))</f>
        <v/>
      </c>
      <c r="AH43" s="652">
        <f>IF($BJ43&gt;0,IF(INDEX('Final Calculation Sheet'!$AG$4:$AG$40,$BJ43-3)="","",INDEX('Final Calculation Sheet'!$AG$4:$AG$40,$BJ43-3)),IF(OR($BI43=1,$BH43&gt;0),"–",""))</f>
        <v/>
      </c>
      <c r="AI43" s="657">
        <f>IF($BJ43&gt;0,IF(INDEX('Final Calculation Sheet'!$AD$4:$AD$40,$BJ43-3)="","",IF(INDEX('Final Calculation Sheet'!$AD$4:$AD$40,$BJ43-3)&lt;=0,"SETTLED","OUTSTANDING")),IF(OR($BI43=1,$BH43&gt;0),IF(IF($BI43=1,SUM('Final Calculation Sheet'!$AD$4:$AD$40),SUMIFS('Final Calculation Sheet'!$AD$4:$AD$40,$AZ$5:$AZ$41,$BH43))&lt;=0,"ALL SETTLED","OUTSTANDING"),""))</f>
        <v/>
      </c>
      <c r="BH43">
        <f>IFERROR(MATCH(43,$BF$4:$BF$13,0),0)</f>
        <v/>
      </c>
      <c r="BI43">
        <f>IF(43=$BG$4,1,0)</f>
        <v/>
      </c>
      <c r="BJ43">
        <f>IF(OR($BH43&gt;0,$BI43=1),0,IFERROR(INDEX($BC$5:$BC$41,MATCH(43,$BB$5:$BB$41,0)),0))</f>
        <v/>
      </c>
      <c r="BK43">
        <f>IF($BJ43&gt;0,IF(INDEX($AZ$5:$AZ$41,MATCH(43,$BB$5:$BB$41,0))=10,1,0),IF($BH43=10,1,0))</f>
        <v/>
      </c>
    </row>
    <row r="44" ht="15" customHeight="1">
      <c r="A44" s="649">
        <f>IF($BJ44&gt;0,INDEX($BA$5:$BA$41,MATCH(44,$BB$5:$BB$41,0)),IF(OR($BI44=1,$BH44&gt;0),"∑",""))</f>
        <v/>
      </c>
      <c r="B44" s="650">
        <f>IF($BJ44&gt;0,IF(INDEX('Final Calculation Sheet'!$F$4:$F$40,$BJ44-3)="","",INDEX('Final Calculation Sheet'!$F$4:$F$40,$BJ44-3)),"")</f>
        <v/>
      </c>
      <c r="C44" s="650">
        <f>IF($BJ44&gt;0,IF(INDEX('Final Calculation Sheet'!$G$4:$G$40,$BJ44-3)="","",INDEX('Final Calculation Sheet'!$G$4:$G$40,$BJ44-3)),IF(OR($BI44=1,$BH44&gt;0),IF($BI44=1,37,INDEX($BD$4:$BD$13,$BH44))&amp;" lot(s)",""))</f>
        <v/>
      </c>
      <c r="D44" s="651">
        <f>IF($BJ44&gt;0,IF(INDEX('Final Calculation Sheet'!$B$4:$B$40,$BJ44-3)="","",INDEX('Final Calculation Sheet'!$B$4:$B$40,$BJ44-3)),IF(OR($BI44=1,$BH44&gt;0),IF($BI44=1,"GRAND TOTAL  —  matching + remaining",IF($BH44=10,"REMAINING  —  did not match the search",IF($BH44=9,"ALL LOTS  —  nothing typed in the box","GROUP "&amp;$BH44&amp;" TOTAL  —  lots matching  "&amp;INDEX($AR$6:$AY$6,$BH44)))),""))</f>
        <v/>
      </c>
      <c r="E44" s="651">
        <f>IF($BJ44&gt;0,IF(INDEX('Final Calculation Sheet'!$D$4:$D$40,$BJ44-3)="","",INDEX('Final Calculation Sheet'!$D$4:$D$40,$BJ44-3)),IF(OR($BI44=1,$BH44&gt;0),"–",""))</f>
        <v/>
      </c>
      <c r="F44" s="651">
        <f>IF($BJ44&gt;0,IF(INDEX('Final Calculation Sheet'!$A$4:$A$40,$BJ44-3)="","",INDEX('Final Calculation Sheet'!$A$4:$A$40,$BJ44-3)),IF($BI44=1,SUM('Final Calculation Sheet'!$A$4:$A$40),IF($BH44&gt;0,SUMIFS('Final Calculation Sheet'!$A$4:$A$40,$AZ$5:$AZ$41,$BH44),"")))</f>
        <v/>
      </c>
      <c r="G44" s="651">
        <f>IF($BJ44&gt;0,IF(INDEX('Final Calculation Sheet'!$E$4:$E$40,$BJ44-3)="","",INDEX('Final Calculation Sheet'!$E$4:$E$40,$BJ44-3)),IF(OR($BI44=1,$BH44&gt;0),"–",""))</f>
        <v/>
      </c>
      <c r="H44" s="652">
        <f>IF($BJ44&gt;0,IF(INDEX('Final Calculation Sheet'!$C$4:$C$40,$BJ44-3)="","",INDEX('Final Calculation Sheet'!$C$4:$C$40,$BJ44-3)),IF(OR($BI44=1,$BH44&gt;0),"–",""))</f>
        <v/>
      </c>
      <c r="I44" s="652">
        <f>IF($BJ44&gt;0,IF(INDEX('Final Calculation Sheet'!$H$4:$H$40,$BJ44-3)="","",INDEX('Final Calculation Sheet'!$H$4:$H$40,$BJ44-3)),IF($BI44=1,SUM('Final Calculation Sheet'!$H$4:$H$40),IF($BH44&gt;0,SUMIFS('Final Calculation Sheet'!$H$4:$H$40,$AZ$5:$AZ$41,$BH44),"")))</f>
        <v/>
      </c>
      <c r="J44" s="652">
        <f>IF($BJ44&gt;0,IF(INDEX('Final Calculation Sheet'!$I$4:$I$40,$BJ44-3)="","",INDEX('Final Calculation Sheet'!$I$4:$I$40,$BJ44-3)),IF($BI44=1,SUM('Final Calculation Sheet'!$I$4:$I$40),IF($BH44&gt;0,SUMIFS('Final Calculation Sheet'!$I$4:$I$40,$AZ$5:$AZ$41,$BH44),"")))</f>
        <v/>
      </c>
      <c r="K44" s="652">
        <f>IF($BJ44&gt;0,IF(INDEX('Final Calculation Sheet'!$J$4:$J$40,$BJ44-3)="","",INDEX('Final Calculation Sheet'!$J$4:$J$40,$BJ44-3)),IF($BI44=1,SUM('Final Calculation Sheet'!$J$4:$J$40),IF($BH44&gt;0,SUMIFS('Final Calculation Sheet'!$J$4:$J$40,$AZ$5:$AZ$41,$BH44),"")))</f>
        <v/>
      </c>
      <c r="L44" s="652">
        <f>IF($BJ44&gt;0,IF(INDEX('Final Calculation Sheet'!$K$4:$K$40,$BJ44-3)="","",INDEX('Final Calculation Sheet'!$K$4:$K$40,$BJ44-3)),IF($BI44=1,SUM('Final Calculation Sheet'!$K$4:$K$40),IF($BH44&gt;0,SUMIFS('Final Calculation Sheet'!$K$4:$K$40,$AZ$5:$AZ$41,$BH44),"")))</f>
        <v/>
      </c>
      <c r="M44" s="652">
        <f>IF($BJ44&gt;0,IF(INDEX('Final Calculation Sheet'!$L$4:$L$40,$BJ44-3)="","",INDEX('Final Calculation Sheet'!$L$4:$L$40,$BJ44-3)),IF($BI44=1,SUM('Final Calculation Sheet'!$L$4:$L$40),IF($BH44&gt;0,SUMIFS('Final Calculation Sheet'!$L$4:$L$40,$AZ$5:$AZ$41,$BH44),"")))</f>
        <v/>
      </c>
      <c r="N44" s="652">
        <f>IF($BJ44&gt;0,IF(INDEX('Final Calculation Sheet'!$M$4:$M$40,$BJ44-3)="","",INDEX('Final Calculation Sheet'!$M$4:$M$40,$BJ44-3)),IF($BI44=1,SUM('Final Calculation Sheet'!$M$4:$M$40),IF($BH44&gt;0,SUMIFS('Final Calculation Sheet'!$M$4:$M$40,$AZ$5:$AZ$41,$BH44),"")))</f>
        <v/>
      </c>
      <c r="O44" s="653">
        <f>IF($BJ44&gt;0,IF(INDEX('Final Calculation Sheet'!$N$4:$N$40,$BJ44-3)="","",INDEX('Final Calculation Sheet'!$N$4:$N$40,$BJ44-3)),IF($BI44=1,SUM('Final Calculation Sheet'!$N$4:$N$40),IF($BH44&gt;0,SUMIFS('Final Calculation Sheet'!$N$4:$N$40,$AZ$5:$AZ$41,$BH44),"")))</f>
        <v/>
      </c>
      <c r="P44" s="652">
        <f>IF($BJ44&gt;0,IF(INDEX('Final Calculation Sheet'!$O$4:$O$40,$BJ44-3)="","",INDEX('Final Calculation Sheet'!$O$4:$O$40,$BJ44-3)),IF($BI44=1,SUM('Final Calculation Sheet'!$O$4:$O$40),IF($BH44&gt;0,SUMIFS('Final Calculation Sheet'!$O$4:$O$40,$AZ$5:$AZ$41,$BH44),"")))</f>
        <v/>
      </c>
      <c r="Q44" s="652">
        <f>IF($BJ44&gt;0,IF(INDEX('Final Calculation Sheet'!$P$4:$P$40,$BJ44-3)="","",INDEX('Final Calculation Sheet'!$P$4:$P$40,$BJ44-3)),IF($BI44=1,SUM('Final Calculation Sheet'!$P$4:$P$40),IF($BH44&gt;0,SUMIFS('Final Calculation Sheet'!$P$4:$P$40,$AZ$5:$AZ$41,$BH44),"")))</f>
        <v/>
      </c>
      <c r="R44" s="654">
        <f>IF($BJ44&gt;0,IF(INDEX('Final Calculation Sheet'!$Q$4:$Q$40,$BJ44-3)="","",INDEX('Final Calculation Sheet'!$Q$4:$Q$40,$BJ44-3)),IF(OR($BI44=1,$BH44&gt;0),"–",""))</f>
        <v/>
      </c>
      <c r="S44" s="652">
        <f>IF($BJ44&gt;0,IF(INDEX('Final Calculation Sheet'!$R$4:$R$40,$BJ44-3)="","",INDEX('Final Calculation Sheet'!$R$4:$R$40,$BJ44-3)),IF($BI44=1,SUM('Final Calculation Sheet'!$R$4:$R$40),IF($BH44&gt;0,SUMIFS('Final Calculation Sheet'!$R$4:$R$40,$AZ$5:$AZ$41,$BH44),"")))</f>
        <v/>
      </c>
      <c r="T44" s="652">
        <f>IF($BJ44&gt;0,IF(INDEX('Final Calculation Sheet'!$S$4:$S$40,$BJ44-3)="","",INDEX('Final Calculation Sheet'!$S$4:$S$40,$BJ44-3)),IF($BI44=1,SUM('Final Calculation Sheet'!$S$4:$S$40),IF($BH44&gt;0,SUMIFS('Final Calculation Sheet'!$S$4:$S$40,$AZ$5:$AZ$41,$BH44),"")))</f>
        <v/>
      </c>
      <c r="U44" s="652">
        <f>IF($BJ44&gt;0,IF(INDEX('Final Calculation Sheet'!$T$4:$T$40,$BJ44-3)="","",INDEX('Final Calculation Sheet'!$T$4:$T$40,$BJ44-3)),IF($BI44=1,SUM('Final Calculation Sheet'!$T$4:$T$40),IF($BH44&gt;0,SUMIFS('Final Calculation Sheet'!$T$4:$T$40,$AZ$5:$AZ$41,$BH44),"")))</f>
        <v/>
      </c>
      <c r="V44" s="655">
        <f>IF($BJ44&gt;0,IF(INDEX('Final Calculation Sheet'!$U$4:$U$40,$BJ44-3)="","",INDEX('Final Calculation Sheet'!$U$4:$U$40,$BJ44-3)),IF($BI44=1,SUM('Final Calculation Sheet'!$U$4:$U$40),IF($BH44&gt;0,SUMIFS('Final Calculation Sheet'!$U$4:$U$40,$AZ$5:$AZ$41,$BH44),"")))</f>
        <v/>
      </c>
      <c r="W44" s="652">
        <f>IF($BJ44&gt;0,IF(INDEX('Final Calculation Sheet'!$V$4:$V$40,$BJ44-3)="","",INDEX('Final Calculation Sheet'!$V$4:$V$40,$BJ44-3)),IF(OR($BI44=1,$BH44&gt;0),"–",""))</f>
        <v/>
      </c>
      <c r="X44" s="652">
        <f>IF($BJ44&gt;0,IF(INDEX('Final Calculation Sheet'!$W$4:$W$40,$BJ44-3)="","",INDEX('Final Calculation Sheet'!$W$4:$W$40,$BJ44-3)),IF($BI44=1,SUM('Final Calculation Sheet'!$W$4:$W$40),IF($BH44&gt;0,SUMIFS('Final Calculation Sheet'!$W$4:$W$40,$AZ$5:$AZ$41,$BH44),"")))</f>
        <v/>
      </c>
      <c r="Y44" s="652">
        <f>IF($BJ44&gt;0,IF(INDEX('Final Calculation Sheet'!$X$4:$X$40,$BJ44-3)="","",INDEX('Final Calculation Sheet'!$X$4:$X$40,$BJ44-3)),IF($BI44=1,SUM('Final Calculation Sheet'!$X$4:$X$40),IF($BH44&gt;0,SUMIFS('Final Calculation Sheet'!$X$4:$X$40,$AZ$5:$AZ$41,$BH44),"")))</f>
        <v/>
      </c>
      <c r="Z44" s="652">
        <f>IF($BJ44&gt;0,IF(INDEX('Final Calculation Sheet'!$Y$4:$Y$40,$BJ44-3)="","",INDEX('Final Calculation Sheet'!$Y$4:$Y$40,$BJ44-3)),IF(OR($BI44=1,$BH44&gt;0),"–",""))</f>
        <v/>
      </c>
      <c r="AA44" s="652">
        <f>IF($BJ44&gt;0,IF(INDEX('Final Calculation Sheet'!$Z$4:$Z$40,$BJ44-3)="","",INDEX('Final Calculation Sheet'!$Z$4:$Z$40,$BJ44-3)),IF($BI44=1,SUM('Final Calculation Sheet'!$Z$4:$Z$40),IF($BH44&gt;0,SUMIFS('Final Calculation Sheet'!$Z$4:$Z$40,$AZ$5:$AZ$41,$BH44),"")))</f>
        <v/>
      </c>
      <c r="AB44" s="652">
        <f>IF($BJ44&gt;0,IF(INDEX('Final Calculation Sheet'!$AA$4:$AA$40,$BJ44-3)="","",INDEX('Final Calculation Sheet'!$AA$4:$AA$40,$BJ44-3)),IF($BI44=1,SUM('Final Calculation Sheet'!$AA$4:$AA$40),IF($BH44&gt;0,SUMIFS('Final Calculation Sheet'!$AA$4:$AA$40,$AZ$5:$AZ$41,$BH44),"")))</f>
        <v/>
      </c>
      <c r="AC44" s="652">
        <f>IF($BJ44&gt;0,IF(INDEX('Final Calculation Sheet'!$AB$4:$AB$40,$BJ44-3)="","",INDEX('Final Calculation Sheet'!$AB$4:$AB$40,$BJ44-3)),IF(OR($BI44=1,$BH44&gt;0),"–",""))</f>
        <v/>
      </c>
      <c r="AD44" s="652">
        <f>IF($BJ44&gt;0,IF(INDEX('Final Calculation Sheet'!$AC$4:$AC$40,$BJ44-3)="","",INDEX('Final Calculation Sheet'!$AC$4:$AC$40,$BJ44-3)),IF($BI44=1,SUM('Final Calculation Sheet'!$AC$4:$AC$40),IF($BH44&gt;0,SUMIFS('Final Calculation Sheet'!$AC$4:$AC$40,$AZ$5:$AZ$41,$BH44),"")))</f>
        <v/>
      </c>
      <c r="AE44" s="652">
        <f>IF($BJ44&gt;0,IF(INDEX('Final Calculation Sheet'!$AD$4:$AD$40,$BJ44-3)="","",INDEX('Final Calculation Sheet'!$AD$4:$AD$40,$BJ44-3)),IF($BI44=1,SUM('Final Calculation Sheet'!$AD$4:$AD$40),IF($BH44&gt;0,SUMIFS('Final Calculation Sheet'!$AD$4:$AD$40,$AZ$5:$AZ$41,$BH44),"")))</f>
        <v/>
      </c>
      <c r="AF44" s="652">
        <f>IF($BJ44&gt;0,IF(INDEX('Final Calculation Sheet'!$AE$4:$AE$40,$BJ44-3)="","",INDEX('Final Calculation Sheet'!$AE$4:$AE$40,$BJ44-3)),IF(OR($BI44=1,$BH44&gt;0),"–",""))</f>
        <v/>
      </c>
      <c r="AG44" s="656">
        <f>IF($BJ44&gt;0,IF(INDEX('Final Calculation Sheet'!$AF$4:$AF$40,$BJ44-3)="","",INDEX('Final Calculation Sheet'!$AF$4:$AF$40,$BJ44-3)),IF(OR($BI44=1,$BH44&gt;0),"–",""))</f>
        <v/>
      </c>
      <c r="AH44" s="652">
        <f>IF($BJ44&gt;0,IF(INDEX('Final Calculation Sheet'!$AG$4:$AG$40,$BJ44-3)="","",INDEX('Final Calculation Sheet'!$AG$4:$AG$40,$BJ44-3)),IF(OR($BI44=1,$BH44&gt;0),"–",""))</f>
        <v/>
      </c>
      <c r="AI44" s="657">
        <f>IF($BJ44&gt;0,IF(INDEX('Final Calculation Sheet'!$AD$4:$AD$40,$BJ44-3)="","",IF(INDEX('Final Calculation Sheet'!$AD$4:$AD$40,$BJ44-3)&lt;=0,"SETTLED","OUTSTANDING")),IF(OR($BI44=1,$BH44&gt;0),IF(IF($BI44=1,SUM('Final Calculation Sheet'!$AD$4:$AD$40),SUMIFS('Final Calculation Sheet'!$AD$4:$AD$40,$AZ$5:$AZ$41,$BH44))&lt;=0,"ALL SETTLED","OUTSTANDING"),""))</f>
        <v/>
      </c>
      <c r="BH44">
        <f>IFERROR(MATCH(44,$BF$4:$BF$13,0),0)</f>
        <v/>
      </c>
      <c r="BI44">
        <f>IF(44=$BG$4,1,0)</f>
        <v/>
      </c>
      <c r="BJ44">
        <f>IF(OR($BH44&gt;0,$BI44=1),0,IFERROR(INDEX($BC$5:$BC$41,MATCH(44,$BB$5:$BB$41,0)),0))</f>
        <v/>
      </c>
      <c r="BK44">
        <f>IF($BJ44&gt;0,IF(INDEX($AZ$5:$AZ$41,MATCH(44,$BB$5:$BB$41,0))=10,1,0),IF($BH44=10,1,0))</f>
        <v/>
      </c>
    </row>
    <row r="45" ht="15" customHeight="1">
      <c r="A45" s="649">
        <f>IF($BJ45&gt;0,INDEX($BA$5:$BA$41,MATCH(45,$BB$5:$BB$41,0)),IF(OR($BI45=1,$BH45&gt;0),"∑",""))</f>
        <v/>
      </c>
      <c r="B45" s="650">
        <f>IF($BJ45&gt;0,IF(INDEX('Final Calculation Sheet'!$F$4:$F$40,$BJ45-3)="","",INDEX('Final Calculation Sheet'!$F$4:$F$40,$BJ45-3)),"")</f>
        <v/>
      </c>
      <c r="C45" s="650">
        <f>IF($BJ45&gt;0,IF(INDEX('Final Calculation Sheet'!$G$4:$G$40,$BJ45-3)="","",INDEX('Final Calculation Sheet'!$G$4:$G$40,$BJ45-3)),IF(OR($BI45=1,$BH45&gt;0),IF($BI45=1,37,INDEX($BD$4:$BD$13,$BH45))&amp;" lot(s)",""))</f>
        <v/>
      </c>
      <c r="D45" s="651">
        <f>IF($BJ45&gt;0,IF(INDEX('Final Calculation Sheet'!$B$4:$B$40,$BJ45-3)="","",INDEX('Final Calculation Sheet'!$B$4:$B$40,$BJ45-3)),IF(OR($BI45=1,$BH45&gt;0),IF($BI45=1,"GRAND TOTAL  —  matching + remaining",IF($BH45=10,"REMAINING  —  did not match the search",IF($BH45=9,"ALL LOTS  —  nothing typed in the box","GROUP "&amp;$BH45&amp;" TOTAL  —  lots matching  "&amp;INDEX($AR$6:$AY$6,$BH45)))),""))</f>
        <v/>
      </c>
      <c r="E45" s="651">
        <f>IF($BJ45&gt;0,IF(INDEX('Final Calculation Sheet'!$D$4:$D$40,$BJ45-3)="","",INDEX('Final Calculation Sheet'!$D$4:$D$40,$BJ45-3)),IF(OR($BI45=1,$BH45&gt;0),"–",""))</f>
        <v/>
      </c>
      <c r="F45" s="651">
        <f>IF($BJ45&gt;0,IF(INDEX('Final Calculation Sheet'!$A$4:$A$40,$BJ45-3)="","",INDEX('Final Calculation Sheet'!$A$4:$A$40,$BJ45-3)),IF($BI45=1,SUM('Final Calculation Sheet'!$A$4:$A$40),IF($BH45&gt;0,SUMIFS('Final Calculation Sheet'!$A$4:$A$40,$AZ$5:$AZ$41,$BH45),"")))</f>
        <v/>
      </c>
      <c r="G45" s="651">
        <f>IF($BJ45&gt;0,IF(INDEX('Final Calculation Sheet'!$E$4:$E$40,$BJ45-3)="","",INDEX('Final Calculation Sheet'!$E$4:$E$40,$BJ45-3)),IF(OR($BI45=1,$BH45&gt;0),"–",""))</f>
        <v/>
      </c>
      <c r="H45" s="652">
        <f>IF($BJ45&gt;0,IF(INDEX('Final Calculation Sheet'!$C$4:$C$40,$BJ45-3)="","",INDEX('Final Calculation Sheet'!$C$4:$C$40,$BJ45-3)),IF(OR($BI45=1,$BH45&gt;0),"–",""))</f>
        <v/>
      </c>
      <c r="I45" s="652">
        <f>IF($BJ45&gt;0,IF(INDEX('Final Calculation Sheet'!$H$4:$H$40,$BJ45-3)="","",INDEX('Final Calculation Sheet'!$H$4:$H$40,$BJ45-3)),IF($BI45=1,SUM('Final Calculation Sheet'!$H$4:$H$40),IF($BH45&gt;0,SUMIFS('Final Calculation Sheet'!$H$4:$H$40,$AZ$5:$AZ$41,$BH45),"")))</f>
        <v/>
      </c>
      <c r="J45" s="652">
        <f>IF($BJ45&gt;0,IF(INDEX('Final Calculation Sheet'!$I$4:$I$40,$BJ45-3)="","",INDEX('Final Calculation Sheet'!$I$4:$I$40,$BJ45-3)),IF($BI45=1,SUM('Final Calculation Sheet'!$I$4:$I$40),IF($BH45&gt;0,SUMIFS('Final Calculation Sheet'!$I$4:$I$40,$AZ$5:$AZ$41,$BH45),"")))</f>
        <v/>
      </c>
      <c r="K45" s="652">
        <f>IF($BJ45&gt;0,IF(INDEX('Final Calculation Sheet'!$J$4:$J$40,$BJ45-3)="","",INDEX('Final Calculation Sheet'!$J$4:$J$40,$BJ45-3)),IF($BI45=1,SUM('Final Calculation Sheet'!$J$4:$J$40),IF($BH45&gt;0,SUMIFS('Final Calculation Sheet'!$J$4:$J$40,$AZ$5:$AZ$41,$BH45),"")))</f>
        <v/>
      </c>
      <c r="L45" s="652">
        <f>IF($BJ45&gt;0,IF(INDEX('Final Calculation Sheet'!$K$4:$K$40,$BJ45-3)="","",INDEX('Final Calculation Sheet'!$K$4:$K$40,$BJ45-3)),IF($BI45=1,SUM('Final Calculation Sheet'!$K$4:$K$40),IF($BH45&gt;0,SUMIFS('Final Calculation Sheet'!$K$4:$K$40,$AZ$5:$AZ$41,$BH45),"")))</f>
        <v/>
      </c>
      <c r="M45" s="652">
        <f>IF($BJ45&gt;0,IF(INDEX('Final Calculation Sheet'!$L$4:$L$40,$BJ45-3)="","",INDEX('Final Calculation Sheet'!$L$4:$L$40,$BJ45-3)),IF($BI45=1,SUM('Final Calculation Sheet'!$L$4:$L$40),IF($BH45&gt;0,SUMIFS('Final Calculation Sheet'!$L$4:$L$40,$AZ$5:$AZ$41,$BH45),"")))</f>
        <v/>
      </c>
      <c r="N45" s="652">
        <f>IF($BJ45&gt;0,IF(INDEX('Final Calculation Sheet'!$M$4:$M$40,$BJ45-3)="","",INDEX('Final Calculation Sheet'!$M$4:$M$40,$BJ45-3)),IF($BI45=1,SUM('Final Calculation Sheet'!$M$4:$M$40),IF($BH45&gt;0,SUMIFS('Final Calculation Sheet'!$M$4:$M$40,$AZ$5:$AZ$41,$BH45),"")))</f>
        <v/>
      </c>
      <c r="O45" s="653">
        <f>IF($BJ45&gt;0,IF(INDEX('Final Calculation Sheet'!$N$4:$N$40,$BJ45-3)="","",INDEX('Final Calculation Sheet'!$N$4:$N$40,$BJ45-3)),IF($BI45=1,SUM('Final Calculation Sheet'!$N$4:$N$40),IF($BH45&gt;0,SUMIFS('Final Calculation Sheet'!$N$4:$N$40,$AZ$5:$AZ$41,$BH45),"")))</f>
        <v/>
      </c>
      <c r="P45" s="652">
        <f>IF($BJ45&gt;0,IF(INDEX('Final Calculation Sheet'!$O$4:$O$40,$BJ45-3)="","",INDEX('Final Calculation Sheet'!$O$4:$O$40,$BJ45-3)),IF($BI45=1,SUM('Final Calculation Sheet'!$O$4:$O$40),IF($BH45&gt;0,SUMIFS('Final Calculation Sheet'!$O$4:$O$40,$AZ$5:$AZ$41,$BH45),"")))</f>
        <v/>
      </c>
      <c r="Q45" s="652">
        <f>IF($BJ45&gt;0,IF(INDEX('Final Calculation Sheet'!$P$4:$P$40,$BJ45-3)="","",INDEX('Final Calculation Sheet'!$P$4:$P$40,$BJ45-3)),IF($BI45=1,SUM('Final Calculation Sheet'!$P$4:$P$40),IF($BH45&gt;0,SUMIFS('Final Calculation Sheet'!$P$4:$P$40,$AZ$5:$AZ$41,$BH45),"")))</f>
        <v/>
      </c>
      <c r="R45" s="654">
        <f>IF($BJ45&gt;0,IF(INDEX('Final Calculation Sheet'!$Q$4:$Q$40,$BJ45-3)="","",INDEX('Final Calculation Sheet'!$Q$4:$Q$40,$BJ45-3)),IF(OR($BI45=1,$BH45&gt;0),"–",""))</f>
        <v/>
      </c>
      <c r="S45" s="652">
        <f>IF($BJ45&gt;0,IF(INDEX('Final Calculation Sheet'!$R$4:$R$40,$BJ45-3)="","",INDEX('Final Calculation Sheet'!$R$4:$R$40,$BJ45-3)),IF($BI45=1,SUM('Final Calculation Sheet'!$R$4:$R$40),IF($BH45&gt;0,SUMIFS('Final Calculation Sheet'!$R$4:$R$40,$AZ$5:$AZ$41,$BH45),"")))</f>
        <v/>
      </c>
      <c r="T45" s="652">
        <f>IF($BJ45&gt;0,IF(INDEX('Final Calculation Sheet'!$S$4:$S$40,$BJ45-3)="","",INDEX('Final Calculation Sheet'!$S$4:$S$40,$BJ45-3)),IF($BI45=1,SUM('Final Calculation Sheet'!$S$4:$S$40),IF($BH45&gt;0,SUMIFS('Final Calculation Sheet'!$S$4:$S$40,$AZ$5:$AZ$41,$BH45),"")))</f>
        <v/>
      </c>
      <c r="U45" s="652">
        <f>IF($BJ45&gt;0,IF(INDEX('Final Calculation Sheet'!$T$4:$T$40,$BJ45-3)="","",INDEX('Final Calculation Sheet'!$T$4:$T$40,$BJ45-3)),IF($BI45=1,SUM('Final Calculation Sheet'!$T$4:$T$40),IF($BH45&gt;0,SUMIFS('Final Calculation Sheet'!$T$4:$T$40,$AZ$5:$AZ$41,$BH45),"")))</f>
        <v/>
      </c>
      <c r="V45" s="655">
        <f>IF($BJ45&gt;0,IF(INDEX('Final Calculation Sheet'!$U$4:$U$40,$BJ45-3)="","",INDEX('Final Calculation Sheet'!$U$4:$U$40,$BJ45-3)),IF($BI45=1,SUM('Final Calculation Sheet'!$U$4:$U$40),IF($BH45&gt;0,SUMIFS('Final Calculation Sheet'!$U$4:$U$40,$AZ$5:$AZ$41,$BH45),"")))</f>
        <v/>
      </c>
      <c r="W45" s="652">
        <f>IF($BJ45&gt;0,IF(INDEX('Final Calculation Sheet'!$V$4:$V$40,$BJ45-3)="","",INDEX('Final Calculation Sheet'!$V$4:$V$40,$BJ45-3)),IF(OR($BI45=1,$BH45&gt;0),"–",""))</f>
        <v/>
      </c>
      <c r="X45" s="652">
        <f>IF($BJ45&gt;0,IF(INDEX('Final Calculation Sheet'!$W$4:$W$40,$BJ45-3)="","",INDEX('Final Calculation Sheet'!$W$4:$W$40,$BJ45-3)),IF($BI45=1,SUM('Final Calculation Sheet'!$W$4:$W$40),IF($BH45&gt;0,SUMIFS('Final Calculation Sheet'!$W$4:$W$40,$AZ$5:$AZ$41,$BH45),"")))</f>
        <v/>
      </c>
      <c r="Y45" s="652">
        <f>IF($BJ45&gt;0,IF(INDEX('Final Calculation Sheet'!$X$4:$X$40,$BJ45-3)="","",INDEX('Final Calculation Sheet'!$X$4:$X$40,$BJ45-3)),IF($BI45=1,SUM('Final Calculation Sheet'!$X$4:$X$40),IF($BH45&gt;0,SUMIFS('Final Calculation Sheet'!$X$4:$X$40,$AZ$5:$AZ$41,$BH45),"")))</f>
        <v/>
      </c>
      <c r="Z45" s="652">
        <f>IF($BJ45&gt;0,IF(INDEX('Final Calculation Sheet'!$Y$4:$Y$40,$BJ45-3)="","",INDEX('Final Calculation Sheet'!$Y$4:$Y$40,$BJ45-3)),IF(OR($BI45=1,$BH45&gt;0),"–",""))</f>
        <v/>
      </c>
      <c r="AA45" s="652">
        <f>IF($BJ45&gt;0,IF(INDEX('Final Calculation Sheet'!$Z$4:$Z$40,$BJ45-3)="","",INDEX('Final Calculation Sheet'!$Z$4:$Z$40,$BJ45-3)),IF($BI45=1,SUM('Final Calculation Sheet'!$Z$4:$Z$40),IF($BH45&gt;0,SUMIFS('Final Calculation Sheet'!$Z$4:$Z$40,$AZ$5:$AZ$41,$BH45),"")))</f>
        <v/>
      </c>
      <c r="AB45" s="652">
        <f>IF($BJ45&gt;0,IF(INDEX('Final Calculation Sheet'!$AA$4:$AA$40,$BJ45-3)="","",INDEX('Final Calculation Sheet'!$AA$4:$AA$40,$BJ45-3)),IF($BI45=1,SUM('Final Calculation Sheet'!$AA$4:$AA$40),IF($BH45&gt;0,SUMIFS('Final Calculation Sheet'!$AA$4:$AA$40,$AZ$5:$AZ$41,$BH45),"")))</f>
        <v/>
      </c>
      <c r="AC45" s="652">
        <f>IF($BJ45&gt;0,IF(INDEX('Final Calculation Sheet'!$AB$4:$AB$40,$BJ45-3)="","",INDEX('Final Calculation Sheet'!$AB$4:$AB$40,$BJ45-3)),IF(OR($BI45=1,$BH45&gt;0),"–",""))</f>
        <v/>
      </c>
      <c r="AD45" s="652">
        <f>IF($BJ45&gt;0,IF(INDEX('Final Calculation Sheet'!$AC$4:$AC$40,$BJ45-3)="","",INDEX('Final Calculation Sheet'!$AC$4:$AC$40,$BJ45-3)),IF($BI45=1,SUM('Final Calculation Sheet'!$AC$4:$AC$40),IF($BH45&gt;0,SUMIFS('Final Calculation Sheet'!$AC$4:$AC$40,$AZ$5:$AZ$41,$BH45),"")))</f>
        <v/>
      </c>
      <c r="AE45" s="652">
        <f>IF($BJ45&gt;0,IF(INDEX('Final Calculation Sheet'!$AD$4:$AD$40,$BJ45-3)="","",INDEX('Final Calculation Sheet'!$AD$4:$AD$40,$BJ45-3)),IF($BI45=1,SUM('Final Calculation Sheet'!$AD$4:$AD$40),IF($BH45&gt;0,SUMIFS('Final Calculation Sheet'!$AD$4:$AD$40,$AZ$5:$AZ$41,$BH45),"")))</f>
        <v/>
      </c>
      <c r="AF45" s="652">
        <f>IF($BJ45&gt;0,IF(INDEX('Final Calculation Sheet'!$AE$4:$AE$40,$BJ45-3)="","",INDEX('Final Calculation Sheet'!$AE$4:$AE$40,$BJ45-3)),IF(OR($BI45=1,$BH45&gt;0),"–",""))</f>
        <v/>
      </c>
      <c r="AG45" s="656">
        <f>IF($BJ45&gt;0,IF(INDEX('Final Calculation Sheet'!$AF$4:$AF$40,$BJ45-3)="","",INDEX('Final Calculation Sheet'!$AF$4:$AF$40,$BJ45-3)),IF(OR($BI45=1,$BH45&gt;0),"–",""))</f>
        <v/>
      </c>
      <c r="AH45" s="652">
        <f>IF($BJ45&gt;0,IF(INDEX('Final Calculation Sheet'!$AG$4:$AG$40,$BJ45-3)="","",INDEX('Final Calculation Sheet'!$AG$4:$AG$40,$BJ45-3)),IF(OR($BI45=1,$BH45&gt;0),"–",""))</f>
        <v/>
      </c>
      <c r="AI45" s="657">
        <f>IF($BJ45&gt;0,IF(INDEX('Final Calculation Sheet'!$AD$4:$AD$40,$BJ45-3)="","",IF(INDEX('Final Calculation Sheet'!$AD$4:$AD$40,$BJ45-3)&lt;=0,"SETTLED","OUTSTANDING")),IF(OR($BI45=1,$BH45&gt;0),IF(IF($BI45=1,SUM('Final Calculation Sheet'!$AD$4:$AD$40),SUMIFS('Final Calculation Sheet'!$AD$4:$AD$40,$AZ$5:$AZ$41,$BH45))&lt;=0,"ALL SETTLED","OUTSTANDING"),""))</f>
        <v/>
      </c>
      <c r="BH45">
        <f>IFERROR(MATCH(45,$BF$4:$BF$13,0),0)</f>
        <v/>
      </c>
      <c r="BI45">
        <f>IF(45=$BG$4,1,0)</f>
        <v/>
      </c>
      <c r="BJ45">
        <f>IF(OR($BH45&gt;0,$BI45=1),0,IFERROR(INDEX($BC$5:$BC$41,MATCH(45,$BB$5:$BB$41,0)),0))</f>
        <v/>
      </c>
      <c r="BK45">
        <f>IF($BJ45&gt;0,IF(INDEX($AZ$5:$AZ$41,MATCH(45,$BB$5:$BB$41,0))=10,1,0),IF($BH45=10,1,0))</f>
        <v/>
      </c>
    </row>
    <row r="46" ht="15" customHeight="1">
      <c r="A46" s="649">
        <f>IF($BJ46&gt;0,INDEX($BA$5:$BA$41,MATCH(46,$BB$5:$BB$41,0)),IF(OR($BI46=1,$BH46&gt;0),"∑",""))</f>
        <v/>
      </c>
      <c r="B46" s="650">
        <f>IF($BJ46&gt;0,IF(INDEX('Final Calculation Sheet'!$F$4:$F$40,$BJ46-3)="","",INDEX('Final Calculation Sheet'!$F$4:$F$40,$BJ46-3)),"")</f>
        <v/>
      </c>
      <c r="C46" s="650">
        <f>IF($BJ46&gt;0,IF(INDEX('Final Calculation Sheet'!$G$4:$G$40,$BJ46-3)="","",INDEX('Final Calculation Sheet'!$G$4:$G$40,$BJ46-3)),IF(OR($BI46=1,$BH46&gt;0),IF($BI46=1,37,INDEX($BD$4:$BD$13,$BH46))&amp;" lot(s)",""))</f>
        <v/>
      </c>
      <c r="D46" s="651">
        <f>IF($BJ46&gt;0,IF(INDEX('Final Calculation Sheet'!$B$4:$B$40,$BJ46-3)="","",INDEX('Final Calculation Sheet'!$B$4:$B$40,$BJ46-3)),IF(OR($BI46=1,$BH46&gt;0),IF($BI46=1,"GRAND TOTAL  —  matching + remaining",IF($BH46=10,"REMAINING  —  did not match the search",IF($BH46=9,"ALL LOTS  —  nothing typed in the box","GROUP "&amp;$BH46&amp;" TOTAL  —  lots matching  "&amp;INDEX($AR$6:$AY$6,$BH46)))),""))</f>
        <v/>
      </c>
      <c r="E46" s="651">
        <f>IF($BJ46&gt;0,IF(INDEX('Final Calculation Sheet'!$D$4:$D$40,$BJ46-3)="","",INDEX('Final Calculation Sheet'!$D$4:$D$40,$BJ46-3)),IF(OR($BI46=1,$BH46&gt;0),"–",""))</f>
        <v/>
      </c>
      <c r="F46" s="651">
        <f>IF($BJ46&gt;0,IF(INDEX('Final Calculation Sheet'!$A$4:$A$40,$BJ46-3)="","",INDEX('Final Calculation Sheet'!$A$4:$A$40,$BJ46-3)),IF($BI46=1,SUM('Final Calculation Sheet'!$A$4:$A$40),IF($BH46&gt;0,SUMIFS('Final Calculation Sheet'!$A$4:$A$40,$AZ$5:$AZ$41,$BH46),"")))</f>
        <v/>
      </c>
      <c r="G46" s="651">
        <f>IF($BJ46&gt;0,IF(INDEX('Final Calculation Sheet'!$E$4:$E$40,$BJ46-3)="","",INDEX('Final Calculation Sheet'!$E$4:$E$40,$BJ46-3)),IF(OR($BI46=1,$BH46&gt;0),"–",""))</f>
        <v/>
      </c>
      <c r="H46" s="652">
        <f>IF($BJ46&gt;0,IF(INDEX('Final Calculation Sheet'!$C$4:$C$40,$BJ46-3)="","",INDEX('Final Calculation Sheet'!$C$4:$C$40,$BJ46-3)),IF(OR($BI46=1,$BH46&gt;0),"–",""))</f>
        <v/>
      </c>
      <c r="I46" s="652">
        <f>IF($BJ46&gt;0,IF(INDEX('Final Calculation Sheet'!$H$4:$H$40,$BJ46-3)="","",INDEX('Final Calculation Sheet'!$H$4:$H$40,$BJ46-3)),IF($BI46=1,SUM('Final Calculation Sheet'!$H$4:$H$40),IF($BH46&gt;0,SUMIFS('Final Calculation Sheet'!$H$4:$H$40,$AZ$5:$AZ$41,$BH46),"")))</f>
        <v/>
      </c>
      <c r="J46" s="652">
        <f>IF($BJ46&gt;0,IF(INDEX('Final Calculation Sheet'!$I$4:$I$40,$BJ46-3)="","",INDEX('Final Calculation Sheet'!$I$4:$I$40,$BJ46-3)),IF($BI46=1,SUM('Final Calculation Sheet'!$I$4:$I$40),IF($BH46&gt;0,SUMIFS('Final Calculation Sheet'!$I$4:$I$40,$AZ$5:$AZ$41,$BH46),"")))</f>
        <v/>
      </c>
      <c r="K46" s="652">
        <f>IF($BJ46&gt;0,IF(INDEX('Final Calculation Sheet'!$J$4:$J$40,$BJ46-3)="","",INDEX('Final Calculation Sheet'!$J$4:$J$40,$BJ46-3)),IF($BI46=1,SUM('Final Calculation Sheet'!$J$4:$J$40),IF($BH46&gt;0,SUMIFS('Final Calculation Sheet'!$J$4:$J$40,$AZ$5:$AZ$41,$BH46),"")))</f>
        <v/>
      </c>
      <c r="L46" s="652">
        <f>IF($BJ46&gt;0,IF(INDEX('Final Calculation Sheet'!$K$4:$K$40,$BJ46-3)="","",INDEX('Final Calculation Sheet'!$K$4:$K$40,$BJ46-3)),IF($BI46=1,SUM('Final Calculation Sheet'!$K$4:$K$40),IF($BH46&gt;0,SUMIFS('Final Calculation Sheet'!$K$4:$K$40,$AZ$5:$AZ$41,$BH46),"")))</f>
        <v/>
      </c>
      <c r="M46" s="652">
        <f>IF($BJ46&gt;0,IF(INDEX('Final Calculation Sheet'!$L$4:$L$40,$BJ46-3)="","",INDEX('Final Calculation Sheet'!$L$4:$L$40,$BJ46-3)),IF($BI46=1,SUM('Final Calculation Sheet'!$L$4:$L$40),IF($BH46&gt;0,SUMIFS('Final Calculation Sheet'!$L$4:$L$40,$AZ$5:$AZ$41,$BH46),"")))</f>
        <v/>
      </c>
      <c r="N46" s="652">
        <f>IF($BJ46&gt;0,IF(INDEX('Final Calculation Sheet'!$M$4:$M$40,$BJ46-3)="","",INDEX('Final Calculation Sheet'!$M$4:$M$40,$BJ46-3)),IF($BI46=1,SUM('Final Calculation Sheet'!$M$4:$M$40),IF($BH46&gt;0,SUMIFS('Final Calculation Sheet'!$M$4:$M$40,$AZ$5:$AZ$41,$BH46),"")))</f>
        <v/>
      </c>
      <c r="O46" s="653">
        <f>IF($BJ46&gt;0,IF(INDEX('Final Calculation Sheet'!$N$4:$N$40,$BJ46-3)="","",INDEX('Final Calculation Sheet'!$N$4:$N$40,$BJ46-3)),IF($BI46=1,SUM('Final Calculation Sheet'!$N$4:$N$40),IF($BH46&gt;0,SUMIFS('Final Calculation Sheet'!$N$4:$N$40,$AZ$5:$AZ$41,$BH46),"")))</f>
        <v/>
      </c>
      <c r="P46" s="652">
        <f>IF($BJ46&gt;0,IF(INDEX('Final Calculation Sheet'!$O$4:$O$40,$BJ46-3)="","",INDEX('Final Calculation Sheet'!$O$4:$O$40,$BJ46-3)),IF($BI46=1,SUM('Final Calculation Sheet'!$O$4:$O$40),IF($BH46&gt;0,SUMIFS('Final Calculation Sheet'!$O$4:$O$40,$AZ$5:$AZ$41,$BH46),"")))</f>
        <v/>
      </c>
      <c r="Q46" s="652">
        <f>IF($BJ46&gt;0,IF(INDEX('Final Calculation Sheet'!$P$4:$P$40,$BJ46-3)="","",INDEX('Final Calculation Sheet'!$P$4:$P$40,$BJ46-3)),IF($BI46=1,SUM('Final Calculation Sheet'!$P$4:$P$40),IF($BH46&gt;0,SUMIFS('Final Calculation Sheet'!$P$4:$P$40,$AZ$5:$AZ$41,$BH46),"")))</f>
        <v/>
      </c>
      <c r="R46" s="654">
        <f>IF($BJ46&gt;0,IF(INDEX('Final Calculation Sheet'!$Q$4:$Q$40,$BJ46-3)="","",INDEX('Final Calculation Sheet'!$Q$4:$Q$40,$BJ46-3)),IF(OR($BI46=1,$BH46&gt;0),"–",""))</f>
        <v/>
      </c>
      <c r="S46" s="652">
        <f>IF($BJ46&gt;0,IF(INDEX('Final Calculation Sheet'!$R$4:$R$40,$BJ46-3)="","",INDEX('Final Calculation Sheet'!$R$4:$R$40,$BJ46-3)),IF($BI46=1,SUM('Final Calculation Sheet'!$R$4:$R$40),IF($BH46&gt;0,SUMIFS('Final Calculation Sheet'!$R$4:$R$40,$AZ$5:$AZ$41,$BH46),"")))</f>
        <v/>
      </c>
      <c r="T46" s="652">
        <f>IF($BJ46&gt;0,IF(INDEX('Final Calculation Sheet'!$S$4:$S$40,$BJ46-3)="","",INDEX('Final Calculation Sheet'!$S$4:$S$40,$BJ46-3)),IF($BI46=1,SUM('Final Calculation Sheet'!$S$4:$S$40),IF($BH46&gt;0,SUMIFS('Final Calculation Sheet'!$S$4:$S$40,$AZ$5:$AZ$41,$BH46),"")))</f>
        <v/>
      </c>
      <c r="U46" s="652">
        <f>IF($BJ46&gt;0,IF(INDEX('Final Calculation Sheet'!$T$4:$T$40,$BJ46-3)="","",INDEX('Final Calculation Sheet'!$T$4:$T$40,$BJ46-3)),IF($BI46=1,SUM('Final Calculation Sheet'!$T$4:$T$40),IF($BH46&gt;0,SUMIFS('Final Calculation Sheet'!$T$4:$T$40,$AZ$5:$AZ$41,$BH46),"")))</f>
        <v/>
      </c>
      <c r="V46" s="655">
        <f>IF($BJ46&gt;0,IF(INDEX('Final Calculation Sheet'!$U$4:$U$40,$BJ46-3)="","",INDEX('Final Calculation Sheet'!$U$4:$U$40,$BJ46-3)),IF($BI46=1,SUM('Final Calculation Sheet'!$U$4:$U$40),IF($BH46&gt;0,SUMIFS('Final Calculation Sheet'!$U$4:$U$40,$AZ$5:$AZ$41,$BH46),"")))</f>
        <v/>
      </c>
      <c r="W46" s="652">
        <f>IF($BJ46&gt;0,IF(INDEX('Final Calculation Sheet'!$V$4:$V$40,$BJ46-3)="","",INDEX('Final Calculation Sheet'!$V$4:$V$40,$BJ46-3)),IF(OR($BI46=1,$BH46&gt;0),"–",""))</f>
        <v/>
      </c>
      <c r="X46" s="652">
        <f>IF($BJ46&gt;0,IF(INDEX('Final Calculation Sheet'!$W$4:$W$40,$BJ46-3)="","",INDEX('Final Calculation Sheet'!$W$4:$W$40,$BJ46-3)),IF($BI46=1,SUM('Final Calculation Sheet'!$W$4:$W$40),IF($BH46&gt;0,SUMIFS('Final Calculation Sheet'!$W$4:$W$40,$AZ$5:$AZ$41,$BH46),"")))</f>
        <v/>
      </c>
      <c r="Y46" s="652">
        <f>IF($BJ46&gt;0,IF(INDEX('Final Calculation Sheet'!$X$4:$X$40,$BJ46-3)="","",INDEX('Final Calculation Sheet'!$X$4:$X$40,$BJ46-3)),IF($BI46=1,SUM('Final Calculation Sheet'!$X$4:$X$40),IF($BH46&gt;0,SUMIFS('Final Calculation Sheet'!$X$4:$X$40,$AZ$5:$AZ$41,$BH46),"")))</f>
        <v/>
      </c>
      <c r="Z46" s="652">
        <f>IF($BJ46&gt;0,IF(INDEX('Final Calculation Sheet'!$Y$4:$Y$40,$BJ46-3)="","",INDEX('Final Calculation Sheet'!$Y$4:$Y$40,$BJ46-3)),IF(OR($BI46=1,$BH46&gt;0),"–",""))</f>
        <v/>
      </c>
      <c r="AA46" s="652">
        <f>IF($BJ46&gt;0,IF(INDEX('Final Calculation Sheet'!$Z$4:$Z$40,$BJ46-3)="","",INDEX('Final Calculation Sheet'!$Z$4:$Z$40,$BJ46-3)),IF($BI46=1,SUM('Final Calculation Sheet'!$Z$4:$Z$40),IF($BH46&gt;0,SUMIFS('Final Calculation Sheet'!$Z$4:$Z$40,$AZ$5:$AZ$41,$BH46),"")))</f>
        <v/>
      </c>
      <c r="AB46" s="652">
        <f>IF($BJ46&gt;0,IF(INDEX('Final Calculation Sheet'!$AA$4:$AA$40,$BJ46-3)="","",INDEX('Final Calculation Sheet'!$AA$4:$AA$40,$BJ46-3)),IF($BI46=1,SUM('Final Calculation Sheet'!$AA$4:$AA$40),IF($BH46&gt;0,SUMIFS('Final Calculation Sheet'!$AA$4:$AA$40,$AZ$5:$AZ$41,$BH46),"")))</f>
        <v/>
      </c>
      <c r="AC46" s="652">
        <f>IF($BJ46&gt;0,IF(INDEX('Final Calculation Sheet'!$AB$4:$AB$40,$BJ46-3)="","",INDEX('Final Calculation Sheet'!$AB$4:$AB$40,$BJ46-3)),IF(OR($BI46=1,$BH46&gt;0),"–",""))</f>
        <v/>
      </c>
      <c r="AD46" s="652">
        <f>IF($BJ46&gt;0,IF(INDEX('Final Calculation Sheet'!$AC$4:$AC$40,$BJ46-3)="","",INDEX('Final Calculation Sheet'!$AC$4:$AC$40,$BJ46-3)),IF($BI46=1,SUM('Final Calculation Sheet'!$AC$4:$AC$40),IF($BH46&gt;0,SUMIFS('Final Calculation Sheet'!$AC$4:$AC$40,$AZ$5:$AZ$41,$BH46),"")))</f>
        <v/>
      </c>
      <c r="AE46" s="652">
        <f>IF($BJ46&gt;0,IF(INDEX('Final Calculation Sheet'!$AD$4:$AD$40,$BJ46-3)="","",INDEX('Final Calculation Sheet'!$AD$4:$AD$40,$BJ46-3)),IF($BI46=1,SUM('Final Calculation Sheet'!$AD$4:$AD$40),IF($BH46&gt;0,SUMIFS('Final Calculation Sheet'!$AD$4:$AD$40,$AZ$5:$AZ$41,$BH46),"")))</f>
        <v/>
      </c>
      <c r="AF46" s="652">
        <f>IF($BJ46&gt;0,IF(INDEX('Final Calculation Sheet'!$AE$4:$AE$40,$BJ46-3)="","",INDEX('Final Calculation Sheet'!$AE$4:$AE$40,$BJ46-3)),IF(OR($BI46=1,$BH46&gt;0),"–",""))</f>
        <v/>
      </c>
      <c r="AG46" s="656">
        <f>IF($BJ46&gt;0,IF(INDEX('Final Calculation Sheet'!$AF$4:$AF$40,$BJ46-3)="","",INDEX('Final Calculation Sheet'!$AF$4:$AF$40,$BJ46-3)),IF(OR($BI46=1,$BH46&gt;0),"–",""))</f>
        <v/>
      </c>
      <c r="AH46" s="652">
        <f>IF($BJ46&gt;0,IF(INDEX('Final Calculation Sheet'!$AG$4:$AG$40,$BJ46-3)="","",INDEX('Final Calculation Sheet'!$AG$4:$AG$40,$BJ46-3)),IF(OR($BI46=1,$BH46&gt;0),"–",""))</f>
        <v/>
      </c>
      <c r="AI46" s="657">
        <f>IF($BJ46&gt;0,IF(INDEX('Final Calculation Sheet'!$AD$4:$AD$40,$BJ46-3)="","",IF(INDEX('Final Calculation Sheet'!$AD$4:$AD$40,$BJ46-3)&lt;=0,"SETTLED","OUTSTANDING")),IF(OR($BI46=1,$BH46&gt;0),IF(IF($BI46=1,SUM('Final Calculation Sheet'!$AD$4:$AD$40),SUMIFS('Final Calculation Sheet'!$AD$4:$AD$40,$AZ$5:$AZ$41,$BH46))&lt;=0,"ALL SETTLED","OUTSTANDING"),""))</f>
        <v/>
      </c>
      <c r="BH46">
        <f>IFERROR(MATCH(46,$BF$4:$BF$13,0),0)</f>
        <v/>
      </c>
      <c r="BI46">
        <f>IF(46=$BG$4,1,0)</f>
        <v/>
      </c>
      <c r="BJ46">
        <f>IF(OR($BH46&gt;0,$BI46=1),0,IFERROR(INDEX($BC$5:$BC$41,MATCH(46,$BB$5:$BB$41,0)),0))</f>
        <v/>
      </c>
      <c r="BK46">
        <f>IF($BJ46&gt;0,IF(INDEX($AZ$5:$AZ$41,MATCH(46,$BB$5:$BB$41,0))=10,1,0),IF($BH46=10,1,0))</f>
        <v/>
      </c>
    </row>
    <row r="47" ht="15" customHeight="1">
      <c r="A47" s="649">
        <f>IF($BJ47&gt;0,INDEX($BA$5:$BA$41,MATCH(47,$BB$5:$BB$41,0)),IF(OR($BI47=1,$BH47&gt;0),"∑",""))</f>
        <v/>
      </c>
      <c r="B47" s="650">
        <f>IF($BJ47&gt;0,IF(INDEX('Final Calculation Sheet'!$F$4:$F$40,$BJ47-3)="","",INDEX('Final Calculation Sheet'!$F$4:$F$40,$BJ47-3)),"")</f>
        <v/>
      </c>
      <c r="C47" s="650">
        <f>IF($BJ47&gt;0,IF(INDEX('Final Calculation Sheet'!$G$4:$G$40,$BJ47-3)="","",INDEX('Final Calculation Sheet'!$G$4:$G$40,$BJ47-3)),IF(OR($BI47=1,$BH47&gt;0),IF($BI47=1,37,INDEX($BD$4:$BD$13,$BH47))&amp;" lot(s)",""))</f>
        <v/>
      </c>
      <c r="D47" s="651">
        <f>IF($BJ47&gt;0,IF(INDEX('Final Calculation Sheet'!$B$4:$B$40,$BJ47-3)="","",INDEX('Final Calculation Sheet'!$B$4:$B$40,$BJ47-3)),IF(OR($BI47=1,$BH47&gt;0),IF($BI47=1,"GRAND TOTAL  —  matching + remaining",IF($BH47=10,"REMAINING  —  did not match the search",IF($BH47=9,"ALL LOTS  —  nothing typed in the box","GROUP "&amp;$BH47&amp;" TOTAL  —  lots matching  "&amp;INDEX($AR$6:$AY$6,$BH47)))),""))</f>
        <v/>
      </c>
      <c r="E47" s="651">
        <f>IF($BJ47&gt;0,IF(INDEX('Final Calculation Sheet'!$D$4:$D$40,$BJ47-3)="","",INDEX('Final Calculation Sheet'!$D$4:$D$40,$BJ47-3)),IF(OR($BI47=1,$BH47&gt;0),"–",""))</f>
        <v/>
      </c>
      <c r="F47" s="651">
        <f>IF($BJ47&gt;0,IF(INDEX('Final Calculation Sheet'!$A$4:$A$40,$BJ47-3)="","",INDEX('Final Calculation Sheet'!$A$4:$A$40,$BJ47-3)),IF($BI47=1,SUM('Final Calculation Sheet'!$A$4:$A$40),IF($BH47&gt;0,SUMIFS('Final Calculation Sheet'!$A$4:$A$40,$AZ$5:$AZ$41,$BH47),"")))</f>
        <v/>
      </c>
      <c r="G47" s="651">
        <f>IF($BJ47&gt;0,IF(INDEX('Final Calculation Sheet'!$E$4:$E$40,$BJ47-3)="","",INDEX('Final Calculation Sheet'!$E$4:$E$40,$BJ47-3)),IF(OR($BI47=1,$BH47&gt;0),"–",""))</f>
        <v/>
      </c>
      <c r="H47" s="652">
        <f>IF($BJ47&gt;0,IF(INDEX('Final Calculation Sheet'!$C$4:$C$40,$BJ47-3)="","",INDEX('Final Calculation Sheet'!$C$4:$C$40,$BJ47-3)),IF(OR($BI47=1,$BH47&gt;0),"–",""))</f>
        <v/>
      </c>
      <c r="I47" s="652">
        <f>IF($BJ47&gt;0,IF(INDEX('Final Calculation Sheet'!$H$4:$H$40,$BJ47-3)="","",INDEX('Final Calculation Sheet'!$H$4:$H$40,$BJ47-3)),IF($BI47=1,SUM('Final Calculation Sheet'!$H$4:$H$40),IF($BH47&gt;0,SUMIFS('Final Calculation Sheet'!$H$4:$H$40,$AZ$5:$AZ$41,$BH47),"")))</f>
        <v/>
      </c>
      <c r="J47" s="652">
        <f>IF($BJ47&gt;0,IF(INDEX('Final Calculation Sheet'!$I$4:$I$40,$BJ47-3)="","",INDEX('Final Calculation Sheet'!$I$4:$I$40,$BJ47-3)),IF($BI47=1,SUM('Final Calculation Sheet'!$I$4:$I$40),IF($BH47&gt;0,SUMIFS('Final Calculation Sheet'!$I$4:$I$40,$AZ$5:$AZ$41,$BH47),"")))</f>
        <v/>
      </c>
      <c r="K47" s="652">
        <f>IF($BJ47&gt;0,IF(INDEX('Final Calculation Sheet'!$J$4:$J$40,$BJ47-3)="","",INDEX('Final Calculation Sheet'!$J$4:$J$40,$BJ47-3)),IF($BI47=1,SUM('Final Calculation Sheet'!$J$4:$J$40),IF($BH47&gt;0,SUMIFS('Final Calculation Sheet'!$J$4:$J$40,$AZ$5:$AZ$41,$BH47),"")))</f>
        <v/>
      </c>
      <c r="L47" s="652">
        <f>IF($BJ47&gt;0,IF(INDEX('Final Calculation Sheet'!$K$4:$K$40,$BJ47-3)="","",INDEX('Final Calculation Sheet'!$K$4:$K$40,$BJ47-3)),IF($BI47=1,SUM('Final Calculation Sheet'!$K$4:$K$40),IF($BH47&gt;0,SUMIFS('Final Calculation Sheet'!$K$4:$K$40,$AZ$5:$AZ$41,$BH47),"")))</f>
        <v/>
      </c>
      <c r="M47" s="652">
        <f>IF($BJ47&gt;0,IF(INDEX('Final Calculation Sheet'!$L$4:$L$40,$BJ47-3)="","",INDEX('Final Calculation Sheet'!$L$4:$L$40,$BJ47-3)),IF($BI47=1,SUM('Final Calculation Sheet'!$L$4:$L$40),IF($BH47&gt;0,SUMIFS('Final Calculation Sheet'!$L$4:$L$40,$AZ$5:$AZ$41,$BH47),"")))</f>
        <v/>
      </c>
      <c r="N47" s="652">
        <f>IF($BJ47&gt;0,IF(INDEX('Final Calculation Sheet'!$M$4:$M$40,$BJ47-3)="","",INDEX('Final Calculation Sheet'!$M$4:$M$40,$BJ47-3)),IF($BI47=1,SUM('Final Calculation Sheet'!$M$4:$M$40),IF($BH47&gt;0,SUMIFS('Final Calculation Sheet'!$M$4:$M$40,$AZ$5:$AZ$41,$BH47),"")))</f>
        <v/>
      </c>
      <c r="O47" s="653">
        <f>IF($BJ47&gt;0,IF(INDEX('Final Calculation Sheet'!$N$4:$N$40,$BJ47-3)="","",INDEX('Final Calculation Sheet'!$N$4:$N$40,$BJ47-3)),IF($BI47=1,SUM('Final Calculation Sheet'!$N$4:$N$40),IF($BH47&gt;0,SUMIFS('Final Calculation Sheet'!$N$4:$N$40,$AZ$5:$AZ$41,$BH47),"")))</f>
        <v/>
      </c>
      <c r="P47" s="652">
        <f>IF($BJ47&gt;0,IF(INDEX('Final Calculation Sheet'!$O$4:$O$40,$BJ47-3)="","",INDEX('Final Calculation Sheet'!$O$4:$O$40,$BJ47-3)),IF($BI47=1,SUM('Final Calculation Sheet'!$O$4:$O$40),IF($BH47&gt;0,SUMIFS('Final Calculation Sheet'!$O$4:$O$40,$AZ$5:$AZ$41,$BH47),"")))</f>
        <v/>
      </c>
      <c r="Q47" s="652">
        <f>IF($BJ47&gt;0,IF(INDEX('Final Calculation Sheet'!$P$4:$P$40,$BJ47-3)="","",INDEX('Final Calculation Sheet'!$P$4:$P$40,$BJ47-3)),IF($BI47=1,SUM('Final Calculation Sheet'!$P$4:$P$40),IF($BH47&gt;0,SUMIFS('Final Calculation Sheet'!$P$4:$P$40,$AZ$5:$AZ$41,$BH47),"")))</f>
        <v/>
      </c>
      <c r="R47" s="654">
        <f>IF($BJ47&gt;0,IF(INDEX('Final Calculation Sheet'!$Q$4:$Q$40,$BJ47-3)="","",INDEX('Final Calculation Sheet'!$Q$4:$Q$40,$BJ47-3)),IF(OR($BI47=1,$BH47&gt;0),"–",""))</f>
        <v/>
      </c>
      <c r="S47" s="652">
        <f>IF($BJ47&gt;0,IF(INDEX('Final Calculation Sheet'!$R$4:$R$40,$BJ47-3)="","",INDEX('Final Calculation Sheet'!$R$4:$R$40,$BJ47-3)),IF($BI47=1,SUM('Final Calculation Sheet'!$R$4:$R$40),IF($BH47&gt;0,SUMIFS('Final Calculation Sheet'!$R$4:$R$40,$AZ$5:$AZ$41,$BH47),"")))</f>
        <v/>
      </c>
      <c r="T47" s="652">
        <f>IF($BJ47&gt;0,IF(INDEX('Final Calculation Sheet'!$S$4:$S$40,$BJ47-3)="","",INDEX('Final Calculation Sheet'!$S$4:$S$40,$BJ47-3)),IF($BI47=1,SUM('Final Calculation Sheet'!$S$4:$S$40),IF($BH47&gt;0,SUMIFS('Final Calculation Sheet'!$S$4:$S$40,$AZ$5:$AZ$41,$BH47),"")))</f>
        <v/>
      </c>
      <c r="U47" s="652">
        <f>IF($BJ47&gt;0,IF(INDEX('Final Calculation Sheet'!$T$4:$T$40,$BJ47-3)="","",INDEX('Final Calculation Sheet'!$T$4:$T$40,$BJ47-3)),IF($BI47=1,SUM('Final Calculation Sheet'!$T$4:$T$40),IF($BH47&gt;0,SUMIFS('Final Calculation Sheet'!$T$4:$T$40,$AZ$5:$AZ$41,$BH47),"")))</f>
        <v/>
      </c>
      <c r="V47" s="655">
        <f>IF($BJ47&gt;0,IF(INDEX('Final Calculation Sheet'!$U$4:$U$40,$BJ47-3)="","",INDEX('Final Calculation Sheet'!$U$4:$U$40,$BJ47-3)),IF($BI47=1,SUM('Final Calculation Sheet'!$U$4:$U$40),IF($BH47&gt;0,SUMIFS('Final Calculation Sheet'!$U$4:$U$40,$AZ$5:$AZ$41,$BH47),"")))</f>
        <v/>
      </c>
      <c r="W47" s="652">
        <f>IF($BJ47&gt;0,IF(INDEX('Final Calculation Sheet'!$V$4:$V$40,$BJ47-3)="","",INDEX('Final Calculation Sheet'!$V$4:$V$40,$BJ47-3)),IF(OR($BI47=1,$BH47&gt;0),"–",""))</f>
        <v/>
      </c>
      <c r="X47" s="652">
        <f>IF($BJ47&gt;0,IF(INDEX('Final Calculation Sheet'!$W$4:$W$40,$BJ47-3)="","",INDEX('Final Calculation Sheet'!$W$4:$W$40,$BJ47-3)),IF($BI47=1,SUM('Final Calculation Sheet'!$W$4:$W$40),IF($BH47&gt;0,SUMIFS('Final Calculation Sheet'!$W$4:$W$40,$AZ$5:$AZ$41,$BH47),"")))</f>
        <v/>
      </c>
      <c r="Y47" s="652">
        <f>IF($BJ47&gt;0,IF(INDEX('Final Calculation Sheet'!$X$4:$X$40,$BJ47-3)="","",INDEX('Final Calculation Sheet'!$X$4:$X$40,$BJ47-3)),IF($BI47=1,SUM('Final Calculation Sheet'!$X$4:$X$40),IF($BH47&gt;0,SUMIFS('Final Calculation Sheet'!$X$4:$X$40,$AZ$5:$AZ$41,$BH47),"")))</f>
        <v/>
      </c>
      <c r="Z47" s="652">
        <f>IF($BJ47&gt;0,IF(INDEX('Final Calculation Sheet'!$Y$4:$Y$40,$BJ47-3)="","",INDEX('Final Calculation Sheet'!$Y$4:$Y$40,$BJ47-3)),IF(OR($BI47=1,$BH47&gt;0),"–",""))</f>
        <v/>
      </c>
      <c r="AA47" s="652">
        <f>IF($BJ47&gt;0,IF(INDEX('Final Calculation Sheet'!$Z$4:$Z$40,$BJ47-3)="","",INDEX('Final Calculation Sheet'!$Z$4:$Z$40,$BJ47-3)),IF($BI47=1,SUM('Final Calculation Sheet'!$Z$4:$Z$40),IF($BH47&gt;0,SUMIFS('Final Calculation Sheet'!$Z$4:$Z$40,$AZ$5:$AZ$41,$BH47),"")))</f>
        <v/>
      </c>
      <c r="AB47" s="652">
        <f>IF($BJ47&gt;0,IF(INDEX('Final Calculation Sheet'!$AA$4:$AA$40,$BJ47-3)="","",INDEX('Final Calculation Sheet'!$AA$4:$AA$40,$BJ47-3)),IF($BI47=1,SUM('Final Calculation Sheet'!$AA$4:$AA$40),IF($BH47&gt;0,SUMIFS('Final Calculation Sheet'!$AA$4:$AA$40,$AZ$5:$AZ$41,$BH47),"")))</f>
        <v/>
      </c>
      <c r="AC47" s="652">
        <f>IF($BJ47&gt;0,IF(INDEX('Final Calculation Sheet'!$AB$4:$AB$40,$BJ47-3)="","",INDEX('Final Calculation Sheet'!$AB$4:$AB$40,$BJ47-3)),IF(OR($BI47=1,$BH47&gt;0),"–",""))</f>
        <v/>
      </c>
      <c r="AD47" s="652">
        <f>IF($BJ47&gt;0,IF(INDEX('Final Calculation Sheet'!$AC$4:$AC$40,$BJ47-3)="","",INDEX('Final Calculation Sheet'!$AC$4:$AC$40,$BJ47-3)),IF($BI47=1,SUM('Final Calculation Sheet'!$AC$4:$AC$40),IF($BH47&gt;0,SUMIFS('Final Calculation Sheet'!$AC$4:$AC$40,$AZ$5:$AZ$41,$BH47),"")))</f>
        <v/>
      </c>
      <c r="AE47" s="652">
        <f>IF($BJ47&gt;0,IF(INDEX('Final Calculation Sheet'!$AD$4:$AD$40,$BJ47-3)="","",INDEX('Final Calculation Sheet'!$AD$4:$AD$40,$BJ47-3)),IF($BI47=1,SUM('Final Calculation Sheet'!$AD$4:$AD$40),IF($BH47&gt;0,SUMIFS('Final Calculation Sheet'!$AD$4:$AD$40,$AZ$5:$AZ$41,$BH47),"")))</f>
        <v/>
      </c>
      <c r="AF47" s="652">
        <f>IF($BJ47&gt;0,IF(INDEX('Final Calculation Sheet'!$AE$4:$AE$40,$BJ47-3)="","",INDEX('Final Calculation Sheet'!$AE$4:$AE$40,$BJ47-3)),IF(OR($BI47=1,$BH47&gt;0),"–",""))</f>
        <v/>
      </c>
      <c r="AG47" s="656">
        <f>IF($BJ47&gt;0,IF(INDEX('Final Calculation Sheet'!$AF$4:$AF$40,$BJ47-3)="","",INDEX('Final Calculation Sheet'!$AF$4:$AF$40,$BJ47-3)),IF(OR($BI47=1,$BH47&gt;0),"–",""))</f>
        <v/>
      </c>
      <c r="AH47" s="652">
        <f>IF($BJ47&gt;0,IF(INDEX('Final Calculation Sheet'!$AG$4:$AG$40,$BJ47-3)="","",INDEX('Final Calculation Sheet'!$AG$4:$AG$40,$BJ47-3)),IF(OR($BI47=1,$BH47&gt;0),"–",""))</f>
        <v/>
      </c>
      <c r="AI47" s="657">
        <f>IF($BJ47&gt;0,IF(INDEX('Final Calculation Sheet'!$AD$4:$AD$40,$BJ47-3)="","",IF(INDEX('Final Calculation Sheet'!$AD$4:$AD$40,$BJ47-3)&lt;=0,"SETTLED","OUTSTANDING")),IF(OR($BI47=1,$BH47&gt;0),IF(IF($BI47=1,SUM('Final Calculation Sheet'!$AD$4:$AD$40),SUMIFS('Final Calculation Sheet'!$AD$4:$AD$40,$AZ$5:$AZ$41,$BH47))&lt;=0,"ALL SETTLED","OUTSTANDING"),""))</f>
        <v/>
      </c>
      <c r="BH47">
        <f>IFERROR(MATCH(47,$BF$4:$BF$13,0),0)</f>
        <v/>
      </c>
      <c r="BI47">
        <f>IF(47=$BG$4,1,0)</f>
        <v/>
      </c>
      <c r="BJ47">
        <f>IF(OR($BH47&gt;0,$BI47=1),0,IFERROR(INDEX($BC$5:$BC$41,MATCH(47,$BB$5:$BB$41,0)),0))</f>
        <v/>
      </c>
      <c r="BK47">
        <f>IF($BJ47&gt;0,IF(INDEX($AZ$5:$AZ$41,MATCH(47,$BB$5:$BB$41,0))=10,1,0),IF($BH47=10,1,0))</f>
        <v/>
      </c>
    </row>
    <row r="48" ht="15" customHeight="1">
      <c r="A48" s="649">
        <f>IF($BJ48&gt;0,INDEX($BA$5:$BA$41,MATCH(48,$BB$5:$BB$41,0)),IF(OR($BI48=1,$BH48&gt;0),"∑",""))</f>
        <v/>
      </c>
      <c r="B48" s="650">
        <f>IF($BJ48&gt;0,IF(INDEX('Final Calculation Sheet'!$F$4:$F$40,$BJ48-3)="","",INDEX('Final Calculation Sheet'!$F$4:$F$40,$BJ48-3)),"")</f>
        <v/>
      </c>
      <c r="C48" s="650">
        <f>IF($BJ48&gt;0,IF(INDEX('Final Calculation Sheet'!$G$4:$G$40,$BJ48-3)="","",INDEX('Final Calculation Sheet'!$G$4:$G$40,$BJ48-3)),IF(OR($BI48=1,$BH48&gt;0),IF($BI48=1,37,INDEX($BD$4:$BD$13,$BH48))&amp;" lot(s)",""))</f>
        <v/>
      </c>
      <c r="D48" s="651">
        <f>IF($BJ48&gt;0,IF(INDEX('Final Calculation Sheet'!$B$4:$B$40,$BJ48-3)="","",INDEX('Final Calculation Sheet'!$B$4:$B$40,$BJ48-3)),IF(OR($BI48=1,$BH48&gt;0),IF($BI48=1,"GRAND TOTAL  —  matching + remaining",IF($BH48=10,"REMAINING  —  did not match the search",IF($BH48=9,"ALL LOTS  —  nothing typed in the box","GROUP "&amp;$BH48&amp;" TOTAL  —  lots matching  "&amp;INDEX($AR$6:$AY$6,$BH48)))),""))</f>
        <v/>
      </c>
      <c r="E48" s="651">
        <f>IF($BJ48&gt;0,IF(INDEX('Final Calculation Sheet'!$D$4:$D$40,$BJ48-3)="","",INDEX('Final Calculation Sheet'!$D$4:$D$40,$BJ48-3)),IF(OR($BI48=1,$BH48&gt;0),"–",""))</f>
        <v/>
      </c>
      <c r="F48" s="651">
        <f>IF($BJ48&gt;0,IF(INDEX('Final Calculation Sheet'!$A$4:$A$40,$BJ48-3)="","",INDEX('Final Calculation Sheet'!$A$4:$A$40,$BJ48-3)),IF($BI48=1,SUM('Final Calculation Sheet'!$A$4:$A$40),IF($BH48&gt;0,SUMIFS('Final Calculation Sheet'!$A$4:$A$40,$AZ$5:$AZ$41,$BH48),"")))</f>
        <v/>
      </c>
      <c r="G48" s="651">
        <f>IF($BJ48&gt;0,IF(INDEX('Final Calculation Sheet'!$E$4:$E$40,$BJ48-3)="","",INDEX('Final Calculation Sheet'!$E$4:$E$40,$BJ48-3)),IF(OR($BI48=1,$BH48&gt;0),"–",""))</f>
        <v/>
      </c>
      <c r="H48" s="652">
        <f>IF($BJ48&gt;0,IF(INDEX('Final Calculation Sheet'!$C$4:$C$40,$BJ48-3)="","",INDEX('Final Calculation Sheet'!$C$4:$C$40,$BJ48-3)),IF(OR($BI48=1,$BH48&gt;0),"–",""))</f>
        <v/>
      </c>
      <c r="I48" s="652">
        <f>IF($BJ48&gt;0,IF(INDEX('Final Calculation Sheet'!$H$4:$H$40,$BJ48-3)="","",INDEX('Final Calculation Sheet'!$H$4:$H$40,$BJ48-3)),IF($BI48=1,SUM('Final Calculation Sheet'!$H$4:$H$40),IF($BH48&gt;0,SUMIFS('Final Calculation Sheet'!$H$4:$H$40,$AZ$5:$AZ$41,$BH48),"")))</f>
        <v/>
      </c>
      <c r="J48" s="652">
        <f>IF($BJ48&gt;0,IF(INDEX('Final Calculation Sheet'!$I$4:$I$40,$BJ48-3)="","",INDEX('Final Calculation Sheet'!$I$4:$I$40,$BJ48-3)),IF($BI48=1,SUM('Final Calculation Sheet'!$I$4:$I$40),IF($BH48&gt;0,SUMIFS('Final Calculation Sheet'!$I$4:$I$40,$AZ$5:$AZ$41,$BH48),"")))</f>
        <v/>
      </c>
      <c r="K48" s="652">
        <f>IF($BJ48&gt;0,IF(INDEX('Final Calculation Sheet'!$J$4:$J$40,$BJ48-3)="","",INDEX('Final Calculation Sheet'!$J$4:$J$40,$BJ48-3)),IF($BI48=1,SUM('Final Calculation Sheet'!$J$4:$J$40),IF($BH48&gt;0,SUMIFS('Final Calculation Sheet'!$J$4:$J$40,$AZ$5:$AZ$41,$BH48),"")))</f>
        <v/>
      </c>
      <c r="L48" s="652">
        <f>IF($BJ48&gt;0,IF(INDEX('Final Calculation Sheet'!$K$4:$K$40,$BJ48-3)="","",INDEX('Final Calculation Sheet'!$K$4:$K$40,$BJ48-3)),IF($BI48=1,SUM('Final Calculation Sheet'!$K$4:$K$40),IF($BH48&gt;0,SUMIFS('Final Calculation Sheet'!$K$4:$K$40,$AZ$5:$AZ$41,$BH48),"")))</f>
        <v/>
      </c>
      <c r="M48" s="652">
        <f>IF($BJ48&gt;0,IF(INDEX('Final Calculation Sheet'!$L$4:$L$40,$BJ48-3)="","",INDEX('Final Calculation Sheet'!$L$4:$L$40,$BJ48-3)),IF($BI48=1,SUM('Final Calculation Sheet'!$L$4:$L$40),IF($BH48&gt;0,SUMIFS('Final Calculation Sheet'!$L$4:$L$40,$AZ$5:$AZ$41,$BH48),"")))</f>
        <v/>
      </c>
      <c r="N48" s="652">
        <f>IF($BJ48&gt;0,IF(INDEX('Final Calculation Sheet'!$M$4:$M$40,$BJ48-3)="","",INDEX('Final Calculation Sheet'!$M$4:$M$40,$BJ48-3)),IF($BI48=1,SUM('Final Calculation Sheet'!$M$4:$M$40),IF($BH48&gt;0,SUMIFS('Final Calculation Sheet'!$M$4:$M$40,$AZ$5:$AZ$41,$BH48),"")))</f>
        <v/>
      </c>
      <c r="O48" s="653">
        <f>IF($BJ48&gt;0,IF(INDEX('Final Calculation Sheet'!$N$4:$N$40,$BJ48-3)="","",INDEX('Final Calculation Sheet'!$N$4:$N$40,$BJ48-3)),IF($BI48=1,SUM('Final Calculation Sheet'!$N$4:$N$40),IF($BH48&gt;0,SUMIFS('Final Calculation Sheet'!$N$4:$N$40,$AZ$5:$AZ$41,$BH48),"")))</f>
        <v/>
      </c>
      <c r="P48" s="652">
        <f>IF($BJ48&gt;0,IF(INDEX('Final Calculation Sheet'!$O$4:$O$40,$BJ48-3)="","",INDEX('Final Calculation Sheet'!$O$4:$O$40,$BJ48-3)),IF($BI48=1,SUM('Final Calculation Sheet'!$O$4:$O$40),IF($BH48&gt;0,SUMIFS('Final Calculation Sheet'!$O$4:$O$40,$AZ$5:$AZ$41,$BH48),"")))</f>
        <v/>
      </c>
      <c r="Q48" s="652">
        <f>IF($BJ48&gt;0,IF(INDEX('Final Calculation Sheet'!$P$4:$P$40,$BJ48-3)="","",INDEX('Final Calculation Sheet'!$P$4:$P$40,$BJ48-3)),IF($BI48=1,SUM('Final Calculation Sheet'!$P$4:$P$40),IF($BH48&gt;0,SUMIFS('Final Calculation Sheet'!$P$4:$P$40,$AZ$5:$AZ$41,$BH48),"")))</f>
        <v/>
      </c>
      <c r="R48" s="654">
        <f>IF($BJ48&gt;0,IF(INDEX('Final Calculation Sheet'!$Q$4:$Q$40,$BJ48-3)="","",INDEX('Final Calculation Sheet'!$Q$4:$Q$40,$BJ48-3)),IF(OR($BI48=1,$BH48&gt;0),"–",""))</f>
        <v/>
      </c>
      <c r="S48" s="652">
        <f>IF($BJ48&gt;0,IF(INDEX('Final Calculation Sheet'!$R$4:$R$40,$BJ48-3)="","",INDEX('Final Calculation Sheet'!$R$4:$R$40,$BJ48-3)),IF($BI48=1,SUM('Final Calculation Sheet'!$R$4:$R$40),IF($BH48&gt;0,SUMIFS('Final Calculation Sheet'!$R$4:$R$40,$AZ$5:$AZ$41,$BH48),"")))</f>
        <v/>
      </c>
      <c r="T48" s="652">
        <f>IF($BJ48&gt;0,IF(INDEX('Final Calculation Sheet'!$S$4:$S$40,$BJ48-3)="","",INDEX('Final Calculation Sheet'!$S$4:$S$40,$BJ48-3)),IF($BI48=1,SUM('Final Calculation Sheet'!$S$4:$S$40),IF($BH48&gt;0,SUMIFS('Final Calculation Sheet'!$S$4:$S$40,$AZ$5:$AZ$41,$BH48),"")))</f>
        <v/>
      </c>
      <c r="U48" s="652">
        <f>IF($BJ48&gt;0,IF(INDEX('Final Calculation Sheet'!$T$4:$T$40,$BJ48-3)="","",INDEX('Final Calculation Sheet'!$T$4:$T$40,$BJ48-3)),IF($BI48=1,SUM('Final Calculation Sheet'!$T$4:$T$40),IF($BH48&gt;0,SUMIFS('Final Calculation Sheet'!$T$4:$T$40,$AZ$5:$AZ$41,$BH48),"")))</f>
        <v/>
      </c>
      <c r="V48" s="655">
        <f>IF($BJ48&gt;0,IF(INDEX('Final Calculation Sheet'!$U$4:$U$40,$BJ48-3)="","",INDEX('Final Calculation Sheet'!$U$4:$U$40,$BJ48-3)),IF($BI48=1,SUM('Final Calculation Sheet'!$U$4:$U$40),IF($BH48&gt;0,SUMIFS('Final Calculation Sheet'!$U$4:$U$40,$AZ$5:$AZ$41,$BH48),"")))</f>
        <v/>
      </c>
      <c r="W48" s="652">
        <f>IF($BJ48&gt;0,IF(INDEX('Final Calculation Sheet'!$V$4:$V$40,$BJ48-3)="","",INDEX('Final Calculation Sheet'!$V$4:$V$40,$BJ48-3)),IF(OR($BI48=1,$BH48&gt;0),"–",""))</f>
        <v/>
      </c>
      <c r="X48" s="652">
        <f>IF($BJ48&gt;0,IF(INDEX('Final Calculation Sheet'!$W$4:$W$40,$BJ48-3)="","",INDEX('Final Calculation Sheet'!$W$4:$W$40,$BJ48-3)),IF($BI48=1,SUM('Final Calculation Sheet'!$W$4:$W$40),IF($BH48&gt;0,SUMIFS('Final Calculation Sheet'!$W$4:$W$40,$AZ$5:$AZ$41,$BH48),"")))</f>
        <v/>
      </c>
      <c r="Y48" s="652">
        <f>IF($BJ48&gt;0,IF(INDEX('Final Calculation Sheet'!$X$4:$X$40,$BJ48-3)="","",INDEX('Final Calculation Sheet'!$X$4:$X$40,$BJ48-3)),IF($BI48=1,SUM('Final Calculation Sheet'!$X$4:$X$40),IF($BH48&gt;0,SUMIFS('Final Calculation Sheet'!$X$4:$X$40,$AZ$5:$AZ$41,$BH48),"")))</f>
        <v/>
      </c>
      <c r="Z48" s="652">
        <f>IF($BJ48&gt;0,IF(INDEX('Final Calculation Sheet'!$Y$4:$Y$40,$BJ48-3)="","",INDEX('Final Calculation Sheet'!$Y$4:$Y$40,$BJ48-3)),IF(OR($BI48=1,$BH48&gt;0),"–",""))</f>
        <v/>
      </c>
      <c r="AA48" s="652">
        <f>IF($BJ48&gt;0,IF(INDEX('Final Calculation Sheet'!$Z$4:$Z$40,$BJ48-3)="","",INDEX('Final Calculation Sheet'!$Z$4:$Z$40,$BJ48-3)),IF($BI48=1,SUM('Final Calculation Sheet'!$Z$4:$Z$40),IF($BH48&gt;0,SUMIFS('Final Calculation Sheet'!$Z$4:$Z$40,$AZ$5:$AZ$41,$BH48),"")))</f>
        <v/>
      </c>
      <c r="AB48" s="652">
        <f>IF($BJ48&gt;0,IF(INDEX('Final Calculation Sheet'!$AA$4:$AA$40,$BJ48-3)="","",INDEX('Final Calculation Sheet'!$AA$4:$AA$40,$BJ48-3)),IF($BI48=1,SUM('Final Calculation Sheet'!$AA$4:$AA$40),IF($BH48&gt;0,SUMIFS('Final Calculation Sheet'!$AA$4:$AA$40,$AZ$5:$AZ$41,$BH48),"")))</f>
        <v/>
      </c>
      <c r="AC48" s="652">
        <f>IF($BJ48&gt;0,IF(INDEX('Final Calculation Sheet'!$AB$4:$AB$40,$BJ48-3)="","",INDEX('Final Calculation Sheet'!$AB$4:$AB$40,$BJ48-3)),IF(OR($BI48=1,$BH48&gt;0),"–",""))</f>
        <v/>
      </c>
      <c r="AD48" s="652">
        <f>IF($BJ48&gt;0,IF(INDEX('Final Calculation Sheet'!$AC$4:$AC$40,$BJ48-3)="","",INDEX('Final Calculation Sheet'!$AC$4:$AC$40,$BJ48-3)),IF($BI48=1,SUM('Final Calculation Sheet'!$AC$4:$AC$40),IF($BH48&gt;0,SUMIFS('Final Calculation Sheet'!$AC$4:$AC$40,$AZ$5:$AZ$41,$BH48),"")))</f>
        <v/>
      </c>
      <c r="AE48" s="652">
        <f>IF($BJ48&gt;0,IF(INDEX('Final Calculation Sheet'!$AD$4:$AD$40,$BJ48-3)="","",INDEX('Final Calculation Sheet'!$AD$4:$AD$40,$BJ48-3)),IF($BI48=1,SUM('Final Calculation Sheet'!$AD$4:$AD$40),IF($BH48&gt;0,SUMIFS('Final Calculation Sheet'!$AD$4:$AD$40,$AZ$5:$AZ$41,$BH48),"")))</f>
        <v/>
      </c>
      <c r="AF48" s="652">
        <f>IF($BJ48&gt;0,IF(INDEX('Final Calculation Sheet'!$AE$4:$AE$40,$BJ48-3)="","",INDEX('Final Calculation Sheet'!$AE$4:$AE$40,$BJ48-3)),IF(OR($BI48=1,$BH48&gt;0),"–",""))</f>
        <v/>
      </c>
      <c r="AG48" s="656">
        <f>IF($BJ48&gt;0,IF(INDEX('Final Calculation Sheet'!$AF$4:$AF$40,$BJ48-3)="","",INDEX('Final Calculation Sheet'!$AF$4:$AF$40,$BJ48-3)),IF(OR($BI48=1,$BH48&gt;0),"–",""))</f>
        <v/>
      </c>
      <c r="AH48" s="652">
        <f>IF($BJ48&gt;0,IF(INDEX('Final Calculation Sheet'!$AG$4:$AG$40,$BJ48-3)="","",INDEX('Final Calculation Sheet'!$AG$4:$AG$40,$BJ48-3)),IF(OR($BI48=1,$BH48&gt;0),"–",""))</f>
        <v/>
      </c>
      <c r="AI48" s="657">
        <f>IF($BJ48&gt;0,IF(INDEX('Final Calculation Sheet'!$AD$4:$AD$40,$BJ48-3)="","",IF(INDEX('Final Calculation Sheet'!$AD$4:$AD$40,$BJ48-3)&lt;=0,"SETTLED","OUTSTANDING")),IF(OR($BI48=1,$BH48&gt;0),IF(IF($BI48=1,SUM('Final Calculation Sheet'!$AD$4:$AD$40),SUMIFS('Final Calculation Sheet'!$AD$4:$AD$40,$AZ$5:$AZ$41,$BH48))&lt;=0,"ALL SETTLED","OUTSTANDING"),""))</f>
        <v/>
      </c>
      <c r="BH48">
        <f>IFERROR(MATCH(48,$BF$4:$BF$13,0),0)</f>
        <v/>
      </c>
      <c r="BI48">
        <f>IF(48=$BG$4,1,0)</f>
        <v/>
      </c>
      <c r="BJ48">
        <f>IF(OR($BH48&gt;0,$BI48=1),0,IFERROR(INDEX($BC$5:$BC$41,MATCH(48,$BB$5:$BB$41,0)),0))</f>
        <v/>
      </c>
      <c r="BK48">
        <f>IF($BJ48&gt;0,IF(INDEX($AZ$5:$AZ$41,MATCH(48,$BB$5:$BB$41,0))=10,1,0),IF($BH48=10,1,0))</f>
        <v/>
      </c>
    </row>
    <row r="49" ht="15" customHeight="1">
      <c r="A49" s="649">
        <f>IF($BJ49&gt;0,INDEX($BA$5:$BA$41,MATCH(49,$BB$5:$BB$41,0)),IF(OR($BI49=1,$BH49&gt;0),"∑",""))</f>
        <v/>
      </c>
      <c r="B49" s="650">
        <f>IF($BJ49&gt;0,IF(INDEX('Final Calculation Sheet'!$F$4:$F$40,$BJ49-3)="","",INDEX('Final Calculation Sheet'!$F$4:$F$40,$BJ49-3)),"")</f>
        <v/>
      </c>
      <c r="C49" s="650">
        <f>IF($BJ49&gt;0,IF(INDEX('Final Calculation Sheet'!$G$4:$G$40,$BJ49-3)="","",INDEX('Final Calculation Sheet'!$G$4:$G$40,$BJ49-3)),IF(OR($BI49=1,$BH49&gt;0),IF($BI49=1,37,INDEX($BD$4:$BD$13,$BH49))&amp;" lot(s)",""))</f>
        <v/>
      </c>
      <c r="D49" s="651">
        <f>IF($BJ49&gt;0,IF(INDEX('Final Calculation Sheet'!$B$4:$B$40,$BJ49-3)="","",INDEX('Final Calculation Sheet'!$B$4:$B$40,$BJ49-3)),IF(OR($BI49=1,$BH49&gt;0),IF($BI49=1,"GRAND TOTAL  —  matching + remaining",IF($BH49=10,"REMAINING  —  did not match the search",IF($BH49=9,"ALL LOTS  —  nothing typed in the box","GROUP "&amp;$BH49&amp;" TOTAL  —  lots matching  "&amp;INDEX($AR$6:$AY$6,$BH49)))),""))</f>
        <v/>
      </c>
      <c r="E49" s="651">
        <f>IF($BJ49&gt;0,IF(INDEX('Final Calculation Sheet'!$D$4:$D$40,$BJ49-3)="","",INDEX('Final Calculation Sheet'!$D$4:$D$40,$BJ49-3)),IF(OR($BI49=1,$BH49&gt;0),"–",""))</f>
        <v/>
      </c>
      <c r="F49" s="651">
        <f>IF($BJ49&gt;0,IF(INDEX('Final Calculation Sheet'!$A$4:$A$40,$BJ49-3)="","",INDEX('Final Calculation Sheet'!$A$4:$A$40,$BJ49-3)),IF($BI49=1,SUM('Final Calculation Sheet'!$A$4:$A$40),IF($BH49&gt;0,SUMIFS('Final Calculation Sheet'!$A$4:$A$40,$AZ$5:$AZ$41,$BH49),"")))</f>
        <v/>
      </c>
      <c r="G49" s="651">
        <f>IF($BJ49&gt;0,IF(INDEX('Final Calculation Sheet'!$E$4:$E$40,$BJ49-3)="","",INDEX('Final Calculation Sheet'!$E$4:$E$40,$BJ49-3)),IF(OR($BI49=1,$BH49&gt;0),"–",""))</f>
        <v/>
      </c>
      <c r="H49" s="652">
        <f>IF($BJ49&gt;0,IF(INDEX('Final Calculation Sheet'!$C$4:$C$40,$BJ49-3)="","",INDEX('Final Calculation Sheet'!$C$4:$C$40,$BJ49-3)),IF(OR($BI49=1,$BH49&gt;0),"–",""))</f>
        <v/>
      </c>
      <c r="I49" s="652">
        <f>IF($BJ49&gt;0,IF(INDEX('Final Calculation Sheet'!$H$4:$H$40,$BJ49-3)="","",INDEX('Final Calculation Sheet'!$H$4:$H$40,$BJ49-3)),IF($BI49=1,SUM('Final Calculation Sheet'!$H$4:$H$40),IF($BH49&gt;0,SUMIFS('Final Calculation Sheet'!$H$4:$H$40,$AZ$5:$AZ$41,$BH49),"")))</f>
        <v/>
      </c>
      <c r="J49" s="652">
        <f>IF($BJ49&gt;0,IF(INDEX('Final Calculation Sheet'!$I$4:$I$40,$BJ49-3)="","",INDEX('Final Calculation Sheet'!$I$4:$I$40,$BJ49-3)),IF($BI49=1,SUM('Final Calculation Sheet'!$I$4:$I$40),IF($BH49&gt;0,SUMIFS('Final Calculation Sheet'!$I$4:$I$40,$AZ$5:$AZ$41,$BH49),"")))</f>
        <v/>
      </c>
      <c r="K49" s="652">
        <f>IF($BJ49&gt;0,IF(INDEX('Final Calculation Sheet'!$J$4:$J$40,$BJ49-3)="","",INDEX('Final Calculation Sheet'!$J$4:$J$40,$BJ49-3)),IF($BI49=1,SUM('Final Calculation Sheet'!$J$4:$J$40),IF($BH49&gt;0,SUMIFS('Final Calculation Sheet'!$J$4:$J$40,$AZ$5:$AZ$41,$BH49),"")))</f>
        <v/>
      </c>
      <c r="L49" s="652">
        <f>IF($BJ49&gt;0,IF(INDEX('Final Calculation Sheet'!$K$4:$K$40,$BJ49-3)="","",INDEX('Final Calculation Sheet'!$K$4:$K$40,$BJ49-3)),IF($BI49=1,SUM('Final Calculation Sheet'!$K$4:$K$40),IF($BH49&gt;0,SUMIFS('Final Calculation Sheet'!$K$4:$K$40,$AZ$5:$AZ$41,$BH49),"")))</f>
        <v/>
      </c>
      <c r="M49" s="652">
        <f>IF($BJ49&gt;0,IF(INDEX('Final Calculation Sheet'!$L$4:$L$40,$BJ49-3)="","",INDEX('Final Calculation Sheet'!$L$4:$L$40,$BJ49-3)),IF($BI49=1,SUM('Final Calculation Sheet'!$L$4:$L$40),IF($BH49&gt;0,SUMIFS('Final Calculation Sheet'!$L$4:$L$40,$AZ$5:$AZ$41,$BH49),"")))</f>
        <v/>
      </c>
      <c r="N49" s="652">
        <f>IF($BJ49&gt;0,IF(INDEX('Final Calculation Sheet'!$M$4:$M$40,$BJ49-3)="","",INDEX('Final Calculation Sheet'!$M$4:$M$40,$BJ49-3)),IF($BI49=1,SUM('Final Calculation Sheet'!$M$4:$M$40),IF($BH49&gt;0,SUMIFS('Final Calculation Sheet'!$M$4:$M$40,$AZ$5:$AZ$41,$BH49),"")))</f>
        <v/>
      </c>
      <c r="O49" s="653">
        <f>IF($BJ49&gt;0,IF(INDEX('Final Calculation Sheet'!$N$4:$N$40,$BJ49-3)="","",INDEX('Final Calculation Sheet'!$N$4:$N$40,$BJ49-3)),IF($BI49=1,SUM('Final Calculation Sheet'!$N$4:$N$40),IF($BH49&gt;0,SUMIFS('Final Calculation Sheet'!$N$4:$N$40,$AZ$5:$AZ$41,$BH49),"")))</f>
        <v/>
      </c>
      <c r="P49" s="652">
        <f>IF($BJ49&gt;0,IF(INDEX('Final Calculation Sheet'!$O$4:$O$40,$BJ49-3)="","",INDEX('Final Calculation Sheet'!$O$4:$O$40,$BJ49-3)),IF($BI49=1,SUM('Final Calculation Sheet'!$O$4:$O$40),IF($BH49&gt;0,SUMIFS('Final Calculation Sheet'!$O$4:$O$40,$AZ$5:$AZ$41,$BH49),"")))</f>
        <v/>
      </c>
      <c r="Q49" s="652">
        <f>IF($BJ49&gt;0,IF(INDEX('Final Calculation Sheet'!$P$4:$P$40,$BJ49-3)="","",INDEX('Final Calculation Sheet'!$P$4:$P$40,$BJ49-3)),IF($BI49=1,SUM('Final Calculation Sheet'!$P$4:$P$40),IF($BH49&gt;0,SUMIFS('Final Calculation Sheet'!$P$4:$P$40,$AZ$5:$AZ$41,$BH49),"")))</f>
        <v/>
      </c>
      <c r="R49" s="654">
        <f>IF($BJ49&gt;0,IF(INDEX('Final Calculation Sheet'!$Q$4:$Q$40,$BJ49-3)="","",INDEX('Final Calculation Sheet'!$Q$4:$Q$40,$BJ49-3)),IF(OR($BI49=1,$BH49&gt;0),"–",""))</f>
        <v/>
      </c>
      <c r="S49" s="652">
        <f>IF($BJ49&gt;0,IF(INDEX('Final Calculation Sheet'!$R$4:$R$40,$BJ49-3)="","",INDEX('Final Calculation Sheet'!$R$4:$R$40,$BJ49-3)),IF($BI49=1,SUM('Final Calculation Sheet'!$R$4:$R$40),IF($BH49&gt;0,SUMIFS('Final Calculation Sheet'!$R$4:$R$40,$AZ$5:$AZ$41,$BH49),"")))</f>
        <v/>
      </c>
      <c r="T49" s="652">
        <f>IF($BJ49&gt;0,IF(INDEX('Final Calculation Sheet'!$S$4:$S$40,$BJ49-3)="","",INDEX('Final Calculation Sheet'!$S$4:$S$40,$BJ49-3)),IF($BI49=1,SUM('Final Calculation Sheet'!$S$4:$S$40),IF($BH49&gt;0,SUMIFS('Final Calculation Sheet'!$S$4:$S$40,$AZ$5:$AZ$41,$BH49),"")))</f>
        <v/>
      </c>
      <c r="U49" s="652">
        <f>IF($BJ49&gt;0,IF(INDEX('Final Calculation Sheet'!$T$4:$T$40,$BJ49-3)="","",INDEX('Final Calculation Sheet'!$T$4:$T$40,$BJ49-3)),IF($BI49=1,SUM('Final Calculation Sheet'!$T$4:$T$40),IF($BH49&gt;0,SUMIFS('Final Calculation Sheet'!$T$4:$T$40,$AZ$5:$AZ$41,$BH49),"")))</f>
        <v/>
      </c>
      <c r="V49" s="655">
        <f>IF($BJ49&gt;0,IF(INDEX('Final Calculation Sheet'!$U$4:$U$40,$BJ49-3)="","",INDEX('Final Calculation Sheet'!$U$4:$U$40,$BJ49-3)),IF($BI49=1,SUM('Final Calculation Sheet'!$U$4:$U$40),IF($BH49&gt;0,SUMIFS('Final Calculation Sheet'!$U$4:$U$40,$AZ$5:$AZ$41,$BH49),"")))</f>
        <v/>
      </c>
      <c r="W49" s="652">
        <f>IF($BJ49&gt;0,IF(INDEX('Final Calculation Sheet'!$V$4:$V$40,$BJ49-3)="","",INDEX('Final Calculation Sheet'!$V$4:$V$40,$BJ49-3)),IF(OR($BI49=1,$BH49&gt;0),"–",""))</f>
        <v/>
      </c>
      <c r="X49" s="652">
        <f>IF($BJ49&gt;0,IF(INDEX('Final Calculation Sheet'!$W$4:$W$40,$BJ49-3)="","",INDEX('Final Calculation Sheet'!$W$4:$W$40,$BJ49-3)),IF($BI49=1,SUM('Final Calculation Sheet'!$W$4:$W$40),IF($BH49&gt;0,SUMIFS('Final Calculation Sheet'!$W$4:$W$40,$AZ$5:$AZ$41,$BH49),"")))</f>
        <v/>
      </c>
      <c r="Y49" s="652">
        <f>IF($BJ49&gt;0,IF(INDEX('Final Calculation Sheet'!$X$4:$X$40,$BJ49-3)="","",INDEX('Final Calculation Sheet'!$X$4:$X$40,$BJ49-3)),IF($BI49=1,SUM('Final Calculation Sheet'!$X$4:$X$40),IF($BH49&gt;0,SUMIFS('Final Calculation Sheet'!$X$4:$X$40,$AZ$5:$AZ$41,$BH49),"")))</f>
        <v/>
      </c>
      <c r="Z49" s="652">
        <f>IF($BJ49&gt;0,IF(INDEX('Final Calculation Sheet'!$Y$4:$Y$40,$BJ49-3)="","",INDEX('Final Calculation Sheet'!$Y$4:$Y$40,$BJ49-3)),IF(OR($BI49=1,$BH49&gt;0),"–",""))</f>
        <v/>
      </c>
      <c r="AA49" s="652">
        <f>IF($BJ49&gt;0,IF(INDEX('Final Calculation Sheet'!$Z$4:$Z$40,$BJ49-3)="","",INDEX('Final Calculation Sheet'!$Z$4:$Z$40,$BJ49-3)),IF($BI49=1,SUM('Final Calculation Sheet'!$Z$4:$Z$40),IF($BH49&gt;0,SUMIFS('Final Calculation Sheet'!$Z$4:$Z$40,$AZ$5:$AZ$41,$BH49),"")))</f>
        <v/>
      </c>
      <c r="AB49" s="652">
        <f>IF($BJ49&gt;0,IF(INDEX('Final Calculation Sheet'!$AA$4:$AA$40,$BJ49-3)="","",INDEX('Final Calculation Sheet'!$AA$4:$AA$40,$BJ49-3)),IF($BI49=1,SUM('Final Calculation Sheet'!$AA$4:$AA$40),IF($BH49&gt;0,SUMIFS('Final Calculation Sheet'!$AA$4:$AA$40,$AZ$5:$AZ$41,$BH49),"")))</f>
        <v/>
      </c>
      <c r="AC49" s="652">
        <f>IF($BJ49&gt;0,IF(INDEX('Final Calculation Sheet'!$AB$4:$AB$40,$BJ49-3)="","",INDEX('Final Calculation Sheet'!$AB$4:$AB$40,$BJ49-3)),IF(OR($BI49=1,$BH49&gt;0),"–",""))</f>
        <v/>
      </c>
      <c r="AD49" s="652">
        <f>IF($BJ49&gt;0,IF(INDEX('Final Calculation Sheet'!$AC$4:$AC$40,$BJ49-3)="","",INDEX('Final Calculation Sheet'!$AC$4:$AC$40,$BJ49-3)),IF($BI49=1,SUM('Final Calculation Sheet'!$AC$4:$AC$40),IF($BH49&gt;0,SUMIFS('Final Calculation Sheet'!$AC$4:$AC$40,$AZ$5:$AZ$41,$BH49),"")))</f>
        <v/>
      </c>
      <c r="AE49" s="652">
        <f>IF($BJ49&gt;0,IF(INDEX('Final Calculation Sheet'!$AD$4:$AD$40,$BJ49-3)="","",INDEX('Final Calculation Sheet'!$AD$4:$AD$40,$BJ49-3)),IF($BI49=1,SUM('Final Calculation Sheet'!$AD$4:$AD$40),IF($BH49&gt;0,SUMIFS('Final Calculation Sheet'!$AD$4:$AD$40,$AZ$5:$AZ$41,$BH49),"")))</f>
        <v/>
      </c>
      <c r="AF49" s="652">
        <f>IF($BJ49&gt;0,IF(INDEX('Final Calculation Sheet'!$AE$4:$AE$40,$BJ49-3)="","",INDEX('Final Calculation Sheet'!$AE$4:$AE$40,$BJ49-3)),IF(OR($BI49=1,$BH49&gt;0),"–",""))</f>
        <v/>
      </c>
      <c r="AG49" s="656">
        <f>IF($BJ49&gt;0,IF(INDEX('Final Calculation Sheet'!$AF$4:$AF$40,$BJ49-3)="","",INDEX('Final Calculation Sheet'!$AF$4:$AF$40,$BJ49-3)),IF(OR($BI49=1,$BH49&gt;0),"–",""))</f>
        <v/>
      </c>
      <c r="AH49" s="652">
        <f>IF($BJ49&gt;0,IF(INDEX('Final Calculation Sheet'!$AG$4:$AG$40,$BJ49-3)="","",INDEX('Final Calculation Sheet'!$AG$4:$AG$40,$BJ49-3)),IF(OR($BI49=1,$BH49&gt;0),"–",""))</f>
        <v/>
      </c>
      <c r="AI49" s="657">
        <f>IF($BJ49&gt;0,IF(INDEX('Final Calculation Sheet'!$AD$4:$AD$40,$BJ49-3)="","",IF(INDEX('Final Calculation Sheet'!$AD$4:$AD$40,$BJ49-3)&lt;=0,"SETTLED","OUTSTANDING")),IF(OR($BI49=1,$BH49&gt;0),IF(IF($BI49=1,SUM('Final Calculation Sheet'!$AD$4:$AD$40),SUMIFS('Final Calculation Sheet'!$AD$4:$AD$40,$AZ$5:$AZ$41,$BH49))&lt;=0,"ALL SETTLED","OUTSTANDING"),""))</f>
        <v/>
      </c>
      <c r="BH49">
        <f>IFERROR(MATCH(49,$BF$4:$BF$13,0),0)</f>
        <v/>
      </c>
      <c r="BI49">
        <f>IF(49=$BG$4,1,0)</f>
        <v/>
      </c>
      <c r="BJ49">
        <f>IF(OR($BH49&gt;0,$BI49=1),0,IFERROR(INDEX($BC$5:$BC$41,MATCH(49,$BB$5:$BB$41,0)),0))</f>
        <v/>
      </c>
      <c r="BK49">
        <f>IF($BJ49&gt;0,IF(INDEX($AZ$5:$AZ$41,MATCH(49,$BB$5:$BB$41,0))=10,1,0),IF($BH49=10,1,0))</f>
        <v/>
      </c>
    </row>
    <row r="50" ht="15" customHeight="1">
      <c r="A50" s="649">
        <f>IF($BJ50&gt;0,INDEX($BA$5:$BA$41,MATCH(50,$BB$5:$BB$41,0)),IF(OR($BI50=1,$BH50&gt;0),"∑",""))</f>
        <v/>
      </c>
      <c r="B50" s="650">
        <f>IF($BJ50&gt;0,IF(INDEX('Final Calculation Sheet'!$F$4:$F$40,$BJ50-3)="","",INDEX('Final Calculation Sheet'!$F$4:$F$40,$BJ50-3)),"")</f>
        <v/>
      </c>
      <c r="C50" s="650">
        <f>IF($BJ50&gt;0,IF(INDEX('Final Calculation Sheet'!$G$4:$G$40,$BJ50-3)="","",INDEX('Final Calculation Sheet'!$G$4:$G$40,$BJ50-3)),IF(OR($BI50=1,$BH50&gt;0),IF($BI50=1,37,INDEX($BD$4:$BD$13,$BH50))&amp;" lot(s)",""))</f>
        <v/>
      </c>
      <c r="D50" s="651">
        <f>IF($BJ50&gt;0,IF(INDEX('Final Calculation Sheet'!$B$4:$B$40,$BJ50-3)="","",INDEX('Final Calculation Sheet'!$B$4:$B$40,$BJ50-3)),IF(OR($BI50=1,$BH50&gt;0),IF($BI50=1,"GRAND TOTAL  —  matching + remaining",IF($BH50=10,"REMAINING  —  did not match the search",IF($BH50=9,"ALL LOTS  —  nothing typed in the box","GROUP "&amp;$BH50&amp;" TOTAL  —  lots matching  "&amp;INDEX($AR$6:$AY$6,$BH50)))),""))</f>
        <v/>
      </c>
      <c r="E50" s="651">
        <f>IF($BJ50&gt;0,IF(INDEX('Final Calculation Sheet'!$D$4:$D$40,$BJ50-3)="","",INDEX('Final Calculation Sheet'!$D$4:$D$40,$BJ50-3)),IF(OR($BI50=1,$BH50&gt;0),"–",""))</f>
        <v/>
      </c>
      <c r="F50" s="651">
        <f>IF($BJ50&gt;0,IF(INDEX('Final Calculation Sheet'!$A$4:$A$40,$BJ50-3)="","",INDEX('Final Calculation Sheet'!$A$4:$A$40,$BJ50-3)),IF($BI50=1,SUM('Final Calculation Sheet'!$A$4:$A$40),IF($BH50&gt;0,SUMIFS('Final Calculation Sheet'!$A$4:$A$40,$AZ$5:$AZ$41,$BH50),"")))</f>
        <v/>
      </c>
      <c r="G50" s="651">
        <f>IF($BJ50&gt;0,IF(INDEX('Final Calculation Sheet'!$E$4:$E$40,$BJ50-3)="","",INDEX('Final Calculation Sheet'!$E$4:$E$40,$BJ50-3)),IF(OR($BI50=1,$BH50&gt;0),"–",""))</f>
        <v/>
      </c>
      <c r="H50" s="652">
        <f>IF($BJ50&gt;0,IF(INDEX('Final Calculation Sheet'!$C$4:$C$40,$BJ50-3)="","",INDEX('Final Calculation Sheet'!$C$4:$C$40,$BJ50-3)),IF(OR($BI50=1,$BH50&gt;0),"–",""))</f>
        <v/>
      </c>
      <c r="I50" s="652">
        <f>IF($BJ50&gt;0,IF(INDEX('Final Calculation Sheet'!$H$4:$H$40,$BJ50-3)="","",INDEX('Final Calculation Sheet'!$H$4:$H$40,$BJ50-3)),IF($BI50=1,SUM('Final Calculation Sheet'!$H$4:$H$40),IF($BH50&gt;0,SUMIFS('Final Calculation Sheet'!$H$4:$H$40,$AZ$5:$AZ$41,$BH50),"")))</f>
        <v/>
      </c>
      <c r="J50" s="652">
        <f>IF($BJ50&gt;0,IF(INDEX('Final Calculation Sheet'!$I$4:$I$40,$BJ50-3)="","",INDEX('Final Calculation Sheet'!$I$4:$I$40,$BJ50-3)),IF($BI50=1,SUM('Final Calculation Sheet'!$I$4:$I$40),IF($BH50&gt;0,SUMIFS('Final Calculation Sheet'!$I$4:$I$40,$AZ$5:$AZ$41,$BH50),"")))</f>
        <v/>
      </c>
      <c r="K50" s="652">
        <f>IF($BJ50&gt;0,IF(INDEX('Final Calculation Sheet'!$J$4:$J$40,$BJ50-3)="","",INDEX('Final Calculation Sheet'!$J$4:$J$40,$BJ50-3)),IF($BI50=1,SUM('Final Calculation Sheet'!$J$4:$J$40),IF($BH50&gt;0,SUMIFS('Final Calculation Sheet'!$J$4:$J$40,$AZ$5:$AZ$41,$BH50),"")))</f>
        <v/>
      </c>
      <c r="L50" s="652">
        <f>IF($BJ50&gt;0,IF(INDEX('Final Calculation Sheet'!$K$4:$K$40,$BJ50-3)="","",INDEX('Final Calculation Sheet'!$K$4:$K$40,$BJ50-3)),IF($BI50=1,SUM('Final Calculation Sheet'!$K$4:$K$40),IF($BH50&gt;0,SUMIFS('Final Calculation Sheet'!$K$4:$K$40,$AZ$5:$AZ$41,$BH50),"")))</f>
        <v/>
      </c>
      <c r="M50" s="652">
        <f>IF($BJ50&gt;0,IF(INDEX('Final Calculation Sheet'!$L$4:$L$40,$BJ50-3)="","",INDEX('Final Calculation Sheet'!$L$4:$L$40,$BJ50-3)),IF($BI50=1,SUM('Final Calculation Sheet'!$L$4:$L$40),IF($BH50&gt;0,SUMIFS('Final Calculation Sheet'!$L$4:$L$40,$AZ$5:$AZ$41,$BH50),"")))</f>
        <v/>
      </c>
      <c r="N50" s="652">
        <f>IF($BJ50&gt;0,IF(INDEX('Final Calculation Sheet'!$M$4:$M$40,$BJ50-3)="","",INDEX('Final Calculation Sheet'!$M$4:$M$40,$BJ50-3)),IF($BI50=1,SUM('Final Calculation Sheet'!$M$4:$M$40),IF($BH50&gt;0,SUMIFS('Final Calculation Sheet'!$M$4:$M$40,$AZ$5:$AZ$41,$BH50),"")))</f>
        <v/>
      </c>
      <c r="O50" s="653">
        <f>IF($BJ50&gt;0,IF(INDEX('Final Calculation Sheet'!$N$4:$N$40,$BJ50-3)="","",INDEX('Final Calculation Sheet'!$N$4:$N$40,$BJ50-3)),IF($BI50=1,SUM('Final Calculation Sheet'!$N$4:$N$40),IF($BH50&gt;0,SUMIFS('Final Calculation Sheet'!$N$4:$N$40,$AZ$5:$AZ$41,$BH50),"")))</f>
        <v/>
      </c>
      <c r="P50" s="652">
        <f>IF($BJ50&gt;0,IF(INDEX('Final Calculation Sheet'!$O$4:$O$40,$BJ50-3)="","",INDEX('Final Calculation Sheet'!$O$4:$O$40,$BJ50-3)),IF($BI50=1,SUM('Final Calculation Sheet'!$O$4:$O$40),IF($BH50&gt;0,SUMIFS('Final Calculation Sheet'!$O$4:$O$40,$AZ$5:$AZ$41,$BH50),"")))</f>
        <v/>
      </c>
      <c r="Q50" s="652">
        <f>IF($BJ50&gt;0,IF(INDEX('Final Calculation Sheet'!$P$4:$P$40,$BJ50-3)="","",INDEX('Final Calculation Sheet'!$P$4:$P$40,$BJ50-3)),IF($BI50=1,SUM('Final Calculation Sheet'!$P$4:$P$40),IF($BH50&gt;0,SUMIFS('Final Calculation Sheet'!$P$4:$P$40,$AZ$5:$AZ$41,$BH50),"")))</f>
        <v/>
      </c>
      <c r="R50" s="654">
        <f>IF($BJ50&gt;0,IF(INDEX('Final Calculation Sheet'!$Q$4:$Q$40,$BJ50-3)="","",INDEX('Final Calculation Sheet'!$Q$4:$Q$40,$BJ50-3)),IF(OR($BI50=1,$BH50&gt;0),"–",""))</f>
        <v/>
      </c>
      <c r="S50" s="652">
        <f>IF($BJ50&gt;0,IF(INDEX('Final Calculation Sheet'!$R$4:$R$40,$BJ50-3)="","",INDEX('Final Calculation Sheet'!$R$4:$R$40,$BJ50-3)),IF($BI50=1,SUM('Final Calculation Sheet'!$R$4:$R$40),IF($BH50&gt;0,SUMIFS('Final Calculation Sheet'!$R$4:$R$40,$AZ$5:$AZ$41,$BH50),"")))</f>
        <v/>
      </c>
      <c r="T50" s="652">
        <f>IF($BJ50&gt;0,IF(INDEX('Final Calculation Sheet'!$S$4:$S$40,$BJ50-3)="","",INDEX('Final Calculation Sheet'!$S$4:$S$40,$BJ50-3)),IF($BI50=1,SUM('Final Calculation Sheet'!$S$4:$S$40),IF($BH50&gt;0,SUMIFS('Final Calculation Sheet'!$S$4:$S$40,$AZ$5:$AZ$41,$BH50),"")))</f>
        <v/>
      </c>
      <c r="U50" s="652">
        <f>IF($BJ50&gt;0,IF(INDEX('Final Calculation Sheet'!$T$4:$T$40,$BJ50-3)="","",INDEX('Final Calculation Sheet'!$T$4:$T$40,$BJ50-3)),IF($BI50=1,SUM('Final Calculation Sheet'!$T$4:$T$40),IF($BH50&gt;0,SUMIFS('Final Calculation Sheet'!$T$4:$T$40,$AZ$5:$AZ$41,$BH50),"")))</f>
        <v/>
      </c>
      <c r="V50" s="655">
        <f>IF($BJ50&gt;0,IF(INDEX('Final Calculation Sheet'!$U$4:$U$40,$BJ50-3)="","",INDEX('Final Calculation Sheet'!$U$4:$U$40,$BJ50-3)),IF($BI50=1,SUM('Final Calculation Sheet'!$U$4:$U$40),IF($BH50&gt;0,SUMIFS('Final Calculation Sheet'!$U$4:$U$40,$AZ$5:$AZ$41,$BH50),"")))</f>
        <v/>
      </c>
      <c r="W50" s="652">
        <f>IF($BJ50&gt;0,IF(INDEX('Final Calculation Sheet'!$V$4:$V$40,$BJ50-3)="","",INDEX('Final Calculation Sheet'!$V$4:$V$40,$BJ50-3)),IF(OR($BI50=1,$BH50&gt;0),"–",""))</f>
        <v/>
      </c>
      <c r="X50" s="652">
        <f>IF($BJ50&gt;0,IF(INDEX('Final Calculation Sheet'!$W$4:$W$40,$BJ50-3)="","",INDEX('Final Calculation Sheet'!$W$4:$W$40,$BJ50-3)),IF($BI50=1,SUM('Final Calculation Sheet'!$W$4:$W$40),IF($BH50&gt;0,SUMIFS('Final Calculation Sheet'!$W$4:$W$40,$AZ$5:$AZ$41,$BH50),"")))</f>
        <v/>
      </c>
      <c r="Y50" s="652">
        <f>IF($BJ50&gt;0,IF(INDEX('Final Calculation Sheet'!$X$4:$X$40,$BJ50-3)="","",INDEX('Final Calculation Sheet'!$X$4:$X$40,$BJ50-3)),IF($BI50=1,SUM('Final Calculation Sheet'!$X$4:$X$40),IF($BH50&gt;0,SUMIFS('Final Calculation Sheet'!$X$4:$X$40,$AZ$5:$AZ$41,$BH50),"")))</f>
        <v/>
      </c>
      <c r="Z50" s="652">
        <f>IF($BJ50&gt;0,IF(INDEX('Final Calculation Sheet'!$Y$4:$Y$40,$BJ50-3)="","",INDEX('Final Calculation Sheet'!$Y$4:$Y$40,$BJ50-3)),IF(OR($BI50=1,$BH50&gt;0),"–",""))</f>
        <v/>
      </c>
      <c r="AA50" s="652">
        <f>IF($BJ50&gt;0,IF(INDEX('Final Calculation Sheet'!$Z$4:$Z$40,$BJ50-3)="","",INDEX('Final Calculation Sheet'!$Z$4:$Z$40,$BJ50-3)),IF($BI50=1,SUM('Final Calculation Sheet'!$Z$4:$Z$40),IF($BH50&gt;0,SUMIFS('Final Calculation Sheet'!$Z$4:$Z$40,$AZ$5:$AZ$41,$BH50),"")))</f>
        <v/>
      </c>
      <c r="AB50" s="652">
        <f>IF($BJ50&gt;0,IF(INDEX('Final Calculation Sheet'!$AA$4:$AA$40,$BJ50-3)="","",INDEX('Final Calculation Sheet'!$AA$4:$AA$40,$BJ50-3)),IF($BI50=1,SUM('Final Calculation Sheet'!$AA$4:$AA$40),IF($BH50&gt;0,SUMIFS('Final Calculation Sheet'!$AA$4:$AA$40,$AZ$5:$AZ$41,$BH50),"")))</f>
        <v/>
      </c>
      <c r="AC50" s="652">
        <f>IF($BJ50&gt;0,IF(INDEX('Final Calculation Sheet'!$AB$4:$AB$40,$BJ50-3)="","",INDEX('Final Calculation Sheet'!$AB$4:$AB$40,$BJ50-3)),IF(OR($BI50=1,$BH50&gt;0),"–",""))</f>
        <v/>
      </c>
      <c r="AD50" s="652">
        <f>IF($BJ50&gt;0,IF(INDEX('Final Calculation Sheet'!$AC$4:$AC$40,$BJ50-3)="","",INDEX('Final Calculation Sheet'!$AC$4:$AC$40,$BJ50-3)),IF($BI50=1,SUM('Final Calculation Sheet'!$AC$4:$AC$40),IF($BH50&gt;0,SUMIFS('Final Calculation Sheet'!$AC$4:$AC$40,$AZ$5:$AZ$41,$BH50),"")))</f>
        <v/>
      </c>
      <c r="AE50" s="652">
        <f>IF($BJ50&gt;0,IF(INDEX('Final Calculation Sheet'!$AD$4:$AD$40,$BJ50-3)="","",INDEX('Final Calculation Sheet'!$AD$4:$AD$40,$BJ50-3)),IF($BI50=1,SUM('Final Calculation Sheet'!$AD$4:$AD$40),IF($BH50&gt;0,SUMIFS('Final Calculation Sheet'!$AD$4:$AD$40,$AZ$5:$AZ$41,$BH50),"")))</f>
        <v/>
      </c>
      <c r="AF50" s="652">
        <f>IF($BJ50&gt;0,IF(INDEX('Final Calculation Sheet'!$AE$4:$AE$40,$BJ50-3)="","",INDEX('Final Calculation Sheet'!$AE$4:$AE$40,$BJ50-3)),IF(OR($BI50=1,$BH50&gt;0),"–",""))</f>
        <v/>
      </c>
      <c r="AG50" s="656">
        <f>IF($BJ50&gt;0,IF(INDEX('Final Calculation Sheet'!$AF$4:$AF$40,$BJ50-3)="","",INDEX('Final Calculation Sheet'!$AF$4:$AF$40,$BJ50-3)),IF(OR($BI50=1,$BH50&gt;0),"–",""))</f>
        <v/>
      </c>
      <c r="AH50" s="652">
        <f>IF($BJ50&gt;0,IF(INDEX('Final Calculation Sheet'!$AG$4:$AG$40,$BJ50-3)="","",INDEX('Final Calculation Sheet'!$AG$4:$AG$40,$BJ50-3)),IF(OR($BI50=1,$BH50&gt;0),"–",""))</f>
        <v/>
      </c>
      <c r="AI50" s="657">
        <f>IF($BJ50&gt;0,IF(INDEX('Final Calculation Sheet'!$AD$4:$AD$40,$BJ50-3)="","",IF(INDEX('Final Calculation Sheet'!$AD$4:$AD$40,$BJ50-3)&lt;=0,"SETTLED","OUTSTANDING")),IF(OR($BI50=1,$BH50&gt;0),IF(IF($BI50=1,SUM('Final Calculation Sheet'!$AD$4:$AD$40),SUMIFS('Final Calculation Sheet'!$AD$4:$AD$40,$AZ$5:$AZ$41,$BH50))&lt;=0,"ALL SETTLED","OUTSTANDING"),""))</f>
        <v/>
      </c>
      <c r="BH50">
        <f>IFERROR(MATCH(50,$BF$4:$BF$13,0),0)</f>
        <v/>
      </c>
      <c r="BI50">
        <f>IF(50=$BG$4,1,0)</f>
        <v/>
      </c>
      <c r="BJ50">
        <f>IF(OR($BH50&gt;0,$BI50=1),0,IFERROR(INDEX($BC$5:$BC$41,MATCH(50,$BB$5:$BB$41,0)),0))</f>
        <v/>
      </c>
      <c r="BK50">
        <f>IF($BJ50&gt;0,IF(INDEX($AZ$5:$AZ$41,MATCH(50,$BB$5:$BB$41,0))=10,1,0),IF($BH50=10,1,0))</f>
        <v/>
      </c>
    </row>
    <row r="51" ht="15" customHeight="1">
      <c r="A51" s="649">
        <f>IF($BJ51&gt;0,INDEX($BA$5:$BA$41,MATCH(51,$BB$5:$BB$41,0)),IF(OR($BI51=1,$BH51&gt;0),"∑",""))</f>
        <v/>
      </c>
      <c r="B51" s="650">
        <f>IF($BJ51&gt;0,IF(INDEX('Final Calculation Sheet'!$F$4:$F$40,$BJ51-3)="","",INDEX('Final Calculation Sheet'!$F$4:$F$40,$BJ51-3)),"")</f>
        <v/>
      </c>
      <c r="C51" s="650">
        <f>IF($BJ51&gt;0,IF(INDEX('Final Calculation Sheet'!$G$4:$G$40,$BJ51-3)="","",INDEX('Final Calculation Sheet'!$G$4:$G$40,$BJ51-3)),IF(OR($BI51=1,$BH51&gt;0),IF($BI51=1,37,INDEX($BD$4:$BD$13,$BH51))&amp;" lot(s)",""))</f>
        <v/>
      </c>
      <c r="D51" s="651">
        <f>IF($BJ51&gt;0,IF(INDEX('Final Calculation Sheet'!$B$4:$B$40,$BJ51-3)="","",INDEX('Final Calculation Sheet'!$B$4:$B$40,$BJ51-3)),IF(OR($BI51=1,$BH51&gt;0),IF($BI51=1,"GRAND TOTAL  —  matching + remaining",IF($BH51=10,"REMAINING  —  did not match the search",IF($BH51=9,"ALL LOTS  —  nothing typed in the box","GROUP "&amp;$BH51&amp;" TOTAL  —  lots matching  "&amp;INDEX($AR$6:$AY$6,$BH51)))),""))</f>
        <v/>
      </c>
      <c r="E51" s="651">
        <f>IF($BJ51&gt;0,IF(INDEX('Final Calculation Sheet'!$D$4:$D$40,$BJ51-3)="","",INDEX('Final Calculation Sheet'!$D$4:$D$40,$BJ51-3)),IF(OR($BI51=1,$BH51&gt;0),"–",""))</f>
        <v/>
      </c>
      <c r="F51" s="651">
        <f>IF($BJ51&gt;0,IF(INDEX('Final Calculation Sheet'!$A$4:$A$40,$BJ51-3)="","",INDEX('Final Calculation Sheet'!$A$4:$A$40,$BJ51-3)),IF($BI51=1,SUM('Final Calculation Sheet'!$A$4:$A$40),IF($BH51&gt;0,SUMIFS('Final Calculation Sheet'!$A$4:$A$40,$AZ$5:$AZ$41,$BH51),"")))</f>
        <v/>
      </c>
      <c r="G51" s="651">
        <f>IF($BJ51&gt;0,IF(INDEX('Final Calculation Sheet'!$E$4:$E$40,$BJ51-3)="","",INDEX('Final Calculation Sheet'!$E$4:$E$40,$BJ51-3)),IF(OR($BI51=1,$BH51&gt;0),"–",""))</f>
        <v/>
      </c>
      <c r="H51" s="652">
        <f>IF($BJ51&gt;0,IF(INDEX('Final Calculation Sheet'!$C$4:$C$40,$BJ51-3)="","",INDEX('Final Calculation Sheet'!$C$4:$C$40,$BJ51-3)),IF(OR($BI51=1,$BH51&gt;0),"–",""))</f>
        <v/>
      </c>
      <c r="I51" s="652">
        <f>IF($BJ51&gt;0,IF(INDEX('Final Calculation Sheet'!$H$4:$H$40,$BJ51-3)="","",INDEX('Final Calculation Sheet'!$H$4:$H$40,$BJ51-3)),IF($BI51=1,SUM('Final Calculation Sheet'!$H$4:$H$40),IF($BH51&gt;0,SUMIFS('Final Calculation Sheet'!$H$4:$H$40,$AZ$5:$AZ$41,$BH51),"")))</f>
        <v/>
      </c>
      <c r="J51" s="652">
        <f>IF($BJ51&gt;0,IF(INDEX('Final Calculation Sheet'!$I$4:$I$40,$BJ51-3)="","",INDEX('Final Calculation Sheet'!$I$4:$I$40,$BJ51-3)),IF($BI51=1,SUM('Final Calculation Sheet'!$I$4:$I$40),IF($BH51&gt;0,SUMIFS('Final Calculation Sheet'!$I$4:$I$40,$AZ$5:$AZ$41,$BH51),"")))</f>
        <v/>
      </c>
      <c r="K51" s="652">
        <f>IF($BJ51&gt;0,IF(INDEX('Final Calculation Sheet'!$J$4:$J$40,$BJ51-3)="","",INDEX('Final Calculation Sheet'!$J$4:$J$40,$BJ51-3)),IF($BI51=1,SUM('Final Calculation Sheet'!$J$4:$J$40),IF($BH51&gt;0,SUMIFS('Final Calculation Sheet'!$J$4:$J$40,$AZ$5:$AZ$41,$BH51),"")))</f>
        <v/>
      </c>
      <c r="L51" s="652">
        <f>IF($BJ51&gt;0,IF(INDEX('Final Calculation Sheet'!$K$4:$K$40,$BJ51-3)="","",INDEX('Final Calculation Sheet'!$K$4:$K$40,$BJ51-3)),IF($BI51=1,SUM('Final Calculation Sheet'!$K$4:$K$40),IF($BH51&gt;0,SUMIFS('Final Calculation Sheet'!$K$4:$K$40,$AZ$5:$AZ$41,$BH51),"")))</f>
        <v/>
      </c>
      <c r="M51" s="652">
        <f>IF($BJ51&gt;0,IF(INDEX('Final Calculation Sheet'!$L$4:$L$40,$BJ51-3)="","",INDEX('Final Calculation Sheet'!$L$4:$L$40,$BJ51-3)),IF($BI51=1,SUM('Final Calculation Sheet'!$L$4:$L$40),IF($BH51&gt;0,SUMIFS('Final Calculation Sheet'!$L$4:$L$40,$AZ$5:$AZ$41,$BH51),"")))</f>
        <v/>
      </c>
      <c r="N51" s="652">
        <f>IF($BJ51&gt;0,IF(INDEX('Final Calculation Sheet'!$M$4:$M$40,$BJ51-3)="","",INDEX('Final Calculation Sheet'!$M$4:$M$40,$BJ51-3)),IF($BI51=1,SUM('Final Calculation Sheet'!$M$4:$M$40),IF($BH51&gt;0,SUMIFS('Final Calculation Sheet'!$M$4:$M$40,$AZ$5:$AZ$41,$BH51),"")))</f>
        <v/>
      </c>
      <c r="O51" s="653">
        <f>IF($BJ51&gt;0,IF(INDEX('Final Calculation Sheet'!$N$4:$N$40,$BJ51-3)="","",INDEX('Final Calculation Sheet'!$N$4:$N$40,$BJ51-3)),IF($BI51=1,SUM('Final Calculation Sheet'!$N$4:$N$40),IF($BH51&gt;0,SUMIFS('Final Calculation Sheet'!$N$4:$N$40,$AZ$5:$AZ$41,$BH51),"")))</f>
        <v/>
      </c>
      <c r="P51" s="652">
        <f>IF($BJ51&gt;0,IF(INDEX('Final Calculation Sheet'!$O$4:$O$40,$BJ51-3)="","",INDEX('Final Calculation Sheet'!$O$4:$O$40,$BJ51-3)),IF($BI51=1,SUM('Final Calculation Sheet'!$O$4:$O$40),IF($BH51&gt;0,SUMIFS('Final Calculation Sheet'!$O$4:$O$40,$AZ$5:$AZ$41,$BH51),"")))</f>
        <v/>
      </c>
      <c r="Q51" s="652">
        <f>IF($BJ51&gt;0,IF(INDEX('Final Calculation Sheet'!$P$4:$P$40,$BJ51-3)="","",INDEX('Final Calculation Sheet'!$P$4:$P$40,$BJ51-3)),IF($BI51=1,SUM('Final Calculation Sheet'!$P$4:$P$40),IF($BH51&gt;0,SUMIFS('Final Calculation Sheet'!$P$4:$P$40,$AZ$5:$AZ$41,$BH51),"")))</f>
        <v/>
      </c>
      <c r="R51" s="654">
        <f>IF($BJ51&gt;0,IF(INDEX('Final Calculation Sheet'!$Q$4:$Q$40,$BJ51-3)="","",INDEX('Final Calculation Sheet'!$Q$4:$Q$40,$BJ51-3)),IF(OR($BI51=1,$BH51&gt;0),"–",""))</f>
        <v/>
      </c>
      <c r="S51" s="652">
        <f>IF($BJ51&gt;0,IF(INDEX('Final Calculation Sheet'!$R$4:$R$40,$BJ51-3)="","",INDEX('Final Calculation Sheet'!$R$4:$R$40,$BJ51-3)),IF($BI51=1,SUM('Final Calculation Sheet'!$R$4:$R$40),IF($BH51&gt;0,SUMIFS('Final Calculation Sheet'!$R$4:$R$40,$AZ$5:$AZ$41,$BH51),"")))</f>
        <v/>
      </c>
      <c r="T51" s="652">
        <f>IF($BJ51&gt;0,IF(INDEX('Final Calculation Sheet'!$S$4:$S$40,$BJ51-3)="","",INDEX('Final Calculation Sheet'!$S$4:$S$40,$BJ51-3)),IF($BI51=1,SUM('Final Calculation Sheet'!$S$4:$S$40),IF($BH51&gt;0,SUMIFS('Final Calculation Sheet'!$S$4:$S$40,$AZ$5:$AZ$41,$BH51),"")))</f>
        <v/>
      </c>
      <c r="U51" s="652">
        <f>IF($BJ51&gt;0,IF(INDEX('Final Calculation Sheet'!$T$4:$T$40,$BJ51-3)="","",INDEX('Final Calculation Sheet'!$T$4:$T$40,$BJ51-3)),IF($BI51=1,SUM('Final Calculation Sheet'!$T$4:$T$40),IF($BH51&gt;0,SUMIFS('Final Calculation Sheet'!$T$4:$T$40,$AZ$5:$AZ$41,$BH51),"")))</f>
        <v/>
      </c>
      <c r="V51" s="655">
        <f>IF($BJ51&gt;0,IF(INDEX('Final Calculation Sheet'!$U$4:$U$40,$BJ51-3)="","",INDEX('Final Calculation Sheet'!$U$4:$U$40,$BJ51-3)),IF($BI51=1,SUM('Final Calculation Sheet'!$U$4:$U$40),IF($BH51&gt;0,SUMIFS('Final Calculation Sheet'!$U$4:$U$40,$AZ$5:$AZ$41,$BH51),"")))</f>
        <v/>
      </c>
      <c r="W51" s="652">
        <f>IF($BJ51&gt;0,IF(INDEX('Final Calculation Sheet'!$V$4:$V$40,$BJ51-3)="","",INDEX('Final Calculation Sheet'!$V$4:$V$40,$BJ51-3)),IF(OR($BI51=1,$BH51&gt;0),"–",""))</f>
        <v/>
      </c>
      <c r="X51" s="652">
        <f>IF($BJ51&gt;0,IF(INDEX('Final Calculation Sheet'!$W$4:$W$40,$BJ51-3)="","",INDEX('Final Calculation Sheet'!$W$4:$W$40,$BJ51-3)),IF($BI51=1,SUM('Final Calculation Sheet'!$W$4:$W$40),IF($BH51&gt;0,SUMIFS('Final Calculation Sheet'!$W$4:$W$40,$AZ$5:$AZ$41,$BH51),"")))</f>
        <v/>
      </c>
      <c r="Y51" s="652">
        <f>IF($BJ51&gt;0,IF(INDEX('Final Calculation Sheet'!$X$4:$X$40,$BJ51-3)="","",INDEX('Final Calculation Sheet'!$X$4:$X$40,$BJ51-3)),IF($BI51=1,SUM('Final Calculation Sheet'!$X$4:$X$40),IF($BH51&gt;0,SUMIFS('Final Calculation Sheet'!$X$4:$X$40,$AZ$5:$AZ$41,$BH51),"")))</f>
        <v/>
      </c>
      <c r="Z51" s="652">
        <f>IF($BJ51&gt;0,IF(INDEX('Final Calculation Sheet'!$Y$4:$Y$40,$BJ51-3)="","",INDEX('Final Calculation Sheet'!$Y$4:$Y$40,$BJ51-3)),IF(OR($BI51=1,$BH51&gt;0),"–",""))</f>
        <v/>
      </c>
      <c r="AA51" s="652">
        <f>IF($BJ51&gt;0,IF(INDEX('Final Calculation Sheet'!$Z$4:$Z$40,$BJ51-3)="","",INDEX('Final Calculation Sheet'!$Z$4:$Z$40,$BJ51-3)),IF($BI51=1,SUM('Final Calculation Sheet'!$Z$4:$Z$40),IF($BH51&gt;0,SUMIFS('Final Calculation Sheet'!$Z$4:$Z$40,$AZ$5:$AZ$41,$BH51),"")))</f>
        <v/>
      </c>
      <c r="AB51" s="652">
        <f>IF($BJ51&gt;0,IF(INDEX('Final Calculation Sheet'!$AA$4:$AA$40,$BJ51-3)="","",INDEX('Final Calculation Sheet'!$AA$4:$AA$40,$BJ51-3)),IF($BI51=1,SUM('Final Calculation Sheet'!$AA$4:$AA$40),IF($BH51&gt;0,SUMIFS('Final Calculation Sheet'!$AA$4:$AA$40,$AZ$5:$AZ$41,$BH51),"")))</f>
        <v/>
      </c>
      <c r="AC51" s="652">
        <f>IF($BJ51&gt;0,IF(INDEX('Final Calculation Sheet'!$AB$4:$AB$40,$BJ51-3)="","",INDEX('Final Calculation Sheet'!$AB$4:$AB$40,$BJ51-3)),IF(OR($BI51=1,$BH51&gt;0),"–",""))</f>
        <v/>
      </c>
      <c r="AD51" s="652">
        <f>IF($BJ51&gt;0,IF(INDEX('Final Calculation Sheet'!$AC$4:$AC$40,$BJ51-3)="","",INDEX('Final Calculation Sheet'!$AC$4:$AC$40,$BJ51-3)),IF($BI51=1,SUM('Final Calculation Sheet'!$AC$4:$AC$40),IF($BH51&gt;0,SUMIFS('Final Calculation Sheet'!$AC$4:$AC$40,$AZ$5:$AZ$41,$BH51),"")))</f>
        <v/>
      </c>
      <c r="AE51" s="652">
        <f>IF($BJ51&gt;0,IF(INDEX('Final Calculation Sheet'!$AD$4:$AD$40,$BJ51-3)="","",INDEX('Final Calculation Sheet'!$AD$4:$AD$40,$BJ51-3)),IF($BI51=1,SUM('Final Calculation Sheet'!$AD$4:$AD$40),IF($BH51&gt;0,SUMIFS('Final Calculation Sheet'!$AD$4:$AD$40,$AZ$5:$AZ$41,$BH51),"")))</f>
        <v/>
      </c>
      <c r="AF51" s="652">
        <f>IF($BJ51&gt;0,IF(INDEX('Final Calculation Sheet'!$AE$4:$AE$40,$BJ51-3)="","",INDEX('Final Calculation Sheet'!$AE$4:$AE$40,$BJ51-3)),IF(OR($BI51=1,$BH51&gt;0),"–",""))</f>
        <v/>
      </c>
      <c r="AG51" s="656">
        <f>IF($BJ51&gt;0,IF(INDEX('Final Calculation Sheet'!$AF$4:$AF$40,$BJ51-3)="","",INDEX('Final Calculation Sheet'!$AF$4:$AF$40,$BJ51-3)),IF(OR($BI51=1,$BH51&gt;0),"–",""))</f>
        <v/>
      </c>
      <c r="AH51" s="652">
        <f>IF($BJ51&gt;0,IF(INDEX('Final Calculation Sheet'!$AG$4:$AG$40,$BJ51-3)="","",INDEX('Final Calculation Sheet'!$AG$4:$AG$40,$BJ51-3)),IF(OR($BI51=1,$BH51&gt;0),"–",""))</f>
        <v/>
      </c>
      <c r="AI51" s="657">
        <f>IF($BJ51&gt;0,IF(INDEX('Final Calculation Sheet'!$AD$4:$AD$40,$BJ51-3)="","",IF(INDEX('Final Calculation Sheet'!$AD$4:$AD$40,$BJ51-3)&lt;=0,"SETTLED","OUTSTANDING")),IF(OR($BI51=1,$BH51&gt;0),IF(IF($BI51=1,SUM('Final Calculation Sheet'!$AD$4:$AD$40),SUMIFS('Final Calculation Sheet'!$AD$4:$AD$40,$AZ$5:$AZ$41,$BH51))&lt;=0,"ALL SETTLED","OUTSTANDING"),""))</f>
        <v/>
      </c>
      <c r="BH51">
        <f>IFERROR(MATCH(51,$BF$4:$BF$13,0),0)</f>
        <v/>
      </c>
      <c r="BI51">
        <f>IF(51=$BG$4,1,0)</f>
        <v/>
      </c>
      <c r="BJ51">
        <f>IF(OR($BH51&gt;0,$BI51=1),0,IFERROR(INDEX($BC$5:$BC$41,MATCH(51,$BB$5:$BB$41,0)),0))</f>
        <v/>
      </c>
      <c r="BK51">
        <f>IF($BJ51&gt;0,IF(INDEX($AZ$5:$AZ$41,MATCH(51,$BB$5:$BB$41,0))=10,1,0),IF($BH51=10,1,0))</f>
        <v/>
      </c>
    </row>
    <row r="52" ht="15" customHeight="1">
      <c r="A52" s="649">
        <f>IF($BJ52&gt;0,INDEX($BA$5:$BA$41,MATCH(52,$BB$5:$BB$41,0)),IF(OR($BI52=1,$BH52&gt;0),"∑",""))</f>
        <v/>
      </c>
      <c r="B52" s="650">
        <f>IF($BJ52&gt;0,IF(INDEX('Final Calculation Sheet'!$F$4:$F$40,$BJ52-3)="","",INDEX('Final Calculation Sheet'!$F$4:$F$40,$BJ52-3)),"")</f>
        <v/>
      </c>
      <c r="C52" s="650">
        <f>IF($BJ52&gt;0,IF(INDEX('Final Calculation Sheet'!$G$4:$G$40,$BJ52-3)="","",INDEX('Final Calculation Sheet'!$G$4:$G$40,$BJ52-3)),IF(OR($BI52=1,$BH52&gt;0),IF($BI52=1,37,INDEX($BD$4:$BD$13,$BH52))&amp;" lot(s)",""))</f>
        <v/>
      </c>
      <c r="D52" s="651">
        <f>IF($BJ52&gt;0,IF(INDEX('Final Calculation Sheet'!$B$4:$B$40,$BJ52-3)="","",INDEX('Final Calculation Sheet'!$B$4:$B$40,$BJ52-3)),IF(OR($BI52=1,$BH52&gt;0),IF($BI52=1,"GRAND TOTAL  —  matching + remaining",IF($BH52=10,"REMAINING  —  did not match the search",IF($BH52=9,"ALL LOTS  —  nothing typed in the box","GROUP "&amp;$BH52&amp;" TOTAL  —  lots matching  "&amp;INDEX($AR$6:$AY$6,$BH52)))),""))</f>
        <v/>
      </c>
      <c r="E52" s="651">
        <f>IF($BJ52&gt;0,IF(INDEX('Final Calculation Sheet'!$D$4:$D$40,$BJ52-3)="","",INDEX('Final Calculation Sheet'!$D$4:$D$40,$BJ52-3)),IF(OR($BI52=1,$BH52&gt;0),"–",""))</f>
        <v/>
      </c>
      <c r="F52" s="651">
        <f>IF($BJ52&gt;0,IF(INDEX('Final Calculation Sheet'!$A$4:$A$40,$BJ52-3)="","",INDEX('Final Calculation Sheet'!$A$4:$A$40,$BJ52-3)),IF($BI52=1,SUM('Final Calculation Sheet'!$A$4:$A$40),IF($BH52&gt;0,SUMIFS('Final Calculation Sheet'!$A$4:$A$40,$AZ$5:$AZ$41,$BH52),"")))</f>
        <v/>
      </c>
      <c r="G52" s="651">
        <f>IF($BJ52&gt;0,IF(INDEX('Final Calculation Sheet'!$E$4:$E$40,$BJ52-3)="","",INDEX('Final Calculation Sheet'!$E$4:$E$40,$BJ52-3)),IF(OR($BI52=1,$BH52&gt;0),"–",""))</f>
        <v/>
      </c>
      <c r="H52" s="652">
        <f>IF($BJ52&gt;0,IF(INDEX('Final Calculation Sheet'!$C$4:$C$40,$BJ52-3)="","",INDEX('Final Calculation Sheet'!$C$4:$C$40,$BJ52-3)),IF(OR($BI52=1,$BH52&gt;0),"–",""))</f>
        <v/>
      </c>
      <c r="I52" s="652">
        <f>IF($BJ52&gt;0,IF(INDEX('Final Calculation Sheet'!$H$4:$H$40,$BJ52-3)="","",INDEX('Final Calculation Sheet'!$H$4:$H$40,$BJ52-3)),IF($BI52=1,SUM('Final Calculation Sheet'!$H$4:$H$40),IF($BH52&gt;0,SUMIFS('Final Calculation Sheet'!$H$4:$H$40,$AZ$5:$AZ$41,$BH52),"")))</f>
        <v/>
      </c>
      <c r="J52" s="652">
        <f>IF($BJ52&gt;0,IF(INDEX('Final Calculation Sheet'!$I$4:$I$40,$BJ52-3)="","",INDEX('Final Calculation Sheet'!$I$4:$I$40,$BJ52-3)),IF($BI52=1,SUM('Final Calculation Sheet'!$I$4:$I$40),IF($BH52&gt;0,SUMIFS('Final Calculation Sheet'!$I$4:$I$40,$AZ$5:$AZ$41,$BH52),"")))</f>
        <v/>
      </c>
      <c r="K52" s="652">
        <f>IF($BJ52&gt;0,IF(INDEX('Final Calculation Sheet'!$J$4:$J$40,$BJ52-3)="","",INDEX('Final Calculation Sheet'!$J$4:$J$40,$BJ52-3)),IF($BI52=1,SUM('Final Calculation Sheet'!$J$4:$J$40),IF($BH52&gt;0,SUMIFS('Final Calculation Sheet'!$J$4:$J$40,$AZ$5:$AZ$41,$BH52),"")))</f>
        <v/>
      </c>
      <c r="L52" s="652">
        <f>IF($BJ52&gt;0,IF(INDEX('Final Calculation Sheet'!$K$4:$K$40,$BJ52-3)="","",INDEX('Final Calculation Sheet'!$K$4:$K$40,$BJ52-3)),IF($BI52=1,SUM('Final Calculation Sheet'!$K$4:$K$40),IF($BH52&gt;0,SUMIFS('Final Calculation Sheet'!$K$4:$K$40,$AZ$5:$AZ$41,$BH52),"")))</f>
        <v/>
      </c>
      <c r="M52" s="652">
        <f>IF($BJ52&gt;0,IF(INDEX('Final Calculation Sheet'!$L$4:$L$40,$BJ52-3)="","",INDEX('Final Calculation Sheet'!$L$4:$L$40,$BJ52-3)),IF($BI52=1,SUM('Final Calculation Sheet'!$L$4:$L$40),IF($BH52&gt;0,SUMIFS('Final Calculation Sheet'!$L$4:$L$40,$AZ$5:$AZ$41,$BH52),"")))</f>
        <v/>
      </c>
      <c r="N52" s="652">
        <f>IF($BJ52&gt;0,IF(INDEX('Final Calculation Sheet'!$M$4:$M$40,$BJ52-3)="","",INDEX('Final Calculation Sheet'!$M$4:$M$40,$BJ52-3)),IF($BI52=1,SUM('Final Calculation Sheet'!$M$4:$M$40),IF($BH52&gt;0,SUMIFS('Final Calculation Sheet'!$M$4:$M$40,$AZ$5:$AZ$41,$BH52),"")))</f>
        <v/>
      </c>
      <c r="O52" s="653">
        <f>IF($BJ52&gt;0,IF(INDEX('Final Calculation Sheet'!$N$4:$N$40,$BJ52-3)="","",INDEX('Final Calculation Sheet'!$N$4:$N$40,$BJ52-3)),IF($BI52=1,SUM('Final Calculation Sheet'!$N$4:$N$40),IF($BH52&gt;0,SUMIFS('Final Calculation Sheet'!$N$4:$N$40,$AZ$5:$AZ$41,$BH52),"")))</f>
        <v/>
      </c>
      <c r="P52" s="652">
        <f>IF($BJ52&gt;0,IF(INDEX('Final Calculation Sheet'!$O$4:$O$40,$BJ52-3)="","",INDEX('Final Calculation Sheet'!$O$4:$O$40,$BJ52-3)),IF($BI52=1,SUM('Final Calculation Sheet'!$O$4:$O$40),IF($BH52&gt;0,SUMIFS('Final Calculation Sheet'!$O$4:$O$40,$AZ$5:$AZ$41,$BH52),"")))</f>
        <v/>
      </c>
      <c r="Q52" s="652">
        <f>IF($BJ52&gt;0,IF(INDEX('Final Calculation Sheet'!$P$4:$P$40,$BJ52-3)="","",INDEX('Final Calculation Sheet'!$P$4:$P$40,$BJ52-3)),IF($BI52=1,SUM('Final Calculation Sheet'!$P$4:$P$40),IF($BH52&gt;0,SUMIFS('Final Calculation Sheet'!$P$4:$P$40,$AZ$5:$AZ$41,$BH52),"")))</f>
        <v/>
      </c>
      <c r="R52" s="654">
        <f>IF($BJ52&gt;0,IF(INDEX('Final Calculation Sheet'!$Q$4:$Q$40,$BJ52-3)="","",INDEX('Final Calculation Sheet'!$Q$4:$Q$40,$BJ52-3)),IF(OR($BI52=1,$BH52&gt;0),"–",""))</f>
        <v/>
      </c>
      <c r="S52" s="652">
        <f>IF($BJ52&gt;0,IF(INDEX('Final Calculation Sheet'!$R$4:$R$40,$BJ52-3)="","",INDEX('Final Calculation Sheet'!$R$4:$R$40,$BJ52-3)),IF($BI52=1,SUM('Final Calculation Sheet'!$R$4:$R$40),IF($BH52&gt;0,SUMIFS('Final Calculation Sheet'!$R$4:$R$40,$AZ$5:$AZ$41,$BH52),"")))</f>
        <v/>
      </c>
      <c r="T52" s="652">
        <f>IF($BJ52&gt;0,IF(INDEX('Final Calculation Sheet'!$S$4:$S$40,$BJ52-3)="","",INDEX('Final Calculation Sheet'!$S$4:$S$40,$BJ52-3)),IF($BI52=1,SUM('Final Calculation Sheet'!$S$4:$S$40),IF($BH52&gt;0,SUMIFS('Final Calculation Sheet'!$S$4:$S$40,$AZ$5:$AZ$41,$BH52),"")))</f>
        <v/>
      </c>
      <c r="U52" s="652">
        <f>IF($BJ52&gt;0,IF(INDEX('Final Calculation Sheet'!$T$4:$T$40,$BJ52-3)="","",INDEX('Final Calculation Sheet'!$T$4:$T$40,$BJ52-3)),IF($BI52=1,SUM('Final Calculation Sheet'!$T$4:$T$40),IF($BH52&gt;0,SUMIFS('Final Calculation Sheet'!$T$4:$T$40,$AZ$5:$AZ$41,$BH52),"")))</f>
        <v/>
      </c>
      <c r="V52" s="655">
        <f>IF($BJ52&gt;0,IF(INDEX('Final Calculation Sheet'!$U$4:$U$40,$BJ52-3)="","",INDEX('Final Calculation Sheet'!$U$4:$U$40,$BJ52-3)),IF($BI52=1,SUM('Final Calculation Sheet'!$U$4:$U$40),IF($BH52&gt;0,SUMIFS('Final Calculation Sheet'!$U$4:$U$40,$AZ$5:$AZ$41,$BH52),"")))</f>
        <v/>
      </c>
      <c r="W52" s="652">
        <f>IF($BJ52&gt;0,IF(INDEX('Final Calculation Sheet'!$V$4:$V$40,$BJ52-3)="","",INDEX('Final Calculation Sheet'!$V$4:$V$40,$BJ52-3)),IF(OR($BI52=1,$BH52&gt;0),"–",""))</f>
        <v/>
      </c>
      <c r="X52" s="652">
        <f>IF($BJ52&gt;0,IF(INDEX('Final Calculation Sheet'!$W$4:$W$40,$BJ52-3)="","",INDEX('Final Calculation Sheet'!$W$4:$W$40,$BJ52-3)),IF($BI52=1,SUM('Final Calculation Sheet'!$W$4:$W$40),IF($BH52&gt;0,SUMIFS('Final Calculation Sheet'!$W$4:$W$40,$AZ$5:$AZ$41,$BH52),"")))</f>
        <v/>
      </c>
      <c r="Y52" s="652">
        <f>IF($BJ52&gt;0,IF(INDEX('Final Calculation Sheet'!$X$4:$X$40,$BJ52-3)="","",INDEX('Final Calculation Sheet'!$X$4:$X$40,$BJ52-3)),IF($BI52=1,SUM('Final Calculation Sheet'!$X$4:$X$40),IF($BH52&gt;0,SUMIFS('Final Calculation Sheet'!$X$4:$X$40,$AZ$5:$AZ$41,$BH52),"")))</f>
        <v/>
      </c>
      <c r="Z52" s="652">
        <f>IF($BJ52&gt;0,IF(INDEX('Final Calculation Sheet'!$Y$4:$Y$40,$BJ52-3)="","",INDEX('Final Calculation Sheet'!$Y$4:$Y$40,$BJ52-3)),IF(OR($BI52=1,$BH52&gt;0),"–",""))</f>
        <v/>
      </c>
      <c r="AA52" s="652">
        <f>IF($BJ52&gt;0,IF(INDEX('Final Calculation Sheet'!$Z$4:$Z$40,$BJ52-3)="","",INDEX('Final Calculation Sheet'!$Z$4:$Z$40,$BJ52-3)),IF($BI52=1,SUM('Final Calculation Sheet'!$Z$4:$Z$40),IF($BH52&gt;0,SUMIFS('Final Calculation Sheet'!$Z$4:$Z$40,$AZ$5:$AZ$41,$BH52),"")))</f>
        <v/>
      </c>
      <c r="AB52" s="652">
        <f>IF($BJ52&gt;0,IF(INDEX('Final Calculation Sheet'!$AA$4:$AA$40,$BJ52-3)="","",INDEX('Final Calculation Sheet'!$AA$4:$AA$40,$BJ52-3)),IF($BI52=1,SUM('Final Calculation Sheet'!$AA$4:$AA$40),IF($BH52&gt;0,SUMIFS('Final Calculation Sheet'!$AA$4:$AA$40,$AZ$5:$AZ$41,$BH52),"")))</f>
        <v/>
      </c>
      <c r="AC52" s="652">
        <f>IF($BJ52&gt;0,IF(INDEX('Final Calculation Sheet'!$AB$4:$AB$40,$BJ52-3)="","",INDEX('Final Calculation Sheet'!$AB$4:$AB$40,$BJ52-3)),IF(OR($BI52=1,$BH52&gt;0),"–",""))</f>
        <v/>
      </c>
      <c r="AD52" s="652">
        <f>IF($BJ52&gt;0,IF(INDEX('Final Calculation Sheet'!$AC$4:$AC$40,$BJ52-3)="","",INDEX('Final Calculation Sheet'!$AC$4:$AC$40,$BJ52-3)),IF($BI52=1,SUM('Final Calculation Sheet'!$AC$4:$AC$40),IF($BH52&gt;0,SUMIFS('Final Calculation Sheet'!$AC$4:$AC$40,$AZ$5:$AZ$41,$BH52),"")))</f>
        <v/>
      </c>
      <c r="AE52" s="652">
        <f>IF($BJ52&gt;0,IF(INDEX('Final Calculation Sheet'!$AD$4:$AD$40,$BJ52-3)="","",INDEX('Final Calculation Sheet'!$AD$4:$AD$40,$BJ52-3)),IF($BI52=1,SUM('Final Calculation Sheet'!$AD$4:$AD$40),IF($BH52&gt;0,SUMIFS('Final Calculation Sheet'!$AD$4:$AD$40,$AZ$5:$AZ$41,$BH52),"")))</f>
        <v/>
      </c>
      <c r="AF52" s="652">
        <f>IF($BJ52&gt;0,IF(INDEX('Final Calculation Sheet'!$AE$4:$AE$40,$BJ52-3)="","",INDEX('Final Calculation Sheet'!$AE$4:$AE$40,$BJ52-3)),IF(OR($BI52=1,$BH52&gt;0),"–",""))</f>
        <v/>
      </c>
      <c r="AG52" s="656">
        <f>IF($BJ52&gt;0,IF(INDEX('Final Calculation Sheet'!$AF$4:$AF$40,$BJ52-3)="","",INDEX('Final Calculation Sheet'!$AF$4:$AF$40,$BJ52-3)),IF(OR($BI52=1,$BH52&gt;0),"–",""))</f>
        <v/>
      </c>
      <c r="AH52" s="652">
        <f>IF($BJ52&gt;0,IF(INDEX('Final Calculation Sheet'!$AG$4:$AG$40,$BJ52-3)="","",INDEX('Final Calculation Sheet'!$AG$4:$AG$40,$BJ52-3)),IF(OR($BI52=1,$BH52&gt;0),"–",""))</f>
        <v/>
      </c>
      <c r="AI52" s="657">
        <f>IF($BJ52&gt;0,IF(INDEX('Final Calculation Sheet'!$AD$4:$AD$40,$BJ52-3)="","",IF(INDEX('Final Calculation Sheet'!$AD$4:$AD$40,$BJ52-3)&lt;=0,"SETTLED","OUTSTANDING")),IF(OR($BI52=1,$BH52&gt;0),IF(IF($BI52=1,SUM('Final Calculation Sheet'!$AD$4:$AD$40),SUMIFS('Final Calculation Sheet'!$AD$4:$AD$40,$AZ$5:$AZ$41,$BH52))&lt;=0,"ALL SETTLED","OUTSTANDING"),""))</f>
        <v/>
      </c>
      <c r="BH52">
        <f>IFERROR(MATCH(52,$BF$4:$BF$13,0),0)</f>
        <v/>
      </c>
      <c r="BI52">
        <f>IF(52=$BG$4,1,0)</f>
        <v/>
      </c>
      <c r="BJ52">
        <f>IF(OR($BH52&gt;0,$BI52=1),0,IFERROR(INDEX($BC$5:$BC$41,MATCH(52,$BB$5:$BB$41,0)),0))</f>
        <v/>
      </c>
      <c r="BK52">
        <f>IF($BJ52&gt;0,IF(INDEX($AZ$5:$AZ$41,MATCH(52,$BB$5:$BB$41,0))=10,1,0),IF($BH52=10,1,0))</f>
        <v/>
      </c>
    </row>
  </sheetData>
  <mergeCells count="4">
    <mergeCell ref="A2:AI2"/>
    <mergeCell ref="B3:D3"/>
    <mergeCell ref="I3:AI3"/>
    <mergeCell ref="A1:AI1"/>
  </mergeCells>
  <conditionalFormatting sqref="A5:AH52">
    <cfRule type="expression" priority="1" dxfId="15">
      <formula>AND($B$3&lt;&gt;"",$BK5=1,$BH5=0,$BI5=0)</formula>
    </cfRule>
    <cfRule type="expression" priority="2" dxfId="16">
      <formula>$BH5=10</formula>
    </cfRule>
    <cfRule type="expression" priority="3" dxfId="17">
      <formula>$BI5=1</formula>
    </cfRule>
    <cfRule type="expression" priority="4" dxfId="18">
      <formula>$BH5&gt;0</formula>
    </cfRule>
    <cfRule type="expression" priority="5" dxfId="19">
      <formula>AND($B$3&lt;&gt;"",$BJ5&gt;0,$BK5=0)</formula>
    </cfRule>
    <cfRule type="expression" priority="6" dxfId="20">
      <formula>AND($BJ5&gt;0,MOD($BJ5,2)=0)</formula>
    </cfRule>
  </conditionalFormatting>
  <conditionalFormatting sqref="AE5:AE52">
    <cfRule type="cellIs" priority="7" operator="greaterThan" dxfId="8">
      <formula>0</formula>
    </cfRule>
  </conditionalFormatting>
  <conditionalFormatting sqref="AI5:AI52">
    <cfRule type="cellIs" priority="8" operator="equal" dxfId="21">
      <formula>"SETTLED"</formula>
    </cfRule>
    <cfRule type="cellIs" priority="9" operator="equal" dxfId="22">
      <formula>"OUTSTANDING"</formula>
    </cfRule>
  </conditionalFormatting>
  <conditionalFormatting sqref="A5:AI52">
    <cfRule type="expression" priority="10" dxfId="14">
      <formula>OR($BJ5&gt;0,$BH5&gt;0,$BI5=1)</formula>
    </cfRule>
  </conditionalFormatting>
  <dataValidations count="1">
    <dataValidation sqref="F3" showDropDown="0" showInputMessage="0" showErrorMessage="0" allowBlank="0" type="list">
      <formula1>$AO$4:$AO$9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658" t="inlineStr">
        <is>
          <t>MSTC LIMITED  •  FINAL CALCULATION SHEET, TRANSPOSED   (field labels ↓ rows  |  values → columns)</t>
        </is>
      </c>
    </row>
    <row r="2" ht="32" customHeight="1">
      <c r="A2" s="659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669" t="inlineStr">
        <is>
          <t>FIELD (row 3 of the source)  ▸  |  LOT →</t>
        </is>
      </c>
      <c r="B3" s="670">
        <f>IF('Final Calculation Sheet'!$F$4="","",'Final Calculation Sheet'!$F$4)</f>
        <v/>
      </c>
      <c r="C3" s="671">
        <f>IF('Final Calculation Sheet'!$F$5="","",'Final Calculation Sheet'!$F$5)</f>
        <v/>
      </c>
      <c r="D3" s="671">
        <f>IF('Final Calculation Sheet'!$F$6="","",'Final Calculation Sheet'!$F$6)</f>
        <v/>
      </c>
      <c r="E3" s="671">
        <f>IF('Final Calculation Sheet'!$F$7="","",'Final Calculation Sheet'!$F$7)</f>
        <v/>
      </c>
      <c r="F3" s="670">
        <f>IF('Final Calculation Sheet'!$F$8="","",'Final Calculation Sheet'!$F$8)</f>
        <v/>
      </c>
      <c r="G3" s="671">
        <f>IF('Final Calculation Sheet'!$F$9="","",'Final Calculation Sheet'!$F$9)</f>
        <v/>
      </c>
      <c r="H3" s="671">
        <f>IF('Final Calculation Sheet'!$F$10="","",'Final Calculation Sheet'!$F$10)</f>
        <v/>
      </c>
      <c r="I3" s="671">
        <f>IF('Final Calculation Sheet'!$F$11="","",'Final Calculation Sheet'!$F$11)</f>
        <v/>
      </c>
      <c r="J3" s="671">
        <f>IF('Final Calculation Sheet'!$F$12="","",'Final Calculation Sheet'!$F$12)</f>
        <v/>
      </c>
      <c r="K3" s="671">
        <f>IF('Final Calculation Sheet'!$F$13="","",'Final Calculation Sheet'!$F$13)</f>
        <v/>
      </c>
      <c r="L3" s="671">
        <f>IF('Final Calculation Sheet'!$F$14="","",'Final Calculation Sheet'!$F$14)</f>
        <v/>
      </c>
      <c r="M3" s="671">
        <f>IF('Final Calculation Sheet'!$F$15="","",'Final Calculation Sheet'!$F$15)</f>
        <v/>
      </c>
      <c r="N3" s="671">
        <f>IF('Final Calculation Sheet'!$F$16="","",'Final Calculation Sheet'!$F$16)</f>
        <v/>
      </c>
      <c r="O3" s="672">
        <f>IF('Final Calculation Sheet'!$F$17="","",'Final Calculation Sheet'!$F$17)</f>
        <v/>
      </c>
      <c r="P3" s="672">
        <f>IF('Final Calculation Sheet'!$F$18="","",'Final Calculation Sheet'!$F$18)</f>
        <v/>
      </c>
      <c r="Q3" s="672">
        <f>IF('Final Calculation Sheet'!$F$19="","",'Final Calculation Sheet'!$F$19)</f>
        <v/>
      </c>
      <c r="R3" s="672">
        <f>IF('Final Calculation Sheet'!$F$20="","",'Final Calculation Sheet'!$F$20)</f>
        <v/>
      </c>
      <c r="S3" s="672">
        <f>IF('Final Calculation Sheet'!$F$21="","",'Final Calculation Sheet'!$F$21)</f>
        <v/>
      </c>
      <c r="T3" s="672">
        <f>IF('Final Calculation Sheet'!$F$22="","",'Final Calculation Sheet'!$F$22)</f>
        <v/>
      </c>
      <c r="U3" s="672">
        <f>IF('Final Calculation Sheet'!$F$23="","",'Final Calculation Sheet'!$F$23)</f>
        <v/>
      </c>
      <c r="V3" s="672">
        <f>IF('Final Calculation Sheet'!$F$24="","",'Final Calculation Sheet'!$F$24)</f>
        <v/>
      </c>
      <c r="W3" s="672">
        <f>IF('Final Calculation Sheet'!$F$25="","",'Final Calculation Sheet'!$F$25)</f>
        <v/>
      </c>
      <c r="X3" s="672">
        <f>IF('Final Calculation Sheet'!$F$26="","",'Final Calculation Sheet'!$F$26)</f>
        <v/>
      </c>
      <c r="Y3" s="672">
        <f>IF('Final Calculation Sheet'!$F$27="","",'Final Calculation Sheet'!$F$27)</f>
        <v/>
      </c>
      <c r="Z3" s="672">
        <f>IF('Final Calculation Sheet'!$F$28="","",'Final Calculation Sheet'!$F$28)</f>
        <v/>
      </c>
      <c r="AA3" s="672">
        <f>IF('Final Calculation Sheet'!$F$29="","",'Final Calculation Sheet'!$F$29)</f>
        <v/>
      </c>
      <c r="AB3" s="673">
        <f>IF('Final Calculation Sheet'!$F$30="","",'Final Calculation Sheet'!$F$30)</f>
        <v/>
      </c>
      <c r="AC3" s="673">
        <f>IF('Final Calculation Sheet'!$F$31="","",'Final Calculation Sheet'!$F$31)</f>
        <v/>
      </c>
      <c r="AD3" s="673">
        <f>IF('Final Calculation Sheet'!$F$32="","",'Final Calculation Sheet'!$F$32)</f>
        <v/>
      </c>
      <c r="AE3" s="673">
        <f>IF('Final Calculation Sheet'!$F$33="","",'Final Calculation Sheet'!$F$33)</f>
        <v/>
      </c>
      <c r="AF3" s="673">
        <f>IF('Final Calculation Sheet'!$F$34="","",'Final Calculation Sheet'!$F$34)</f>
        <v/>
      </c>
      <c r="AG3" s="670">
        <f>IF('Final Calculation Sheet'!$F$35="","",'Final Calculation Sheet'!$F$35)</f>
        <v/>
      </c>
      <c r="AH3" s="670">
        <f>IF('Final Calculation Sheet'!$F$36="","",'Final Calculation Sheet'!$F$36)</f>
        <v/>
      </c>
      <c r="AI3" s="670">
        <f>IF('Final Calculation Sheet'!$F$37="","",'Final Calculation Sheet'!$F$37)</f>
        <v/>
      </c>
      <c r="AJ3" s="670">
        <f>IF('Final Calculation Sheet'!$F$38="","",'Final Calculation Sheet'!$F$38)</f>
        <v/>
      </c>
      <c r="AK3" s="670">
        <f>IF('Final Calculation Sheet'!$F$39="","",'Final Calculation Sheet'!$F$39)</f>
        <v/>
      </c>
      <c r="AL3" s="670">
        <f>IF('Final Calculation Sheet'!$F$40="","",'Final Calculation Sheet'!$F$40)</f>
        <v/>
      </c>
      <c r="AM3" s="674" t="inlineStr">
        <is>
          <t>TOTAL (src row 41)</t>
        </is>
      </c>
    </row>
    <row r="4" ht="15" customHeight="1">
      <c r="A4" s="675" t="inlineStr">
        <is>
          <t>Quantity</t>
        </is>
      </c>
      <c r="B4" s="69">
        <f>IF('Final Calculation Sheet'!$A$4="","",'Final Calculation Sheet'!$A$4)</f>
        <v/>
      </c>
      <c r="C4" s="676">
        <f>IF('Final Calculation Sheet'!$A$5="","",'Final Calculation Sheet'!$A$5)</f>
        <v/>
      </c>
      <c r="D4" s="69">
        <f>IF('Final Calculation Sheet'!$A$6="","",'Final Calculation Sheet'!$A$6)</f>
        <v/>
      </c>
      <c r="E4" s="676">
        <f>IF('Final Calculation Sheet'!$A$7="","",'Final Calculation Sheet'!$A$7)</f>
        <v/>
      </c>
      <c r="F4" s="69">
        <f>IF('Final Calculation Sheet'!$A$8="","",'Final Calculation Sheet'!$A$8)</f>
        <v/>
      </c>
      <c r="G4" s="676">
        <f>IF('Final Calculation Sheet'!$A$9="","",'Final Calculation Sheet'!$A$9)</f>
        <v/>
      </c>
      <c r="H4" s="69">
        <f>IF('Final Calculation Sheet'!$A$10="","",'Final Calculation Sheet'!$A$10)</f>
        <v/>
      </c>
      <c r="I4" s="676">
        <f>IF('Final Calculation Sheet'!$A$11="","",'Final Calculation Sheet'!$A$11)</f>
        <v/>
      </c>
      <c r="J4" s="69">
        <f>IF('Final Calculation Sheet'!$A$12="","",'Final Calculation Sheet'!$A$12)</f>
        <v/>
      </c>
      <c r="K4" s="676">
        <f>IF('Final Calculation Sheet'!$A$13="","",'Final Calculation Sheet'!$A$13)</f>
        <v/>
      </c>
      <c r="L4" s="69">
        <f>IF('Final Calculation Sheet'!$A$14="","",'Final Calculation Sheet'!$A$14)</f>
        <v/>
      </c>
      <c r="M4" s="676">
        <f>IF('Final Calculation Sheet'!$A$15="","",'Final Calculation Sheet'!$A$15)</f>
        <v/>
      </c>
      <c r="N4" s="69">
        <f>IF('Final Calculation Sheet'!$A$16="","",'Final Calculation Sheet'!$A$16)</f>
        <v/>
      </c>
      <c r="O4" s="676">
        <f>IF('Final Calculation Sheet'!$A$17="","",'Final Calculation Sheet'!$A$17)</f>
        <v/>
      </c>
      <c r="P4" s="69">
        <f>IF('Final Calculation Sheet'!$A$18="","",'Final Calculation Sheet'!$A$18)</f>
        <v/>
      </c>
      <c r="Q4" s="676">
        <f>IF('Final Calculation Sheet'!$A$19="","",'Final Calculation Sheet'!$A$19)</f>
        <v/>
      </c>
      <c r="R4" s="69">
        <f>IF('Final Calculation Sheet'!$A$20="","",'Final Calculation Sheet'!$A$20)</f>
        <v/>
      </c>
      <c r="S4" s="676">
        <f>IF('Final Calculation Sheet'!$A$21="","",'Final Calculation Sheet'!$A$21)</f>
        <v/>
      </c>
      <c r="T4" s="69">
        <f>IF('Final Calculation Sheet'!$A$22="","",'Final Calculation Sheet'!$A$22)</f>
        <v/>
      </c>
      <c r="U4" s="676">
        <f>IF('Final Calculation Sheet'!$A$23="","",'Final Calculation Sheet'!$A$23)</f>
        <v/>
      </c>
      <c r="V4" s="69">
        <f>IF('Final Calculation Sheet'!$A$24="","",'Final Calculation Sheet'!$A$24)</f>
        <v/>
      </c>
      <c r="W4" s="676">
        <f>IF('Final Calculation Sheet'!$A$25="","",'Final Calculation Sheet'!$A$25)</f>
        <v/>
      </c>
      <c r="X4" s="69">
        <f>IF('Final Calculation Sheet'!$A$26="","",'Final Calculation Sheet'!$A$26)</f>
        <v/>
      </c>
      <c r="Y4" s="676">
        <f>IF('Final Calculation Sheet'!$A$27="","",'Final Calculation Sheet'!$A$27)</f>
        <v/>
      </c>
      <c r="Z4" s="69">
        <f>IF('Final Calculation Sheet'!$A$28="","",'Final Calculation Sheet'!$A$28)</f>
        <v/>
      </c>
      <c r="AA4" s="676">
        <f>IF('Final Calculation Sheet'!$A$29="","",'Final Calculation Sheet'!$A$29)</f>
        <v/>
      </c>
      <c r="AB4" s="69">
        <f>IF('Final Calculation Sheet'!$A$30="","",'Final Calculation Sheet'!$A$30)</f>
        <v/>
      </c>
      <c r="AC4" s="676">
        <f>IF('Final Calculation Sheet'!$A$31="","",'Final Calculation Sheet'!$A$31)</f>
        <v/>
      </c>
      <c r="AD4" s="69">
        <f>IF('Final Calculation Sheet'!$A$32="","",'Final Calculation Sheet'!$A$32)</f>
        <v/>
      </c>
      <c r="AE4" s="676">
        <f>IF('Final Calculation Sheet'!$A$33="","",'Final Calculation Sheet'!$A$33)</f>
        <v/>
      </c>
      <c r="AF4" s="69">
        <f>IF('Final Calculation Sheet'!$A$34="","",'Final Calculation Sheet'!$A$34)</f>
        <v/>
      </c>
      <c r="AG4" s="676">
        <f>IF('Final Calculation Sheet'!$A$35="","",'Final Calculation Sheet'!$A$35)</f>
        <v/>
      </c>
      <c r="AH4" s="69">
        <f>IF('Final Calculation Sheet'!$A$36="","",'Final Calculation Sheet'!$A$36)</f>
        <v/>
      </c>
      <c r="AI4" s="676">
        <f>IF('Final Calculation Sheet'!$A$37="","",'Final Calculation Sheet'!$A$37)</f>
        <v/>
      </c>
      <c r="AJ4" s="69">
        <f>IF('Final Calculation Sheet'!$A$38="","",'Final Calculation Sheet'!$A$38)</f>
        <v/>
      </c>
      <c r="AK4" s="676">
        <f>IF('Final Calculation Sheet'!$A$39="","",'Final Calculation Sheet'!$A$39)</f>
        <v/>
      </c>
      <c r="AL4" s="69">
        <f>IF('Final Calculation Sheet'!$A$40="","",'Final Calculation Sheet'!$A$40)</f>
        <v/>
      </c>
      <c r="AM4" s="677">
        <f>IF('Final Calculation Sheet'!$A$41="","",'Final Calculation Sheet'!$A$41)</f>
        <v/>
      </c>
    </row>
    <row r="5" ht="15" customHeight="1">
      <c r="A5" s="678" t="inlineStr">
        <is>
          <t>Lot Name</t>
        </is>
      </c>
      <c r="B5" s="69">
        <f>IF('Final Calculation Sheet'!$B$4="","",'Final Calculation Sheet'!$B$4)</f>
        <v/>
      </c>
      <c r="C5" s="676">
        <f>IF('Final Calculation Sheet'!$B$5="","",'Final Calculation Sheet'!$B$5)</f>
        <v/>
      </c>
      <c r="D5" s="69">
        <f>IF('Final Calculation Sheet'!$B$6="","",'Final Calculation Sheet'!$B$6)</f>
        <v/>
      </c>
      <c r="E5" s="676">
        <f>IF('Final Calculation Sheet'!$B$7="","",'Final Calculation Sheet'!$B$7)</f>
        <v/>
      </c>
      <c r="F5" s="69">
        <f>IF('Final Calculation Sheet'!$B$8="","",'Final Calculation Sheet'!$B$8)</f>
        <v/>
      </c>
      <c r="G5" s="676">
        <f>IF('Final Calculation Sheet'!$B$9="","",'Final Calculation Sheet'!$B$9)</f>
        <v/>
      </c>
      <c r="H5" s="69">
        <f>IF('Final Calculation Sheet'!$B$10="","",'Final Calculation Sheet'!$B$10)</f>
        <v/>
      </c>
      <c r="I5" s="676">
        <f>IF('Final Calculation Sheet'!$B$11="","",'Final Calculation Sheet'!$B$11)</f>
        <v/>
      </c>
      <c r="J5" s="69">
        <f>IF('Final Calculation Sheet'!$B$12="","",'Final Calculation Sheet'!$B$12)</f>
        <v/>
      </c>
      <c r="K5" s="676">
        <f>IF('Final Calculation Sheet'!$B$13="","",'Final Calculation Sheet'!$B$13)</f>
        <v/>
      </c>
      <c r="L5" s="69">
        <f>IF('Final Calculation Sheet'!$B$14="","",'Final Calculation Sheet'!$B$14)</f>
        <v/>
      </c>
      <c r="M5" s="676">
        <f>IF('Final Calculation Sheet'!$B$15="","",'Final Calculation Sheet'!$B$15)</f>
        <v/>
      </c>
      <c r="N5" s="69">
        <f>IF('Final Calculation Sheet'!$B$16="","",'Final Calculation Sheet'!$B$16)</f>
        <v/>
      </c>
      <c r="O5" s="676">
        <f>IF('Final Calculation Sheet'!$B$17="","",'Final Calculation Sheet'!$B$17)</f>
        <v/>
      </c>
      <c r="P5" s="69">
        <f>IF('Final Calculation Sheet'!$B$18="","",'Final Calculation Sheet'!$B$18)</f>
        <v/>
      </c>
      <c r="Q5" s="676">
        <f>IF('Final Calculation Sheet'!$B$19="","",'Final Calculation Sheet'!$B$19)</f>
        <v/>
      </c>
      <c r="R5" s="69">
        <f>IF('Final Calculation Sheet'!$B$20="","",'Final Calculation Sheet'!$B$20)</f>
        <v/>
      </c>
      <c r="S5" s="676">
        <f>IF('Final Calculation Sheet'!$B$21="","",'Final Calculation Sheet'!$B$21)</f>
        <v/>
      </c>
      <c r="T5" s="69">
        <f>IF('Final Calculation Sheet'!$B$22="","",'Final Calculation Sheet'!$B$22)</f>
        <v/>
      </c>
      <c r="U5" s="676">
        <f>IF('Final Calculation Sheet'!$B$23="","",'Final Calculation Sheet'!$B$23)</f>
        <v/>
      </c>
      <c r="V5" s="69">
        <f>IF('Final Calculation Sheet'!$B$24="","",'Final Calculation Sheet'!$B$24)</f>
        <v/>
      </c>
      <c r="W5" s="676">
        <f>IF('Final Calculation Sheet'!$B$25="","",'Final Calculation Sheet'!$B$25)</f>
        <v/>
      </c>
      <c r="X5" s="69">
        <f>IF('Final Calculation Sheet'!$B$26="","",'Final Calculation Sheet'!$B$26)</f>
        <v/>
      </c>
      <c r="Y5" s="676">
        <f>IF('Final Calculation Sheet'!$B$27="","",'Final Calculation Sheet'!$B$27)</f>
        <v/>
      </c>
      <c r="Z5" s="69">
        <f>IF('Final Calculation Sheet'!$B$28="","",'Final Calculation Sheet'!$B$28)</f>
        <v/>
      </c>
      <c r="AA5" s="676">
        <f>IF('Final Calculation Sheet'!$B$29="","",'Final Calculation Sheet'!$B$29)</f>
        <v/>
      </c>
      <c r="AB5" s="69">
        <f>IF('Final Calculation Sheet'!$B$30="","",'Final Calculation Sheet'!$B$30)</f>
        <v/>
      </c>
      <c r="AC5" s="676">
        <f>IF('Final Calculation Sheet'!$B$31="","",'Final Calculation Sheet'!$B$31)</f>
        <v/>
      </c>
      <c r="AD5" s="69">
        <f>IF('Final Calculation Sheet'!$B$32="","",'Final Calculation Sheet'!$B$32)</f>
        <v/>
      </c>
      <c r="AE5" s="676">
        <f>IF('Final Calculation Sheet'!$B$33="","",'Final Calculation Sheet'!$B$33)</f>
        <v/>
      </c>
      <c r="AF5" s="69">
        <f>IF('Final Calculation Sheet'!$B$34="","",'Final Calculation Sheet'!$B$34)</f>
        <v/>
      </c>
      <c r="AG5" s="676">
        <f>IF('Final Calculation Sheet'!$B$35="","",'Final Calculation Sheet'!$B$35)</f>
        <v/>
      </c>
      <c r="AH5" s="69">
        <f>IF('Final Calculation Sheet'!$B$36="","",'Final Calculation Sheet'!$B$36)</f>
        <v/>
      </c>
      <c r="AI5" s="676">
        <f>IF('Final Calculation Sheet'!$B$37="","",'Final Calculation Sheet'!$B$37)</f>
        <v/>
      </c>
      <c r="AJ5" s="69">
        <f>IF('Final Calculation Sheet'!$B$38="","",'Final Calculation Sheet'!$B$38)</f>
        <v/>
      </c>
      <c r="AK5" s="676">
        <f>IF('Final Calculation Sheet'!$B$39="","",'Final Calculation Sheet'!$B$39)</f>
        <v/>
      </c>
      <c r="AL5" s="69">
        <f>IF('Final Calculation Sheet'!$B$40="","",'Final Calculation Sheet'!$B$40)</f>
        <v/>
      </c>
      <c r="AM5" s="677">
        <f>IF('Final Calculation Sheet'!$B$41="","",'Final Calculation Sheet'!$B$41)</f>
        <v/>
      </c>
    </row>
    <row r="6" ht="15" customHeight="1">
      <c r="A6" s="675" t="inlineStr">
        <is>
          <t>Rate</t>
        </is>
      </c>
      <c r="B6" s="544">
        <f>IF('Final Calculation Sheet'!$C$4="","",'Final Calculation Sheet'!$C$4)</f>
        <v/>
      </c>
      <c r="C6" s="679">
        <f>IF('Final Calculation Sheet'!$C$5="","",'Final Calculation Sheet'!$C$5)</f>
        <v/>
      </c>
      <c r="D6" s="544">
        <f>IF('Final Calculation Sheet'!$C$6="","",'Final Calculation Sheet'!$C$6)</f>
        <v/>
      </c>
      <c r="E6" s="679">
        <f>IF('Final Calculation Sheet'!$C$7="","",'Final Calculation Sheet'!$C$7)</f>
        <v/>
      </c>
      <c r="F6" s="544">
        <f>IF('Final Calculation Sheet'!$C$8="","",'Final Calculation Sheet'!$C$8)</f>
        <v/>
      </c>
      <c r="G6" s="679">
        <f>IF('Final Calculation Sheet'!$C$9="","",'Final Calculation Sheet'!$C$9)</f>
        <v/>
      </c>
      <c r="H6" s="544">
        <f>IF('Final Calculation Sheet'!$C$10="","",'Final Calculation Sheet'!$C$10)</f>
        <v/>
      </c>
      <c r="I6" s="679">
        <f>IF('Final Calculation Sheet'!$C$11="","",'Final Calculation Sheet'!$C$11)</f>
        <v/>
      </c>
      <c r="J6" s="544">
        <f>IF('Final Calculation Sheet'!$C$12="","",'Final Calculation Sheet'!$C$12)</f>
        <v/>
      </c>
      <c r="K6" s="679">
        <f>IF('Final Calculation Sheet'!$C$13="","",'Final Calculation Sheet'!$C$13)</f>
        <v/>
      </c>
      <c r="L6" s="544">
        <f>IF('Final Calculation Sheet'!$C$14="","",'Final Calculation Sheet'!$C$14)</f>
        <v/>
      </c>
      <c r="M6" s="679">
        <f>IF('Final Calculation Sheet'!$C$15="","",'Final Calculation Sheet'!$C$15)</f>
        <v/>
      </c>
      <c r="N6" s="544">
        <f>IF('Final Calculation Sheet'!$C$16="","",'Final Calculation Sheet'!$C$16)</f>
        <v/>
      </c>
      <c r="O6" s="679">
        <f>IF('Final Calculation Sheet'!$C$17="","",'Final Calculation Sheet'!$C$17)</f>
        <v/>
      </c>
      <c r="P6" s="544">
        <f>IF('Final Calculation Sheet'!$C$18="","",'Final Calculation Sheet'!$C$18)</f>
        <v/>
      </c>
      <c r="Q6" s="679">
        <f>IF('Final Calculation Sheet'!$C$19="","",'Final Calculation Sheet'!$C$19)</f>
        <v/>
      </c>
      <c r="R6" s="544">
        <f>IF('Final Calculation Sheet'!$C$20="","",'Final Calculation Sheet'!$C$20)</f>
        <v/>
      </c>
      <c r="S6" s="679">
        <f>IF('Final Calculation Sheet'!$C$21="","",'Final Calculation Sheet'!$C$21)</f>
        <v/>
      </c>
      <c r="T6" s="544">
        <f>IF('Final Calculation Sheet'!$C$22="","",'Final Calculation Sheet'!$C$22)</f>
        <v/>
      </c>
      <c r="U6" s="679">
        <f>IF('Final Calculation Sheet'!$C$23="","",'Final Calculation Sheet'!$C$23)</f>
        <v/>
      </c>
      <c r="V6" s="544">
        <f>IF('Final Calculation Sheet'!$C$24="","",'Final Calculation Sheet'!$C$24)</f>
        <v/>
      </c>
      <c r="W6" s="679">
        <f>IF('Final Calculation Sheet'!$C$25="","",'Final Calculation Sheet'!$C$25)</f>
        <v/>
      </c>
      <c r="X6" s="544">
        <f>IF('Final Calculation Sheet'!$C$26="","",'Final Calculation Sheet'!$C$26)</f>
        <v/>
      </c>
      <c r="Y6" s="679">
        <f>IF('Final Calculation Sheet'!$C$27="","",'Final Calculation Sheet'!$C$27)</f>
        <v/>
      </c>
      <c r="Z6" s="544">
        <f>IF('Final Calculation Sheet'!$C$28="","",'Final Calculation Sheet'!$C$28)</f>
        <v/>
      </c>
      <c r="AA6" s="679">
        <f>IF('Final Calculation Sheet'!$C$29="","",'Final Calculation Sheet'!$C$29)</f>
        <v/>
      </c>
      <c r="AB6" s="544">
        <f>IF('Final Calculation Sheet'!$C$30="","",'Final Calculation Sheet'!$C$30)</f>
        <v/>
      </c>
      <c r="AC6" s="679">
        <f>IF('Final Calculation Sheet'!$C$31="","",'Final Calculation Sheet'!$C$31)</f>
        <v/>
      </c>
      <c r="AD6" s="544">
        <f>IF('Final Calculation Sheet'!$C$32="","",'Final Calculation Sheet'!$C$32)</f>
        <v/>
      </c>
      <c r="AE6" s="679">
        <f>IF('Final Calculation Sheet'!$C$33="","",'Final Calculation Sheet'!$C$33)</f>
        <v/>
      </c>
      <c r="AF6" s="544">
        <f>IF('Final Calculation Sheet'!$C$34="","",'Final Calculation Sheet'!$C$34)</f>
        <v/>
      </c>
      <c r="AG6" s="679">
        <f>IF('Final Calculation Sheet'!$C$35="","",'Final Calculation Sheet'!$C$35)</f>
        <v/>
      </c>
      <c r="AH6" s="544">
        <f>IF('Final Calculation Sheet'!$C$36="","",'Final Calculation Sheet'!$C$36)</f>
        <v/>
      </c>
      <c r="AI6" s="679">
        <f>IF('Final Calculation Sheet'!$C$37="","",'Final Calculation Sheet'!$C$37)</f>
        <v/>
      </c>
      <c r="AJ6" s="544">
        <f>IF('Final Calculation Sheet'!$C$38="","",'Final Calculation Sheet'!$C$38)</f>
        <v/>
      </c>
      <c r="AK6" s="679">
        <f>IF('Final Calculation Sheet'!$C$39="","",'Final Calculation Sheet'!$C$39)</f>
        <v/>
      </c>
      <c r="AL6" s="544">
        <f>IF('Final Calculation Sheet'!$C$40="","",'Final Calculation Sheet'!$C$40)</f>
        <v/>
      </c>
      <c r="AM6" s="680">
        <f>IF('Final Calculation Sheet'!$C$41="","",'Final Calculation Sheet'!$C$41)</f>
        <v/>
      </c>
    </row>
    <row r="7" ht="15" customHeight="1">
      <c r="A7" s="678" t="inlineStr">
        <is>
          <t>Bid Sheet</t>
        </is>
      </c>
      <c r="B7" s="69">
        <f>IF('Final Calculation Sheet'!$D$4="","",'Final Calculation Sheet'!$D$4)</f>
        <v/>
      </c>
      <c r="C7" s="676">
        <f>IF('Final Calculation Sheet'!$D$5="","",'Final Calculation Sheet'!$D$5)</f>
        <v/>
      </c>
      <c r="D7" s="69">
        <f>IF('Final Calculation Sheet'!$D$6="","",'Final Calculation Sheet'!$D$6)</f>
        <v/>
      </c>
      <c r="E7" s="676">
        <f>IF('Final Calculation Sheet'!$D$7="","",'Final Calculation Sheet'!$D$7)</f>
        <v/>
      </c>
      <c r="F7" s="69">
        <f>IF('Final Calculation Sheet'!$D$8="","",'Final Calculation Sheet'!$D$8)</f>
        <v/>
      </c>
      <c r="G7" s="676">
        <f>IF('Final Calculation Sheet'!$D$9="","",'Final Calculation Sheet'!$D$9)</f>
        <v/>
      </c>
      <c r="H7" s="69">
        <f>IF('Final Calculation Sheet'!$D$10="","",'Final Calculation Sheet'!$D$10)</f>
        <v/>
      </c>
      <c r="I7" s="676">
        <f>IF('Final Calculation Sheet'!$D$11="","",'Final Calculation Sheet'!$D$11)</f>
        <v/>
      </c>
      <c r="J7" s="69">
        <f>IF('Final Calculation Sheet'!$D$12="","",'Final Calculation Sheet'!$D$12)</f>
        <v/>
      </c>
      <c r="K7" s="676">
        <f>IF('Final Calculation Sheet'!$D$13="","",'Final Calculation Sheet'!$D$13)</f>
        <v/>
      </c>
      <c r="L7" s="69">
        <f>IF('Final Calculation Sheet'!$D$14="","",'Final Calculation Sheet'!$D$14)</f>
        <v/>
      </c>
      <c r="M7" s="676">
        <f>IF('Final Calculation Sheet'!$D$15="","",'Final Calculation Sheet'!$D$15)</f>
        <v/>
      </c>
      <c r="N7" s="69">
        <f>IF('Final Calculation Sheet'!$D$16="","",'Final Calculation Sheet'!$D$16)</f>
        <v/>
      </c>
      <c r="O7" s="676">
        <f>IF('Final Calculation Sheet'!$D$17="","",'Final Calculation Sheet'!$D$17)</f>
        <v/>
      </c>
      <c r="P7" s="69">
        <f>IF('Final Calculation Sheet'!$D$18="","",'Final Calculation Sheet'!$D$18)</f>
        <v/>
      </c>
      <c r="Q7" s="676">
        <f>IF('Final Calculation Sheet'!$D$19="","",'Final Calculation Sheet'!$D$19)</f>
        <v/>
      </c>
      <c r="R7" s="69">
        <f>IF('Final Calculation Sheet'!$D$20="","",'Final Calculation Sheet'!$D$20)</f>
        <v/>
      </c>
      <c r="S7" s="676">
        <f>IF('Final Calculation Sheet'!$D$21="","",'Final Calculation Sheet'!$D$21)</f>
        <v/>
      </c>
      <c r="T7" s="69">
        <f>IF('Final Calculation Sheet'!$D$22="","",'Final Calculation Sheet'!$D$22)</f>
        <v/>
      </c>
      <c r="U7" s="676">
        <f>IF('Final Calculation Sheet'!$D$23="","",'Final Calculation Sheet'!$D$23)</f>
        <v/>
      </c>
      <c r="V7" s="69">
        <f>IF('Final Calculation Sheet'!$D$24="","",'Final Calculation Sheet'!$D$24)</f>
        <v/>
      </c>
      <c r="W7" s="676">
        <f>IF('Final Calculation Sheet'!$D$25="","",'Final Calculation Sheet'!$D$25)</f>
        <v/>
      </c>
      <c r="X7" s="69">
        <f>IF('Final Calculation Sheet'!$D$26="","",'Final Calculation Sheet'!$D$26)</f>
        <v/>
      </c>
      <c r="Y7" s="676">
        <f>IF('Final Calculation Sheet'!$D$27="","",'Final Calculation Sheet'!$D$27)</f>
        <v/>
      </c>
      <c r="Z7" s="69">
        <f>IF('Final Calculation Sheet'!$D$28="","",'Final Calculation Sheet'!$D$28)</f>
        <v/>
      </c>
      <c r="AA7" s="676">
        <f>IF('Final Calculation Sheet'!$D$29="","",'Final Calculation Sheet'!$D$29)</f>
        <v/>
      </c>
      <c r="AB7" s="69">
        <f>IF('Final Calculation Sheet'!$D$30="","",'Final Calculation Sheet'!$D$30)</f>
        <v/>
      </c>
      <c r="AC7" s="676">
        <f>IF('Final Calculation Sheet'!$D$31="","",'Final Calculation Sheet'!$D$31)</f>
        <v/>
      </c>
      <c r="AD7" s="69">
        <f>IF('Final Calculation Sheet'!$D$32="","",'Final Calculation Sheet'!$D$32)</f>
        <v/>
      </c>
      <c r="AE7" s="676">
        <f>IF('Final Calculation Sheet'!$D$33="","",'Final Calculation Sheet'!$D$33)</f>
        <v/>
      </c>
      <c r="AF7" s="69">
        <f>IF('Final Calculation Sheet'!$D$34="","",'Final Calculation Sheet'!$D$34)</f>
        <v/>
      </c>
      <c r="AG7" s="676">
        <f>IF('Final Calculation Sheet'!$D$35="","",'Final Calculation Sheet'!$D$35)</f>
        <v/>
      </c>
      <c r="AH7" s="69">
        <f>IF('Final Calculation Sheet'!$D$36="","",'Final Calculation Sheet'!$D$36)</f>
        <v/>
      </c>
      <c r="AI7" s="676">
        <f>IF('Final Calculation Sheet'!$D$37="","",'Final Calculation Sheet'!$D$37)</f>
        <v/>
      </c>
      <c r="AJ7" s="69">
        <f>IF('Final Calculation Sheet'!$D$38="","",'Final Calculation Sheet'!$D$38)</f>
        <v/>
      </c>
      <c r="AK7" s="676">
        <f>IF('Final Calculation Sheet'!$D$39="","",'Final Calculation Sheet'!$D$39)</f>
        <v/>
      </c>
      <c r="AL7" s="69">
        <f>IF('Final Calculation Sheet'!$D$40="","",'Final Calculation Sheet'!$D$40)</f>
        <v/>
      </c>
      <c r="AM7" s="677">
        <f>IF('Final Calculation Sheet'!$D$41="","",'Final Calculation Sheet'!$D$41)</f>
        <v/>
      </c>
    </row>
    <row r="8" ht="15" customHeight="1">
      <c r="A8" s="675" t="inlineStr">
        <is>
          <t>Unit</t>
        </is>
      </c>
      <c r="B8" s="69">
        <f>IF('Final Calculation Sheet'!$E$4="","",'Final Calculation Sheet'!$E$4)</f>
        <v/>
      </c>
      <c r="C8" s="676">
        <f>IF('Final Calculation Sheet'!$E$5="","",'Final Calculation Sheet'!$E$5)</f>
        <v/>
      </c>
      <c r="D8" s="69">
        <f>IF('Final Calculation Sheet'!$E$6="","",'Final Calculation Sheet'!$E$6)</f>
        <v/>
      </c>
      <c r="E8" s="676">
        <f>IF('Final Calculation Sheet'!$E$7="","",'Final Calculation Sheet'!$E$7)</f>
        <v/>
      </c>
      <c r="F8" s="69">
        <f>IF('Final Calculation Sheet'!$E$8="","",'Final Calculation Sheet'!$E$8)</f>
        <v/>
      </c>
      <c r="G8" s="676">
        <f>IF('Final Calculation Sheet'!$E$9="","",'Final Calculation Sheet'!$E$9)</f>
        <v/>
      </c>
      <c r="H8" s="69">
        <f>IF('Final Calculation Sheet'!$E$10="","",'Final Calculation Sheet'!$E$10)</f>
        <v/>
      </c>
      <c r="I8" s="676">
        <f>IF('Final Calculation Sheet'!$E$11="","",'Final Calculation Sheet'!$E$11)</f>
        <v/>
      </c>
      <c r="J8" s="69">
        <f>IF('Final Calculation Sheet'!$E$12="","",'Final Calculation Sheet'!$E$12)</f>
        <v/>
      </c>
      <c r="K8" s="676">
        <f>IF('Final Calculation Sheet'!$E$13="","",'Final Calculation Sheet'!$E$13)</f>
        <v/>
      </c>
      <c r="L8" s="69">
        <f>IF('Final Calculation Sheet'!$E$14="","",'Final Calculation Sheet'!$E$14)</f>
        <v/>
      </c>
      <c r="M8" s="676">
        <f>IF('Final Calculation Sheet'!$E$15="","",'Final Calculation Sheet'!$E$15)</f>
        <v/>
      </c>
      <c r="N8" s="69">
        <f>IF('Final Calculation Sheet'!$E$16="","",'Final Calculation Sheet'!$E$16)</f>
        <v/>
      </c>
      <c r="O8" s="676">
        <f>IF('Final Calculation Sheet'!$E$17="","",'Final Calculation Sheet'!$E$17)</f>
        <v/>
      </c>
      <c r="P8" s="69">
        <f>IF('Final Calculation Sheet'!$E$18="","",'Final Calculation Sheet'!$E$18)</f>
        <v/>
      </c>
      <c r="Q8" s="676">
        <f>IF('Final Calculation Sheet'!$E$19="","",'Final Calculation Sheet'!$E$19)</f>
        <v/>
      </c>
      <c r="R8" s="69">
        <f>IF('Final Calculation Sheet'!$E$20="","",'Final Calculation Sheet'!$E$20)</f>
        <v/>
      </c>
      <c r="S8" s="676">
        <f>IF('Final Calculation Sheet'!$E$21="","",'Final Calculation Sheet'!$E$21)</f>
        <v/>
      </c>
      <c r="T8" s="69">
        <f>IF('Final Calculation Sheet'!$E$22="","",'Final Calculation Sheet'!$E$22)</f>
        <v/>
      </c>
      <c r="U8" s="676">
        <f>IF('Final Calculation Sheet'!$E$23="","",'Final Calculation Sheet'!$E$23)</f>
        <v/>
      </c>
      <c r="V8" s="69">
        <f>IF('Final Calculation Sheet'!$E$24="","",'Final Calculation Sheet'!$E$24)</f>
        <v/>
      </c>
      <c r="W8" s="676">
        <f>IF('Final Calculation Sheet'!$E$25="","",'Final Calculation Sheet'!$E$25)</f>
        <v/>
      </c>
      <c r="X8" s="69">
        <f>IF('Final Calculation Sheet'!$E$26="","",'Final Calculation Sheet'!$E$26)</f>
        <v/>
      </c>
      <c r="Y8" s="676">
        <f>IF('Final Calculation Sheet'!$E$27="","",'Final Calculation Sheet'!$E$27)</f>
        <v/>
      </c>
      <c r="Z8" s="69">
        <f>IF('Final Calculation Sheet'!$E$28="","",'Final Calculation Sheet'!$E$28)</f>
        <v/>
      </c>
      <c r="AA8" s="676">
        <f>IF('Final Calculation Sheet'!$E$29="","",'Final Calculation Sheet'!$E$29)</f>
        <v/>
      </c>
      <c r="AB8" s="69">
        <f>IF('Final Calculation Sheet'!$E$30="","",'Final Calculation Sheet'!$E$30)</f>
        <v/>
      </c>
      <c r="AC8" s="676">
        <f>IF('Final Calculation Sheet'!$E$31="","",'Final Calculation Sheet'!$E$31)</f>
        <v/>
      </c>
      <c r="AD8" s="69">
        <f>IF('Final Calculation Sheet'!$E$32="","",'Final Calculation Sheet'!$E$32)</f>
        <v/>
      </c>
      <c r="AE8" s="676">
        <f>IF('Final Calculation Sheet'!$E$33="","",'Final Calculation Sheet'!$E$33)</f>
        <v/>
      </c>
      <c r="AF8" s="69">
        <f>IF('Final Calculation Sheet'!$E$34="","",'Final Calculation Sheet'!$E$34)</f>
        <v/>
      </c>
      <c r="AG8" s="676">
        <f>IF('Final Calculation Sheet'!$E$35="","",'Final Calculation Sheet'!$E$35)</f>
        <v/>
      </c>
      <c r="AH8" s="69">
        <f>IF('Final Calculation Sheet'!$E$36="","",'Final Calculation Sheet'!$E$36)</f>
        <v/>
      </c>
      <c r="AI8" s="676">
        <f>IF('Final Calculation Sheet'!$E$37="","",'Final Calculation Sheet'!$E$37)</f>
        <v/>
      </c>
      <c r="AJ8" s="69">
        <f>IF('Final Calculation Sheet'!$E$38="","",'Final Calculation Sheet'!$E$38)</f>
        <v/>
      </c>
      <c r="AK8" s="676">
        <f>IF('Final Calculation Sheet'!$E$39="","",'Final Calculation Sheet'!$E$39)</f>
        <v/>
      </c>
      <c r="AL8" s="69">
        <f>IF('Final Calculation Sheet'!$E$40="","",'Final Calculation Sheet'!$E$40)</f>
        <v/>
      </c>
      <c r="AM8" s="677">
        <f>IF('Final Calculation Sheet'!$E$41="","",'Final Calculation Sheet'!$E$41)</f>
        <v/>
      </c>
    </row>
    <row r="9" ht="15" customHeight="1">
      <c r="A9" s="678" t="inlineStr">
        <is>
          <t>Lot No.</t>
        </is>
      </c>
      <c r="B9" s="69">
        <f>IF('Final Calculation Sheet'!$F$4="","",'Final Calculation Sheet'!$F$4)</f>
        <v/>
      </c>
      <c r="C9" s="676">
        <f>IF('Final Calculation Sheet'!$F$5="","",'Final Calculation Sheet'!$F$5)</f>
        <v/>
      </c>
      <c r="D9" s="69">
        <f>IF('Final Calculation Sheet'!$F$6="","",'Final Calculation Sheet'!$F$6)</f>
        <v/>
      </c>
      <c r="E9" s="676">
        <f>IF('Final Calculation Sheet'!$F$7="","",'Final Calculation Sheet'!$F$7)</f>
        <v/>
      </c>
      <c r="F9" s="69">
        <f>IF('Final Calculation Sheet'!$F$8="","",'Final Calculation Sheet'!$F$8)</f>
        <v/>
      </c>
      <c r="G9" s="676">
        <f>IF('Final Calculation Sheet'!$F$9="","",'Final Calculation Sheet'!$F$9)</f>
        <v/>
      </c>
      <c r="H9" s="69">
        <f>IF('Final Calculation Sheet'!$F$10="","",'Final Calculation Sheet'!$F$10)</f>
        <v/>
      </c>
      <c r="I9" s="676">
        <f>IF('Final Calculation Sheet'!$F$11="","",'Final Calculation Sheet'!$F$11)</f>
        <v/>
      </c>
      <c r="J9" s="69">
        <f>IF('Final Calculation Sheet'!$F$12="","",'Final Calculation Sheet'!$F$12)</f>
        <v/>
      </c>
      <c r="K9" s="676">
        <f>IF('Final Calculation Sheet'!$F$13="","",'Final Calculation Sheet'!$F$13)</f>
        <v/>
      </c>
      <c r="L9" s="69">
        <f>IF('Final Calculation Sheet'!$F$14="","",'Final Calculation Sheet'!$F$14)</f>
        <v/>
      </c>
      <c r="M9" s="676">
        <f>IF('Final Calculation Sheet'!$F$15="","",'Final Calculation Sheet'!$F$15)</f>
        <v/>
      </c>
      <c r="N9" s="69">
        <f>IF('Final Calculation Sheet'!$F$16="","",'Final Calculation Sheet'!$F$16)</f>
        <v/>
      </c>
      <c r="O9" s="676">
        <f>IF('Final Calculation Sheet'!$F$17="","",'Final Calculation Sheet'!$F$17)</f>
        <v/>
      </c>
      <c r="P9" s="69">
        <f>IF('Final Calculation Sheet'!$F$18="","",'Final Calculation Sheet'!$F$18)</f>
        <v/>
      </c>
      <c r="Q9" s="676">
        <f>IF('Final Calculation Sheet'!$F$19="","",'Final Calculation Sheet'!$F$19)</f>
        <v/>
      </c>
      <c r="R9" s="69">
        <f>IF('Final Calculation Sheet'!$F$20="","",'Final Calculation Sheet'!$F$20)</f>
        <v/>
      </c>
      <c r="S9" s="676">
        <f>IF('Final Calculation Sheet'!$F$21="","",'Final Calculation Sheet'!$F$21)</f>
        <v/>
      </c>
      <c r="T9" s="69">
        <f>IF('Final Calculation Sheet'!$F$22="","",'Final Calculation Sheet'!$F$22)</f>
        <v/>
      </c>
      <c r="U9" s="676">
        <f>IF('Final Calculation Sheet'!$F$23="","",'Final Calculation Sheet'!$F$23)</f>
        <v/>
      </c>
      <c r="V9" s="69">
        <f>IF('Final Calculation Sheet'!$F$24="","",'Final Calculation Sheet'!$F$24)</f>
        <v/>
      </c>
      <c r="W9" s="676">
        <f>IF('Final Calculation Sheet'!$F$25="","",'Final Calculation Sheet'!$F$25)</f>
        <v/>
      </c>
      <c r="X9" s="69">
        <f>IF('Final Calculation Sheet'!$F$26="","",'Final Calculation Sheet'!$F$26)</f>
        <v/>
      </c>
      <c r="Y9" s="676">
        <f>IF('Final Calculation Sheet'!$F$27="","",'Final Calculation Sheet'!$F$27)</f>
        <v/>
      </c>
      <c r="Z9" s="69">
        <f>IF('Final Calculation Sheet'!$F$28="","",'Final Calculation Sheet'!$F$28)</f>
        <v/>
      </c>
      <c r="AA9" s="676">
        <f>IF('Final Calculation Sheet'!$F$29="","",'Final Calculation Sheet'!$F$29)</f>
        <v/>
      </c>
      <c r="AB9" s="69">
        <f>IF('Final Calculation Sheet'!$F$30="","",'Final Calculation Sheet'!$F$30)</f>
        <v/>
      </c>
      <c r="AC9" s="676">
        <f>IF('Final Calculation Sheet'!$F$31="","",'Final Calculation Sheet'!$F$31)</f>
        <v/>
      </c>
      <c r="AD9" s="69">
        <f>IF('Final Calculation Sheet'!$F$32="","",'Final Calculation Sheet'!$F$32)</f>
        <v/>
      </c>
      <c r="AE9" s="676">
        <f>IF('Final Calculation Sheet'!$F$33="","",'Final Calculation Sheet'!$F$33)</f>
        <v/>
      </c>
      <c r="AF9" s="69">
        <f>IF('Final Calculation Sheet'!$F$34="","",'Final Calculation Sheet'!$F$34)</f>
        <v/>
      </c>
      <c r="AG9" s="676">
        <f>IF('Final Calculation Sheet'!$F$35="","",'Final Calculation Sheet'!$F$35)</f>
        <v/>
      </c>
      <c r="AH9" s="69">
        <f>IF('Final Calculation Sheet'!$F$36="","",'Final Calculation Sheet'!$F$36)</f>
        <v/>
      </c>
      <c r="AI9" s="676">
        <f>IF('Final Calculation Sheet'!$F$37="","",'Final Calculation Sheet'!$F$37)</f>
        <v/>
      </c>
      <c r="AJ9" s="69">
        <f>IF('Final Calculation Sheet'!$F$38="","",'Final Calculation Sheet'!$F$38)</f>
        <v/>
      </c>
      <c r="AK9" s="676">
        <f>IF('Final Calculation Sheet'!$F$39="","",'Final Calculation Sheet'!$F$39)</f>
        <v/>
      </c>
      <c r="AL9" s="69">
        <f>IF('Final Calculation Sheet'!$F$40="","",'Final Calculation Sheet'!$F$40)</f>
        <v/>
      </c>
      <c r="AM9" s="677">
        <f>IF('Final Calculation Sheet'!$F$41="","",'Final Calculation Sheet'!$F$41)</f>
        <v/>
      </c>
    </row>
    <row r="10" ht="15" customHeight="1">
      <c r="A10" s="675" t="inlineStr">
        <is>
          <t>Buyer</t>
        </is>
      </c>
      <c r="B10" s="69">
        <f>IF('Final Calculation Sheet'!$G$4="","",'Final Calculation Sheet'!$G$4)</f>
        <v/>
      </c>
      <c r="C10" s="676">
        <f>IF('Final Calculation Sheet'!$G$5="","",'Final Calculation Sheet'!$G$5)</f>
        <v/>
      </c>
      <c r="D10" s="69">
        <f>IF('Final Calculation Sheet'!$G$6="","",'Final Calculation Sheet'!$G$6)</f>
        <v/>
      </c>
      <c r="E10" s="676">
        <f>IF('Final Calculation Sheet'!$G$7="","",'Final Calculation Sheet'!$G$7)</f>
        <v/>
      </c>
      <c r="F10" s="69">
        <f>IF('Final Calculation Sheet'!$G$8="","",'Final Calculation Sheet'!$G$8)</f>
        <v/>
      </c>
      <c r="G10" s="676">
        <f>IF('Final Calculation Sheet'!$G$9="","",'Final Calculation Sheet'!$G$9)</f>
        <v/>
      </c>
      <c r="H10" s="69">
        <f>IF('Final Calculation Sheet'!$G$10="","",'Final Calculation Sheet'!$G$10)</f>
        <v/>
      </c>
      <c r="I10" s="676">
        <f>IF('Final Calculation Sheet'!$G$11="","",'Final Calculation Sheet'!$G$11)</f>
        <v/>
      </c>
      <c r="J10" s="69">
        <f>IF('Final Calculation Sheet'!$G$12="","",'Final Calculation Sheet'!$G$12)</f>
        <v/>
      </c>
      <c r="K10" s="676">
        <f>IF('Final Calculation Sheet'!$G$13="","",'Final Calculation Sheet'!$G$13)</f>
        <v/>
      </c>
      <c r="L10" s="69">
        <f>IF('Final Calculation Sheet'!$G$14="","",'Final Calculation Sheet'!$G$14)</f>
        <v/>
      </c>
      <c r="M10" s="676">
        <f>IF('Final Calculation Sheet'!$G$15="","",'Final Calculation Sheet'!$G$15)</f>
        <v/>
      </c>
      <c r="N10" s="69">
        <f>IF('Final Calculation Sheet'!$G$16="","",'Final Calculation Sheet'!$G$16)</f>
        <v/>
      </c>
      <c r="O10" s="676">
        <f>IF('Final Calculation Sheet'!$G$17="","",'Final Calculation Sheet'!$G$17)</f>
        <v/>
      </c>
      <c r="P10" s="69">
        <f>IF('Final Calculation Sheet'!$G$18="","",'Final Calculation Sheet'!$G$18)</f>
        <v/>
      </c>
      <c r="Q10" s="676">
        <f>IF('Final Calculation Sheet'!$G$19="","",'Final Calculation Sheet'!$G$19)</f>
        <v/>
      </c>
      <c r="R10" s="69">
        <f>IF('Final Calculation Sheet'!$G$20="","",'Final Calculation Sheet'!$G$20)</f>
        <v/>
      </c>
      <c r="S10" s="676">
        <f>IF('Final Calculation Sheet'!$G$21="","",'Final Calculation Sheet'!$G$21)</f>
        <v/>
      </c>
      <c r="T10" s="69">
        <f>IF('Final Calculation Sheet'!$G$22="","",'Final Calculation Sheet'!$G$22)</f>
        <v/>
      </c>
      <c r="U10" s="676">
        <f>IF('Final Calculation Sheet'!$G$23="","",'Final Calculation Sheet'!$G$23)</f>
        <v/>
      </c>
      <c r="V10" s="69">
        <f>IF('Final Calculation Sheet'!$G$24="","",'Final Calculation Sheet'!$G$24)</f>
        <v/>
      </c>
      <c r="W10" s="676">
        <f>IF('Final Calculation Sheet'!$G$25="","",'Final Calculation Sheet'!$G$25)</f>
        <v/>
      </c>
      <c r="X10" s="69">
        <f>IF('Final Calculation Sheet'!$G$26="","",'Final Calculation Sheet'!$G$26)</f>
        <v/>
      </c>
      <c r="Y10" s="676">
        <f>IF('Final Calculation Sheet'!$G$27="","",'Final Calculation Sheet'!$G$27)</f>
        <v/>
      </c>
      <c r="Z10" s="69">
        <f>IF('Final Calculation Sheet'!$G$28="","",'Final Calculation Sheet'!$G$28)</f>
        <v/>
      </c>
      <c r="AA10" s="676">
        <f>IF('Final Calculation Sheet'!$G$29="","",'Final Calculation Sheet'!$G$29)</f>
        <v/>
      </c>
      <c r="AB10" s="69">
        <f>IF('Final Calculation Sheet'!$G$30="","",'Final Calculation Sheet'!$G$30)</f>
        <v/>
      </c>
      <c r="AC10" s="676">
        <f>IF('Final Calculation Sheet'!$G$31="","",'Final Calculation Sheet'!$G$31)</f>
        <v/>
      </c>
      <c r="AD10" s="69">
        <f>IF('Final Calculation Sheet'!$G$32="","",'Final Calculation Sheet'!$G$32)</f>
        <v/>
      </c>
      <c r="AE10" s="676">
        <f>IF('Final Calculation Sheet'!$G$33="","",'Final Calculation Sheet'!$G$33)</f>
        <v/>
      </c>
      <c r="AF10" s="69">
        <f>IF('Final Calculation Sheet'!$G$34="","",'Final Calculation Sheet'!$G$34)</f>
        <v/>
      </c>
      <c r="AG10" s="676">
        <f>IF('Final Calculation Sheet'!$G$35="","",'Final Calculation Sheet'!$G$35)</f>
        <v/>
      </c>
      <c r="AH10" s="69">
        <f>IF('Final Calculation Sheet'!$G$36="","",'Final Calculation Sheet'!$G$36)</f>
        <v/>
      </c>
      <c r="AI10" s="676">
        <f>IF('Final Calculation Sheet'!$G$37="","",'Final Calculation Sheet'!$G$37)</f>
        <v/>
      </c>
      <c r="AJ10" s="69">
        <f>IF('Final Calculation Sheet'!$G$38="","",'Final Calculation Sheet'!$G$38)</f>
        <v/>
      </c>
      <c r="AK10" s="676">
        <f>IF('Final Calculation Sheet'!$G$39="","",'Final Calculation Sheet'!$G$39)</f>
        <v/>
      </c>
      <c r="AL10" s="69">
        <f>IF('Final Calculation Sheet'!$G$40="","",'Final Calculation Sheet'!$G$40)</f>
        <v/>
      </c>
      <c r="AM10" s="677">
        <f>IF('Final Calculation Sheet'!$G$41="","",'Final Calculation Sheet'!$G$41)</f>
        <v/>
      </c>
    </row>
    <row r="11" ht="15" customHeight="1">
      <c r="A11" s="678" t="inlineStr">
        <is>
          <t>Mat. Value</t>
        </is>
      </c>
      <c r="B11" s="544">
        <f>IF('Final Calculation Sheet'!$H$4="","",'Final Calculation Sheet'!$H$4)</f>
        <v/>
      </c>
      <c r="C11" s="679">
        <f>IF('Final Calculation Sheet'!$H$5="","",'Final Calculation Sheet'!$H$5)</f>
        <v/>
      </c>
      <c r="D11" s="544">
        <f>IF('Final Calculation Sheet'!$H$6="","",'Final Calculation Sheet'!$H$6)</f>
        <v/>
      </c>
      <c r="E11" s="679">
        <f>IF('Final Calculation Sheet'!$H$7="","",'Final Calculation Sheet'!$H$7)</f>
        <v/>
      </c>
      <c r="F11" s="544">
        <f>IF('Final Calculation Sheet'!$H$8="","",'Final Calculation Sheet'!$H$8)</f>
        <v/>
      </c>
      <c r="G11" s="679">
        <f>IF('Final Calculation Sheet'!$H$9="","",'Final Calculation Sheet'!$H$9)</f>
        <v/>
      </c>
      <c r="H11" s="544">
        <f>IF('Final Calculation Sheet'!$H$10="","",'Final Calculation Sheet'!$H$10)</f>
        <v/>
      </c>
      <c r="I11" s="679">
        <f>IF('Final Calculation Sheet'!$H$11="","",'Final Calculation Sheet'!$H$11)</f>
        <v/>
      </c>
      <c r="J11" s="544">
        <f>IF('Final Calculation Sheet'!$H$12="","",'Final Calculation Sheet'!$H$12)</f>
        <v/>
      </c>
      <c r="K11" s="679">
        <f>IF('Final Calculation Sheet'!$H$13="","",'Final Calculation Sheet'!$H$13)</f>
        <v/>
      </c>
      <c r="L11" s="544">
        <f>IF('Final Calculation Sheet'!$H$14="","",'Final Calculation Sheet'!$H$14)</f>
        <v/>
      </c>
      <c r="M11" s="679">
        <f>IF('Final Calculation Sheet'!$H$15="","",'Final Calculation Sheet'!$H$15)</f>
        <v/>
      </c>
      <c r="N11" s="544">
        <f>IF('Final Calculation Sheet'!$H$16="","",'Final Calculation Sheet'!$H$16)</f>
        <v/>
      </c>
      <c r="O11" s="679">
        <f>IF('Final Calculation Sheet'!$H$17="","",'Final Calculation Sheet'!$H$17)</f>
        <v/>
      </c>
      <c r="P11" s="544">
        <f>IF('Final Calculation Sheet'!$H$18="","",'Final Calculation Sheet'!$H$18)</f>
        <v/>
      </c>
      <c r="Q11" s="679">
        <f>IF('Final Calculation Sheet'!$H$19="","",'Final Calculation Sheet'!$H$19)</f>
        <v/>
      </c>
      <c r="R11" s="544">
        <f>IF('Final Calculation Sheet'!$H$20="","",'Final Calculation Sheet'!$H$20)</f>
        <v/>
      </c>
      <c r="S11" s="679">
        <f>IF('Final Calculation Sheet'!$H$21="","",'Final Calculation Sheet'!$H$21)</f>
        <v/>
      </c>
      <c r="T11" s="544">
        <f>IF('Final Calculation Sheet'!$H$22="","",'Final Calculation Sheet'!$H$22)</f>
        <v/>
      </c>
      <c r="U11" s="679">
        <f>IF('Final Calculation Sheet'!$H$23="","",'Final Calculation Sheet'!$H$23)</f>
        <v/>
      </c>
      <c r="V11" s="544">
        <f>IF('Final Calculation Sheet'!$H$24="","",'Final Calculation Sheet'!$H$24)</f>
        <v/>
      </c>
      <c r="W11" s="679">
        <f>IF('Final Calculation Sheet'!$H$25="","",'Final Calculation Sheet'!$H$25)</f>
        <v/>
      </c>
      <c r="X11" s="544">
        <f>IF('Final Calculation Sheet'!$H$26="","",'Final Calculation Sheet'!$H$26)</f>
        <v/>
      </c>
      <c r="Y11" s="679">
        <f>IF('Final Calculation Sheet'!$H$27="","",'Final Calculation Sheet'!$H$27)</f>
        <v/>
      </c>
      <c r="Z11" s="544">
        <f>IF('Final Calculation Sheet'!$H$28="","",'Final Calculation Sheet'!$H$28)</f>
        <v/>
      </c>
      <c r="AA11" s="679">
        <f>IF('Final Calculation Sheet'!$H$29="","",'Final Calculation Sheet'!$H$29)</f>
        <v/>
      </c>
      <c r="AB11" s="544">
        <f>IF('Final Calculation Sheet'!$H$30="","",'Final Calculation Sheet'!$H$30)</f>
        <v/>
      </c>
      <c r="AC11" s="679">
        <f>IF('Final Calculation Sheet'!$H$31="","",'Final Calculation Sheet'!$H$31)</f>
        <v/>
      </c>
      <c r="AD11" s="544">
        <f>IF('Final Calculation Sheet'!$H$32="","",'Final Calculation Sheet'!$H$32)</f>
        <v/>
      </c>
      <c r="AE11" s="679">
        <f>IF('Final Calculation Sheet'!$H$33="","",'Final Calculation Sheet'!$H$33)</f>
        <v/>
      </c>
      <c r="AF11" s="544">
        <f>IF('Final Calculation Sheet'!$H$34="","",'Final Calculation Sheet'!$H$34)</f>
        <v/>
      </c>
      <c r="AG11" s="679">
        <f>IF('Final Calculation Sheet'!$H$35="","",'Final Calculation Sheet'!$H$35)</f>
        <v/>
      </c>
      <c r="AH11" s="544">
        <f>IF('Final Calculation Sheet'!$H$36="","",'Final Calculation Sheet'!$H$36)</f>
        <v/>
      </c>
      <c r="AI11" s="679">
        <f>IF('Final Calculation Sheet'!$H$37="","",'Final Calculation Sheet'!$H$37)</f>
        <v/>
      </c>
      <c r="AJ11" s="544">
        <f>IF('Final Calculation Sheet'!$H$38="","",'Final Calculation Sheet'!$H$38)</f>
        <v/>
      </c>
      <c r="AK11" s="679">
        <f>IF('Final Calculation Sheet'!$H$39="","",'Final Calculation Sheet'!$H$39)</f>
        <v/>
      </c>
      <c r="AL11" s="544">
        <f>IF('Final Calculation Sheet'!$H$40="","",'Final Calculation Sheet'!$H$40)</f>
        <v/>
      </c>
      <c r="AM11" s="680">
        <f>IF('Final Calculation Sheet'!$H$41="","",'Final Calculation Sheet'!$H$41)</f>
        <v/>
      </c>
    </row>
    <row r="12" ht="15" customHeight="1">
      <c r="A12" s="675" t="inlineStr">
        <is>
          <t>GST</t>
        </is>
      </c>
      <c r="B12" s="544">
        <f>IF('Final Calculation Sheet'!$I$4="","",'Final Calculation Sheet'!$I$4)</f>
        <v/>
      </c>
      <c r="C12" s="679">
        <f>IF('Final Calculation Sheet'!$I$5="","",'Final Calculation Sheet'!$I$5)</f>
        <v/>
      </c>
      <c r="D12" s="544">
        <f>IF('Final Calculation Sheet'!$I$6="","",'Final Calculation Sheet'!$I$6)</f>
        <v/>
      </c>
      <c r="E12" s="679">
        <f>IF('Final Calculation Sheet'!$I$7="","",'Final Calculation Sheet'!$I$7)</f>
        <v/>
      </c>
      <c r="F12" s="544">
        <f>IF('Final Calculation Sheet'!$I$8="","",'Final Calculation Sheet'!$I$8)</f>
        <v/>
      </c>
      <c r="G12" s="679">
        <f>IF('Final Calculation Sheet'!$I$9="","",'Final Calculation Sheet'!$I$9)</f>
        <v/>
      </c>
      <c r="H12" s="544">
        <f>IF('Final Calculation Sheet'!$I$10="","",'Final Calculation Sheet'!$I$10)</f>
        <v/>
      </c>
      <c r="I12" s="679">
        <f>IF('Final Calculation Sheet'!$I$11="","",'Final Calculation Sheet'!$I$11)</f>
        <v/>
      </c>
      <c r="J12" s="544">
        <f>IF('Final Calculation Sheet'!$I$12="","",'Final Calculation Sheet'!$I$12)</f>
        <v/>
      </c>
      <c r="K12" s="679">
        <f>IF('Final Calculation Sheet'!$I$13="","",'Final Calculation Sheet'!$I$13)</f>
        <v/>
      </c>
      <c r="L12" s="544">
        <f>IF('Final Calculation Sheet'!$I$14="","",'Final Calculation Sheet'!$I$14)</f>
        <v/>
      </c>
      <c r="M12" s="679">
        <f>IF('Final Calculation Sheet'!$I$15="","",'Final Calculation Sheet'!$I$15)</f>
        <v/>
      </c>
      <c r="N12" s="544">
        <f>IF('Final Calculation Sheet'!$I$16="","",'Final Calculation Sheet'!$I$16)</f>
        <v/>
      </c>
      <c r="O12" s="679">
        <f>IF('Final Calculation Sheet'!$I$17="","",'Final Calculation Sheet'!$I$17)</f>
        <v/>
      </c>
      <c r="P12" s="544">
        <f>IF('Final Calculation Sheet'!$I$18="","",'Final Calculation Sheet'!$I$18)</f>
        <v/>
      </c>
      <c r="Q12" s="679">
        <f>IF('Final Calculation Sheet'!$I$19="","",'Final Calculation Sheet'!$I$19)</f>
        <v/>
      </c>
      <c r="R12" s="544">
        <f>IF('Final Calculation Sheet'!$I$20="","",'Final Calculation Sheet'!$I$20)</f>
        <v/>
      </c>
      <c r="S12" s="679">
        <f>IF('Final Calculation Sheet'!$I$21="","",'Final Calculation Sheet'!$I$21)</f>
        <v/>
      </c>
      <c r="T12" s="544">
        <f>IF('Final Calculation Sheet'!$I$22="","",'Final Calculation Sheet'!$I$22)</f>
        <v/>
      </c>
      <c r="U12" s="679">
        <f>IF('Final Calculation Sheet'!$I$23="","",'Final Calculation Sheet'!$I$23)</f>
        <v/>
      </c>
      <c r="V12" s="544">
        <f>IF('Final Calculation Sheet'!$I$24="","",'Final Calculation Sheet'!$I$24)</f>
        <v/>
      </c>
      <c r="W12" s="679">
        <f>IF('Final Calculation Sheet'!$I$25="","",'Final Calculation Sheet'!$I$25)</f>
        <v/>
      </c>
      <c r="X12" s="544">
        <f>IF('Final Calculation Sheet'!$I$26="","",'Final Calculation Sheet'!$I$26)</f>
        <v/>
      </c>
      <c r="Y12" s="679">
        <f>IF('Final Calculation Sheet'!$I$27="","",'Final Calculation Sheet'!$I$27)</f>
        <v/>
      </c>
      <c r="Z12" s="544">
        <f>IF('Final Calculation Sheet'!$I$28="","",'Final Calculation Sheet'!$I$28)</f>
        <v/>
      </c>
      <c r="AA12" s="679">
        <f>IF('Final Calculation Sheet'!$I$29="","",'Final Calculation Sheet'!$I$29)</f>
        <v/>
      </c>
      <c r="AB12" s="544">
        <f>IF('Final Calculation Sheet'!$I$30="","",'Final Calculation Sheet'!$I$30)</f>
        <v/>
      </c>
      <c r="AC12" s="679">
        <f>IF('Final Calculation Sheet'!$I$31="","",'Final Calculation Sheet'!$I$31)</f>
        <v/>
      </c>
      <c r="AD12" s="544">
        <f>IF('Final Calculation Sheet'!$I$32="","",'Final Calculation Sheet'!$I$32)</f>
        <v/>
      </c>
      <c r="AE12" s="679">
        <f>IF('Final Calculation Sheet'!$I$33="","",'Final Calculation Sheet'!$I$33)</f>
        <v/>
      </c>
      <c r="AF12" s="544">
        <f>IF('Final Calculation Sheet'!$I$34="","",'Final Calculation Sheet'!$I$34)</f>
        <v/>
      </c>
      <c r="AG12" s="679">
        <f>IF('Final Calculation Sheet'!$I$35="","",'Final Calculation Sheet'!$I$35)</f>
        <v/>
      </c>
      <c r="AH12" s="544">
        <f>IF('Final Calculation Sheet'!$I$36="","",'Final Calculation Sheet'!$I$36)</f>
        <v/>
      </c>
      <c r="AI12" s="679">
        <f>IF('Final Calculation Sheet'!$I$37="","",'Final Calculation Sheet'!$I$37)</f>
        <v/>
      </c>
      <c r="AJ12" s="544">
        <f>IF('Final Calculation Sheet'!$I$38="","",'Final Calculation Sheet'!$I$38)</f>
        <v/>
      </c>
      <c r="AK12" s="679">
        <f>IF('Final Calculation Sheet'!$I$39="","",'Final Calculation Sheet'!$I$39)</f>
        <v/>
      </c>
      <c r="AL12" s="544">
        <f>IF('Final Calculation Sheet'!$I$40="","",'Final Calculation Sheet'!$I$40)</f>
        <v/>
      </c>
      <c r="AM12" s="680">
        <f>IF('Final Calculation Sheet'!$I$41="","",'Final Calculation Sheet'!$I$41)</f>
        <v/>
      </c>
    </row>
    <row r="13" ht="15" customHeight="1">
      <c r="A13" s="678" t="inlineStr">
        <is>
          <t>Mat. Value + GST</t>
        </is>
      </c>
      <c r="B13" s="544">
        <f>IF('Final Calculation Sheet'!$J$4="","",'Final Calculation Sheet'!$J$4)</f>
        <v/>
      </c>
      <c r="C13" s="679">
        <f>IF('Final Calculation Sheet'!$J$5="","",'Final Calculation Sheet'!$J$5)</f>
        <v/>
      </c>
      <c r="D13" s="544">
        <f>IF('Final Calculation Sheet'!$J$6="","",'Final Calculation Sheet'!$J$6)</f>
        <v/>
      </c>
      <c r="E13" s="679">
        <f>IF('Final Calculation Sheet'!$J$7="","",'Final Calculation Sheet'!$J$7)</f>
        <v/>
      </c>
      <c r="F13" s="544">
        <f>IF('Final Calculation Sheet'!$J$8="","",'Final Calculation Sheet'!$J$8)</f>
        <v/>
      </c>
      <c r="G13" s="679">
        <f>IF('Final Calculation Sheet'!$J$9="","",'Final Calculation Sheet'!$J$9)</f>
        <v/>
      </c>
      <c r="H13" s="544">
        <f>IF('Final Calculation Sheet'!$J$10="","",'Final Calculation Sheet'!$J$10)</f>
        <v/>
      </c>
      <c r="I13" s="679">
        <f>IF('Final Calculation Sheet'!$J$11="","",'Final Calculation Sheet'!$J$11)</f>
        <v/>
      </c>
      <c r="J13" s="544">
        <f>IF('Final Calculation Sheet'!$J$12="","",'Final Calculation Sheet'!$J$12)</f>
        <v/>
      </c>
      <c r="K13" s="679">
        <f>IF('Final Calculation Sheet'!$J$13="","",'Final Calculation Sheet'!$J$13)</f>
        <v/>
      </c>
      <c r="L13" s="544">
        <f>IF('Final Calculation Sheet'!$J$14="","",'Final Calculation Sheet'!$J$14)</f>
        <v/>
      </c>
      <c r="M13" s="679">
        <f>IF('Final Calculation Sheet'!$J$15="","",'Final Calculation Sheet'!$J$15)</f>
        <v/>
      </c>
      <c r="N13" s="544">
        <f>IF('Final Calculation Sheet'!$J$16="","",'Final Calculation Sheet'!$J$16)</f>
        <v/>
      </c>
      <c r="O13" s="679">
        <f>IF('Final Calculation Sheet'!$J$17="","",'Final Calculation Sheet'!$J$17)</f>
        <v/>
      </c>
      <c r="P13" s="544">
        <f>IF('Final Calculation Sheet'!$J$18="","",'Final Calculation Sheet'!$J$18)</f>
        <v/>
      </c>
      <c r="Q13" s="679">
        <f>IF('Final Calculation Sheet'!$J$19="","",'Final Calculation Sheet'!$J$19)</f>
        <v/>
      </c>
      <c r="R13" s="544">
        <f>IF('Final Calculation Sheet'!$J$20="","",'Final Calculation Sheet'!$J$20)</f>
        <v/>
      </c>
      <c r="S13" s="679">
        <f>IF('Final Calculation Sheet'!$J$21="","",'Final Calculation Sheet'!$J$21)</f>
        <v/>
      </c>
      <c r="T13" s="544">
        <f>IF('Final Calculation Sheet'!$J$22="","",'Final Calculation Sheet'!$J$22)</f>
        <v/>
      </c>
      <c r="U13" s="679">
        <f>IF('Final Calculation Sheet'!$J$23="","",'Final Calculation Sheet'!$J$23)</f>
        <v/>
      </c>
      <c r="V13" s="544">
        <f>IF('Final Calculation Sheet'!$J$24="","",'Final Calculation Sheet'!$J$24)</f>
        <v/>
      </c>
      <c r="W13" s="679">
        <f>IF('Final Calculation Sheet'!$J$25="","",'Final Calculation Sheet'!$J$25)</f>
        <v/>
      </c>
      <c r="X13" s="544">
        <f>IF('Final Calculation Sheet'!$J$26="","",'Final Calculation Sheet'!$J$26)</f>
        <v/>
      </c>
      <c r="Y13" s="679">
        <f>IF('Final Calculation Sheet'!$J$27="","",'Final Calculation Sheet'!$J$27)</f>
        <v/>
      </c>
      <c r="Z13" s="544">
        <f>IF('Final Calculation Sheet'!$J$28="","",'Final Calculation Sheet'!$J$28)</f>
        <v/>
      </c>
      <c r="AA13" s="679">
        <f>IF('Final Calculation Sheet'!$J$29="","",'Final Calculation Sheet'!$J$29)</f>
        <v/>
      </c>
      <c r="AB13" s="544">
        <f>IF('Final Calculation Sheet'!$J$30="","",'Final Calculation Sheet'!$J$30)</f>
        <v/>
      </c>
      <c r="AC13" s="679">
        <f>IF('Final Calculation Sheet'!$J$31="","",'Final Calculation Sheet'!$J$31)</f>
        <v/>
      </c>
      <c r="AD13" s="544">
        <f>IF('Final Calculation Sheet'!$J$32="","",'Final Calculation Sheet'!$J$32)</f>
        <v/>
      </c>
      <c r="AE13" s="679">
        <f>IF('Final Calculation Sheet'!$J$33="","",'Final Calculation Sheet'!$J$33)</f>
        <v/>
      </c>
      <c r="AF13" s="544">
        <f>IF('Final Calculation Sheet'!$J$34="","",'Final Calculation Sheet'!$J$34)</f>
        <v/>
      </c>
      <c r="AG13" s="679">
        <f>IF('Final Calculation Sheet'!$J$35="","",'Final Calculation Sheet'!$J$35)</f>
        <v/>
      </c>
      <c r="AH13" s="544">
        <f>IF('Final Calculation Sheet'!$J$36="","",'Final Calculation Sheet'!$J$36)</f>
        <v/>
      </c>
      <c r="AI13" s="679">
        <f>IF('Final Calculation Sheet'!$J$37="","",'Final Calculation Sheet'!$J$37)</f>
        <v/>
      </c>
      <c r="AJ13" s="544">
        <f>IF('Final Calculation Sheet'!$J$38="","",'Final Calculation Sheet'!$J$38)</f>
        <v/>
      </c>
      <c r="AK13" s="679">
        <f>IF('Final Calculation Sheet'!$J$39="","",'Final Calculation Sheet'!$J$39)</f>
        <v/>
      </c>
      <c r="AL13" s="544">
        <f>IF('Final Calculation Sheet'!$J$40="","",'Final Calculation Sheet'!$J$40)</f>
        <v/>
      </c>
      <c r="AM13" s="680">
        <f>IF('Final Calculation Sheet'!$J$41="","",'Final Calculation Sheet'!$J$41)</f>
        <v/>
      </c>
    </row>
    <row r="14" ht="15" customHeight="1">
      <c r="A14" s="675" t="inlineStr">
        <is>
          <t>TCS</t>
        </is>
      </c>
      <c r="B14" s="544">
        <f>IF('Final Calculation Sheet'!$K$4="","",'Final Calculation Sheet'!$K$4)</f>
        <v/>
      </c>
      <c r="C14" s="679">
        <f>IF('Final Calculation Sheet'!$K$5="","",'Final Calculation Sheet'!$K$5)</f>
        <v/>
      </c>
      <c r="D14" s="544">
        <f>IF('Final Calculation Sheet'!$K$6="","",'Final Calculation Sheet'!$K$6)</f>
        <v/>
      </c>
      <c r="E14" s="679">
        <f>IF('Final Calculation Sheet'!$K$7="","",'Final Calculation Sheet'!$K$7)</f>
        <v/>
      </c>
      <c r="F14" s="544">
        <f>IF('Final Calculation Sheet'!$K$8="","",'Final Calculation Sheet'!$K$8)</f>
        <v/>
      </c>
      <c r="G14" s="679">
        <f>IF('Final Calculation Sheet'!$K$9="","",'Final Calculation Sheet'!$K$9)</f>
        <v/>
      </c>
      <c r="H14" s="544">
        <f>IF('Final Calculation Sheet'!$K$10="","",'Final Calculation Sheet'!$K$10)</f>
        <v/>
      </c>
      <c r="I14" s="679">
        <f>IF('Final Calculation Sheet'!$K$11="","",'Final Calculation Sheet'!$K$11)</f>
        <v/>
      </c>
      <c r="J14" s="544">
        <f>IF('Final Calculation Sheet'!$K$12="","",'Final Calculation Sheet'!$K$12)</f>
        <v/>
      </c>
      <c r="K14" s="679">
        <f>IF('Final Calculation Sheet'!$K$13="","",'Final Calculation Sheet'!$K$13)</f>
        <v/>
      </c>
      <c r="L14" s="544">
        <f>IF('Final Calculation Sheet'!$K$14="","",'Final Calculation Sheet'!$K$14)</f>
        <v/>
      </c>
      <c r="M14" s="679">
        <f>IF('Final Calculation Sheet'!$K$15="","",'Final Calculation Sheet'!$K$15)</f>
        <v/>
      </c>
      <c r="N14" s="544">
        <f>IF('Final Calculation Sheet'!$K$16="","",'Final Calculation Sheet'!$K$16)</f>
        <v/>
      </c>
      <c r="O14" s="679">
        <f>IF('Final Calculation Sheet'!$K$17="","",'Final Calculation Sheet'!$K$17)</f>
        <v/>
      </c>
      <c r="P14" s="544">
        <f>IF('Final Calculation Sheet'!$K$18="","",'Final Calculation Sheet'!$K$18)</f>
        <v/>
      </c>
      <c r="Q14" s="679">
        <f>IF('Final Calculation Sheet'!$K$19="","",'Final Calculation Sheet'!$K$19)</f>
        <v/>
      </c>
      <c r="R14" s="544">
        <f>IF('Final Calculation Sheet'!$K$20="","",'Final Calculation Sheet'!$K$20)</f>
        <v/>
      </c>
      <c r="S14" s="679">
        <f>IF('Final Calculation Sheet'!$K$21="","",'Final Calculation Sheet'!$K$21)</f>
        <v/>
      </c>
      <c r="T14" s="544">
        <f>IF('Final Calculation Sheet'!$K$22="","",'Final Calculation Sheet'!$K$22)</f>
        <v/>
      </c>
      <c r="U14" s="679">
        <f>IF('Final Calculation Sheet'!$K$23="","",'Final Calculation Sheet'!$K$23)</f>
        <v/>
      </c>
      <c r="V14" s="544">
        <f>IF('Final Calculation Sheet'!$K$24="","",'Final Calculation Sheet'!$K$24)</f>
        <v/>
      </c>
      <c r="W14" s="679">
        <f>IF('Final Calculation Sheet'!$K$25="","",'Final Calculation Sheet'!$K$25)</f>
        <v/>
      </c>
      <c r="X14" s="544">
        <f>IF('Final Calculation Sheet'!$K$26="","",'Final Calculation Sheet'!$K$26)</f>
        <v/>
      </c>
      <c r="Y14" s="679">
        <f>IF('Final Calculation Sheet'!$K$27="","",'Final Calculation Sheet'!$K$27)</f>
        <v/>
      </c>
      <c r="Z14" s="544">
        <f>IF('Final Calculation Sheet'!$K$28="","",'Final Calculation Sheet'!$K$28)</f>
        <v/>
      </c>
      <c r="AA14" s="679">
        <f>IF('Final Calculation Sheet'!$K$29="","",'Final Calculation Sheet'!$K$29)</f>
        <v/>
      </c>
      <c r="AB14" s="544">
        <f>IF('Final Calculation Sheet'!$K$30="","",'Final Calculation Sheet'!$K$30)</f>
        <v/>
      </c>
      <c r="AC14" s="679">
        <f>IF('Final Calculation Sheet'!$K$31="","",'Final Calculation Sheet'!$K$31)</f>
        <v/>
      </c>
      <c r="AD14" s="544">
        <f>IF('Final Calculation Sheet'!$K$32="","",'Final Calculation Sheet'!$K$32)</f>
        <v/>
      </c>
      <c r="AE14" s="679">
        <f>IF('Final Calculation Sheet'!$K$33="","",'Final Calculation Sheet'!$K$33)</f>
        <v/>
      </c>
      <c r="AF14" s="544">
        <f>IF('Final Calculation Sheet'!$K$34="","",'Final Calculation Sheet'!$K$34)</f>
        <v/>
      </c>
      <c r="AG14" s="679">
        <f>IF('Final Calculation Sheet'!$K$35="","",'Final Calculation Sheet'!$K$35)</f>
        <v/>
      </c>
      <c r="AH14" s="544">
        <f>IF('Final Calculation Sheet'!$K$36="","",'Final Calculation Sheet'!$K$36)</f>
        <v/>
      </c>
      <c r="AI14" s="679">
        <f>IF('Final Calculation Sheet'!$K$37="","",'Final Calculation Sheet'!$K$37)</f>
        <v/>
      </c>
      <c r="AJ14" s="544">
        <f>IF('Final Calculation Sheet'!$K$38="","",'Final Calculation Sheet'!$K$38)</f>
        <v/>
      </c>
      <c r="AK14" s="679">
        <f>IF('Final Calculation Sheet'!$K$39="","",'Final Calculation Sheet'!$K$39)</f>
        <v/>
      </c>
      <c r="AL14" s="544">
        <f>IF('Final Calculation Sheet'!$K$40="","",'Final Calculation Sheet'!$K$40)</f>
        <v/>
      </c>
      <c r="AM14" s="680">
        <f>IF('Final Calculation Sheet'!$K$41="","",'Final Calculation Sheet'!$K$41)</f>
        <v/>
      </c>
    </row>
    <row r="15" ht="15" customHeight="1">
      <c r="A15" s="678" t="inlineStr">
        <is>
          <t>TDS u/s 194(O)</t>
        </is>
      </c>
      <c r="B15" s="544">
        <f>IF('Final Calculation Sheet'!$L$4="","",'Final Calculation Sheet'!$L$4)</f>
        <v/>
      </c>
      <c r="C15" s="679">
        <f>IF('Final Calculation Sheet'!$L$5="","",'Final Calculation Sheet'!$L$5)</f>
        <v/>
      </c>
      <c r="D15" s="544">
        <f>IF('Final Calculation Sheet'!$L$6="","",'Final Calculation Sheet'!$L$6)</f>
        <v/>
      </c>
      <c r="E15" s="679">
        <f>IF('Final Calculation Sheet'!$L$7="","",'Final Calculation Sheet'!$L$7)</f>
        <v/>
      </c>
      <c r="F15" s="544">
        <f>IF('Final Calculation Sheet'!$L$8="","",'Final Calculation Sheet'!$L$8)</f>
        <v/>
      </c>
      <c r="G15" s="679">
        <f>IF('Final Calculation Sheet'!$L$9="","",'Final Calculation Sheet'!$L$9)</f>
        <v/>
      </c>
      <c r="H15" s="544">
        <f>IF('Final Calculation Sheet'!$L$10="","",'Final Calculation Sheet'!$L$10)</f>
        <v/>
      </c>
      <c r="I15" s="679">
        <f>IF('Final Calculation Sheet'!$L$11="","",'Final Calculation Sheet'!$L$11)</f>
        <v/>
      </c>
      <c r="J15" s="544">
        <f>IF('Final Calculation Sheet'!$L$12="","",'Final Calculation Sheet'!$L$12)</f>
        <v/>
      </c>
      <c r="K15" s="679">
        <f>IF('Final Calculation Sheet'!$L$13="","",'Final Calculation Sheet'!$L$13)</f>
        <v/>
      </c>
      <c r="L15" s="544">
        <f>IF('Final Calculation Sheet'!$L$14="","",'Final Calculation Sheet'!$L$14)</f>
        <v/>
      </c>
      <c r="M15" s="679">
        <f>IF('Final Calculation Sheet'!$L$15="","",'Final Calculation Sheet'!$L$15)</f>
        <v/>
      </c>
      <c r="N15" s="544">
        <f>IF('Final Calculation Sheet'!$L$16="","",'Final Calculation Sheet'!$L$16)</f>
        <v/>
      </c>
      <c r="O15" s="679">
        <f>IF('Final Calculation Sheet'!$L$17="","",'Final Calculation Sheet'!$L$17)</f>
        <v/>
      </c>
      <c r="P15" s="544">
        <f>IF('Final Calculation Sheet'!$L$18="","",'Final Calculation Sheet'!$L$18)</f>
        <v/>
      </c>
      <c r="Q15" s="679">
        <f>IF('Final Calculation Sheet'!$L$19="","",'Final Calculation Sheet'!$L$19)</f>
        <v/>
      </c>
      <c r="R15" s="544">
        <f>IF('Final Calculation Sheet'!$L$20="","",'Final Calculation Sheet'!$L$20)</f>
        <v/>
      </c>
      <c r="S15" s="679">
        <f>IF('Final Calculation Sheet'!$L$21="","",'Final Calculation Sheet'!$L$21)</f>
        <v/>
      </c>
      <c r="T15" s="544">
        <f>IF('Final Calculation Sheet'!$L$22="","",'Final Calculation Sheet'!$L$22)</f>
        <v/>
      </c>
      <c r="U15" s="679">
        <f>IF('Final Calculation Sheet'!$L$23="","",'Final Calculation Sheet'!$L$23)</f>
        <v/>
      </c>
      <c r="V15" s="544">
        <f>IF('Final Calculation Sheet'!$L$24="","",'Final Calculation Sheet'!$L$24)</f>
        <v/>
      </c>
      <c r="W15" s="679">
        <f>IF('Final Calculation Sheet'!$L$25="","",'Final Calculation Sheet'!$L$25)</f>
        <v/>
      </c>
      <c r="X15" s="544">
        <f>IF('Final Calculation Sheet'!$L$26="","",'Final Calculation Sheet'!$L$26)</f>
        <v/>
      </c>
      <c r="Y15" s="679">
        <f>IF('Final Calculation Sheet'!$L$27="","",'Final Calculation Sheet'!$L$27)</f>
        <v/>
      </c>
      <c r="Z15" s="544">
        <f>IF('Final Calculation Sheet'!$L$28="","",'Final Calculation Sheet'!$L$28)</f>
        <v/>
      </c>
      <c r="AA15" s="679">
        <f>IF('Final Calculation Sheet'!$L$29="","",'Final Calculation Sheet'!$L$29)</f>
        <v/>
      </c>
      <c r="AB15" s="544">
        <f>IF('Final Calculation Sheet'!$L$30="","",'Final Calculation Sheet'!$L$30)</f>
        <v/>
      </c>
      <c r="AC15" s="679">
        <f>IF('Final Calculation Sheet'!$L$31="","",'Final Calculation Sheet'!$L$31)</f>
        <v/>
      </c>
      <c r="AD15" s="544">
        <f>IF('Final Calculation Sheet'!$L$32="","",'Final Calculation Sheet'!$L$32)</f>
        <v/>
      </c>
      <c r="AE15" s="679">
        <f>IF('Final Calculation Sheet'!$L$33="","",'Final Calculation Sheet'!$L$33)</f>
        <v/>
      </c>
      <c r="AF15" s="544">
        <f>IF('Final Calculation Sheet'!$L$34="","",'Final Calculation Sheet'!$L$34)</f>
        <v/>
      </c>
      <c r="AG15" s="679">
        <f>IF('Final Calculation Sheet'!$L$35="","",'Final Calculation Sheet'!$L$35)</f>
        <v/>
      </c>
      <c r="AH15" s="544">
        <f>IF('Final Calculation Sheet'!$L$36="","",'Final Calculation Sheet'!$L$36)</f>
        <v/>
      </c>
      <c r="AI15" s="679">
        <f>IF('Final Calculation Sheet'!$L$37="","",'Final Calculation Sheet'!$L$37)</f>
        <v/>
      </c>
      <c r="AJ15" s="544">
        <f>IF('Final Calculation Sheet'!$L$38="","",'Final Calculation Sheet'!$L$38)</f>
        <v/>
      </c>
      <c r="AK15" s="679">
        <f>IF('Final Calculation Sheet'!$L$39="","",'Final Calculation Sheet'!$L$39)</f>
        <v/>
      </c>
      <c r="AL15" s="544">
        <f>IF('Final Calculation Sheet'!$L$40="","",'Final Calculation Sheet'!$L$40)</f>
        <v/>
      </c>
      <c r="AM15" s="680">
        <f>IF('Final Calculation Sheet'!$L$41="","",'Final Calculation Sheet'!$L$41)</f>
        <v/>
      </c>
    </row>
    <row r="16" ht="15" customHeight="1">
      <c r="A16" s="675" t="inlineStr">
        <is>
          <t>Service Charge to MSTC</t>
        </is>
      </c>
      <c r="B16" s="544">
        <f>IF('Final Calculation Sheet'!$M$4="","",'Final Calculation Sheet'!$M$4)</f>
        <v/>
      </c>
      <c r="C16" s="679">
        <f>IF('Final Calculation Sheet'!$M$5="","",'Final Calculation Sheet'!$M$5)</f>
        <v/>
      </c>
      <c r="D16" s="544">
        <f>IF('Final Calculation Sheet'!$M$6="","",'Final Calculation Sheet'!$M$6)</f>
        <v/>
      </c>
      <c r="E16" s="679">
        <f>IF('Final Calculation Sheet'!$M$7="","",'Final Calculation Sheet'!$M$7)</f>
        <v/>
      </c>
      <c r="F16" s="544">
        <f>IF('Final Calculation Sheet'!$M$8="","",'Final Calculation Sheet'!$M$8)</f>
        <v/>
      </c>
      <c r="G16" s="679">
        <f>IF('Final Calculation Sheet'!$M$9="","",'Final Calculation Sheet'!$M$9)</f>
        <v/>
      </c>
      <c r="H16" s="544">
        <f>IF('Final Calculation Sheet'!$M$10="","",'Final Calculation Sheet'!$M$10)</f>
        <v/>
      </c>
      <c r="I16" s="679">
        <f>IF('Final Calculation Sheet'!$M$11="","",'Final Calculation Sheet'!$M$11)</f>
        <v/>
      </c>
      <c r="J16" s="544">
        <f>IF('Final Calculation Sheet'!$M$12="","",'Final Calculation Sheet'!$M$12)</f>
        <v/>
      </c>
      <c r="K16" s="679">
        <f>IF('Final Calculation Sheet'!$M$13="","",'Final Calculation Sheet'!$M$13)</f>
        <v/>
      </c>
      <c r="L16" s="544">
        <f>IF('Final Calculation Sheet'!$M$14="","",'Final Calculation Sheet'!$M$14)</f>
        <v/>
      </c>
      <c r="M16" s="679">
        <f>IF('Final Calculation Sheet'!$M$15="","",'Final Calculation Sheet'!$M$15)</f>
        <v/>
      </c>
      <c r="N16" s="544">
        <f>IF('Final Calculation Sheet'!$M$16="","",'Final Calculation Sheet'!$M$16)</f>
        <v/>
      </c>
      <c r="O16" s="679">
        <f>IF('Final Calculation Sheet'!$M$17="","",'Final Calculation Sheet'!$M$17)</f>
        <v/>
      </c>
      <c r="P16" s="544">
        <f>IF('Final Calculation Sheet'!$M$18="","",'Final Calculation Sheet'!$M$18)</f>
        <v/>
      </c>
      <c r="Q16" s="679">
        <f>IF('Final Calculation Sheet'!$M$19="","",'Final Calculation Sheet'!$M$19)</f>
        <v/>
      </c>
      <c r="R16" s="544">
        <f>IF('Final Calculation Sheet'!$M$20="","",'Final Calculation Sheet'!$M$20)</f>
        <v/>
      </c>
      <c r="S16" s="679">
        <f>IF('Final Calculation Sheet'!$M$21="","",'Final Calculation Sheet'!$M$21)</f>
        <v/>
      </c>
      <c r="T16" s="544">
        <f>IF('Final Calculation Sheet'!$M$22="","",'Final Calculation Sheet'!$M$22)</f>
        <v/>
      </c>
      <c r="U16" s="679">
        <f>IF('Final Calculation Sheet'!$M$23="","",'Final Calculation Sheet'!$M$23)</f>
        <v/>
      </c>
      <c r="V16" s="544">
        <f>IF('Final Calculation Sheet'!$M$24="","",'Final Calculation Sheet'!$M$24)</f>
        <v/>
      </c>
      <c r="W16" s="679">
        <f>IF('Final Calculation Sheet'!$M$25="","",'Final Calculation Sheet'!$M$25)</f>
        <v/>
      </c>
      <c r="X16" s="544">
        <f>IF('Final Calculation Sheet'!$M$26="","",'Final Calculation Sheet'!$M$26)</f>
        <v/>
      </c>
      <c r="Y16" s="679">
        <f>IF('Final Calculation Sheet'!$M$27="","",'Final Calculation Sheet'!$M$27)</f>
        <v/>
      </c>
      <c r="Z16" s="544">
        <f>IF('Final Calculation Sheet'!$M$28="","",'Final Calculation Sheet'!$M$28)</f>
        <v/>
      </c>
      <c r="AA16" s="679">
        <f>IF('Final Calculation Sheet'!$M$29="","",'Final Calculation Sheet'!$M$29)</f>
        <v/>
      </c>
      <c r="AB16" s="544">
        <f>IF('Final Calculation Sheet'!$M$30="","",'Final Calculation Sheet'!$M$30)</f>
        <v/>
      </c>
      <c r="AC16" s="679">
        <f>IF('Final Calculation Sheet'!$M$31="","",'Final Calculation Sheet'!$M$31)</f>
        <v/>
      </c>
      <c r="AD16" s="544">
        <f>IF('Final Calculation Sheet'!$M$32="","",'Final Calculation Sheet'!$M$32)</f>
        <v/>
      </c>
      <c r="AE16" s="679">
        <f>IF('Final Calculation Sheet'!$M$33="","",'Final Calculation Sheet'!$M$33)</f>
        <v/>
      </c>
      <c r="AF16" s="544">
        <f>IF('Final Calculation Sheet'!$M$34="","",'Final Calculation Sheet'!$M$34)</f>
        <v/>
      </c>
      <c r="AG16" s="679">
        <f>IF('Final Calculation Sheet'!$M$35="","",'Final Calculation Sheet'!$M$35)</f>
        <v/>
      </c>
      <c r="AH16" s="544">
        <f>IF('Final Calculation Sheet'!$M$36="","",'Final Calculation Sheet'!$M$36)</f>
        <v/>
      </c>
      <c r="AI16" s="679">
        <f>IF('Final Calculation Sheet'!$M$37="","",'Final Calculation Sheet'!$M$37)</f>
        <v/>
      </c>
      <c r="AJ16" s="544">
        <f>IF('Final Calculation Sheet'!$M$38="","",'Final Calculation Sheet'!$M$38)</f>
        <v/>
      </c>
      <c r="AK16" s="679">
        <f>IF('Final Calculation Sheet'!$M$39="","",'Final Calculation Sheet'!$M$39)</f>
        <v/>
      </c>
      <c r="AL16" s="544">
        <f>IF('Final Calculation Sheet'!$M$40="","",'Final Calculation Sheet'!$M$40)</f>
        <v/>
      </c>
      <c r="AM16" s="680">
        <f>IF('Final Calculation Sheet'!$M$41="","",'Final Calculation Sheet'!$M$41)</f>
        <v/>
      </c>
    </row>
    <row r="17" ht="15" customHeight="1">
      <c r="A17" s="678" t="inlineStr">
        <is>
          <t>TDS u/s 194(H)</t>
        </is>
      </c>
      <c r="B17" s="547">
        <f>IF('Final Calculation Sheet'!$N$4="","",'Final Calculation Sheet'!$N$4)</f>
        <v/>
      </c>
      <c r="C17" s="681">
        <f>IF('Final Calculation Sheet'!$N$5="","",'Final Calculation Sheet'!$N$5)</f>
        <v/>
      </c>
      <c r="D17" s="547">
        <f>IF('Final Calculation Sheet'!$N$6="","",'Final Calculation Sheet'!$N$6)</f>
        <v/>
      </c>
      <c r="E17" s="681">
        <f>IF('Final Calculation Sheet'!$N$7="","",'Final Calculation Sheet'!$N$7)</f>
        <v/>
      </c>
      <c r="F17" s="547">
        <f>IF('Final Calculation Sheet'!$N$8="","",'Final Calculation Sheet'!$N$8)</f>
        <v/>
      </c>
      <c r="G17" s="681">
        <f>IF('Final Calculation Sheet'!$N$9="","",'Final Calculation Sheet'!$N$9)</f>
        <v/>
      </c>
      <c r="H17" s="547">
        <f>IF('Final Calculation Sheet'!$N$10="","",'Final Calculation Sheet'!$N$10)</f>
        <v/>
      </c>
      <c r="I17" s="681">
        <f>IF('Final Calculation Sheet'!$N$11="","",'Final Calculation Sheet'!$N$11)</f>
        <v/>
      </c>
      <c r="J17" s="547">
        <f>IF('Final Calculation Sheet'!$N$12="","",'Final Calculation Sheet'!$N$12)</f>
        <v/>
      </c>
      <c r="K17" s="681">
        <f>IF('Final Calculation Sheet'!$N$13="","",'Final Calculation Sheet'!$N$13)</f>
        <v/>
      </c>
      <c r="L17" s="547">
        <f>IF('Final Calculation Sheet'!$N$14="","",'Final Calculation Sheet'!$N$14)</f>
        <v/>
      </c>
      <c r="M17" s="681">
        <f>IF('Final Calculation Sheet'!$N$15="","",'Final Calculation Sheet'!$N$15)</f>
        <v/>
      </c>
      <c r="N17" s="547">
        <f>IF('Final Calculation Sheet'!$N$16="","",'Final Calculation Sheet'!$N$16)</f>
        <v/>
      </c>
      <c r="O17" s="681">
        <f>IF('Final Calculation Sheet'!$N$17="","",'Final Calculation Sheet'!$N$17)</f>
        <v/>
      </c>
      <c r="P17" s="547">
        <f>IF('Final Calculation Sheet'!$N$18="","",'Final Calculation Sheet'!$N$18)</f>
        <v/>
      </c>
      <c r="Q17" s="681">
        <f>IF('Final Calculation Sheet'!$N$19="","",'Final Calculation Sheet'!$N$19)</f>
        <v/>
      </c>
      <c r="R17" s="547">
        <f>IF('Final Calculation Sheet'!$N$20="","",'Final Calculation Sheet'!$N$20)</f>
        <v/>
      </c>
      <c r="S17" s="681">
        <f>IF('Final Calculation Sheet'!$N$21="","",'Final Calculation Sheet'!$N$21)</f>
        <v/>
      </c>
      <c r="T17" s="547">
        <f>IF('Final Calculation Sheet'!$N$22="","",'Final Calculation Sheet'!$N$22)</f>
        <v/>
      </c>
      <c r="U17" s="681">
        <f>IF('Final Calculation Sheet'!$N$23="","",'Final Calculation Sheet'!$N$23)</f>
        <v/>
      </c>
      <c r="V17" s="547">
        <f>IF('Final Calculation Sheet'!$N$24="","",'Final Calculation Sheet'!$N$24)</f>
        <v/>
      </c>
      <c r="W17" s="681">
        <f>IF('Final Calculation Sheet'!$N$25="","",'Final Calculation Sheet'!$N$25)</f>
        <v/>
      </c>
      <c r="X17" s="547">
        <f>IF('Final Calculation Sheet'!$N$26="","",'Final Calculation Sheet'!$N$26)</f>
        <v/>
      </c>
      <c r="Y17" s="681">
        <f>IF('Final Calculation Sheet'!$N$27="","",'Final Calculation Sheet'!$N$27)</f>
        <v/>
      </c>
      <c r="Z17" s="547">
        <f>IF('Final Calculation Sheet'!$N$28="","",'Final Calculation Sheet'!$N$28)</f>
        <v/>
      </c>
      <c r="AA17" s="681">
        <f>IF('Final Calculation Sheet'!$N$29="","",'Final Calculation Sheet'!$N$29)</f>
        <v/>
      </c>
      <c r="AB17" s="547">
        <f>IF('Final Calculation Sheet'!$N$30="","",'Final Calculation Sheet'!$N$30)</f>
        <v/>
      </c>
      <c r="AC17" s="681">
        <f>IF('Final Calculation Sheet'!$N$31="","",'Final Calculation Sheet'!$N$31)</f>
        <v/>
      </c>
      <c r="AD17" s="547">
        <f>IF('Final Calculation Sheet'!$N$32="","",'Final Calculation Sheet'!$N$32)</f>
        <v/>
      </c>
      <c r="AE17" s="681">
        <f>IF('Final Calculation Sheet'!$N$33="","",'Final Calculation Sheet'!$N$33)</f>
        <v/>
      </c>
      <c r="AF17" s="547">
        <f>IF('Final Calculation Sheet'!$N$34="","",'Final Calculation Sheet'!$N$34)</f>
        <v/>
      </c>
      <c r="AG17" s="681">
        <f>IF('Final Calculation Sheet'!$N$35="","",'Final Calculation Sheet'!$N$35)</f>
        <v/>
      </c>
      <c r="AH17" s="547">
        <f>IF('Final Calculation Sheet'!$N$36="","",'Final Calculation Sheet'!$N$36)</f>
        <v/>
      </c>
      <c r="AI17" s="681">
        <f>IF('Final Calculation Sheet'!$N$37="","",'Final Calculation Sheet'!$N$37)</f>
        <v/>
      </c>
      <c r="AJ17" s="547">
        <f>IF('Final Calculation Sheet'!$N$38="","",'Final Calculation Sheet'!$N$38)</f>
        <v/>
      </c>
      <c r="AK17" s="681">
        <f>IF('Final Calculation Sheet'!$N$39="","",'Final Calculation Sheet'!$N$39)</f>
        <v/>
      </c>
      <c r="AL17" s="547">
        <f>IF('Final Calculation Sheet'!$N$40="","",'Final Calculation Sheet'!$N$40)</f>
        <v/>
      </c>
      <c r="AM17" s="682">
        <f>IF('Final Calculation Sheet'!$N$41="","",'Final Calculation Sheet'!$N$41)</f>
        <v/>
      </c>
    </row>
    <row r="18" ht="15" customHeight="1">
      <c r="A18" s="675" t="inlineStr">
        <is>
          <t>Net Service Charge (post TDS 194H)</t>
        </is>
      </c>
      <c r="B18" s="544">
        <f>IF('Final Calculation Sheet'!$O$4="","",'Final Calculation Sheet'!$O$4)</f>
        <v/>
      </c>
      <c r="C18" s="679">
        <f>IF('Final Calculation Sheet'!$O$5="","",'Final Calculation Sheet'!$O$5)</f>
        <v/>
      </c>
      <c r="D18" s="544">
        <f>IF('Final Calculation Sheet'!$O$6="","",'Final Calculation Sheet'!$O$6)</f>
        <v/>
      </c>
      <c r="E18" s="679">
        <f>IF('Final Calculation Sheet'!$O$7="","",'Final Calculation Sheet'!$O$7)</f>
        <v/>
      </c>
      <c r="F18" s="544">
        <f>IF('Final Calculation Sheet'!$O$8="","",'Final Calculation Sheet'!$O$8)</f>
        <v/>
      </c>
      <c r="G18" s="679">
        <f>IF('Final Calculation Sheet'!$O$9="","",'Final Calculation Sheet'!$O$9)</f>
        <v/>
      </c>
      <c r="H18" s="544">
        <f>IF('Final Calculation Sheet'!$O$10="","",'Final Calculation Sheet'!$O$10)</f>
        <v/>
      </c>
      <c r="I18" s="679">
        <f>IF('Final Calculation Sheet'!$O$11="","",'Final Calculation Sheet'!$O$11)</f>
        <v/>
      </c>
      <c r="J18" s="544">
        <f>IF('Final Calculation Sheet'!$O$12="","",'Final Calculation Sheet'!$O$12)</f>
        <v/>
      </c>
      <c r="K18" s="679">
        <f>IF('Final Calculation Sheet'!$O$13="","",'Final Calculation Sheet'!$O$13)</f>
        <v/>
      </c>
      <c r="L18" s="544">
        <f>IF('Final Calculation Sheet'!$O$14="","",'Final Calculation Sheet'!$O$14)</f>
        <v/>
      </c>
      <c r="M18" s="679">
        <f>IF('Final Calculation Sheet'!$O$15="","",'Final Calculation Sheet'!$O$15)</f>
        <v/>
      </c>
      <c r="N18" s="544">
        <f>IF('Final Calculation Sheet'!$O$16="","",'Final Calculation Sheet'!$O$16)</f>
        <v/>
      </c>
      <c r="O18" s="679">
        <f>IF('Final Calculation Sheet'!$O$17="","",'Final Calculation Sheet'!$O$17)</f>
        <v/>
      </c>
      <c r="P18" s="544">
        <f>IF('Final Calculation Sheet'!$O$18="","",'Final Calculation Sheet'!$O$18)</f>
        <v/>
      </c>
      <c r="Q18" s="679">
        <f>IF('Final Calculation Sheet'!$O$19="","",'Final Calculation Sheet'!$O$19)</f>
        <v/>
      </c>
      <c r="R18" s="544">
        <f>IF('Final Calculation Sheet'!$O$20="","",'Final Calculation Sheet'!$O$20)</f>
        <v/>
      </c>
      <c r="S18" s="679">
        <f>IF('Final Calculation Sheet'!$O$21="","",'Final Calculation Sheet'!$O$21)</f>
        <v/>
      </c>
      <c r="T18" s="544">
        <f>IF('Final Calculation Sheet'!$O$22="","",'Final Calculation Sheet'!$O$22)</f>
        <v/>
      </c>
      <c r="U18" s="679">
        <f>IF('Final Calculation Sheet'!$O$23="","",'Final Calculation Sheet'!$O$23)</f>
        <v/>
      </c>
      <c r="V18" s="544">
        <f>IF('Final Calculation Sheet'!$O$24="","",'Final Calculation Sheet'!$O$24)</f>
        <v/>
      </c>
      <c r="W18" s="679">
        <f>IF('Final Calculation Sheet'!$O$25="","",'Final Calculation Sheet'!$O$25)</f>
        <v/>
      </c>
      <c r="X18" s="544">
        <f>IF('Final Calculation Sheet'!$O$26="","",'Final Calculation Sheet'!$O$26)</f>
        <v/>
      </c>
      <c r="Y18" s="679">
        <f>IF('Final Calculation Sheet'!$O$27="","",'Final Calculation Sheet'!$O$27)</f>
        <v/>
      </c>
      <c r="Z18" s="544">
        <f>IF('Final Calculation Sheet'!$O$28="","",'Final Calculation Sheet'!$O$28)</f>
        <v/>
      </c>
      <c r="AA18" s="679">
        <f>IF('Final Calculation Sheet'!$O$29="","",'Final Calculation Sheet'!$O$29)</f>
        <v/>
      </c>
      <c r="AB18" s="544">
        <f>IF('Final Calculation Sheet'!$O$30="","",'Final Calculation Sheet'!$O$30)</f>
        <v/>
      </c>
      <c r="AC18" s="679">
        <f>IF('Final Calculation Sheet'!$O$31="","",'Final Calculation Sheet'!$O$31)</f>
        <v/>
      </c>
      <c r="AD18" s="544">
        <f>IF('Final Calculation Sheet'!$O$32="","",'Final Calculation Sheet'!$O$32)</f>
        <v/>
      </c>
      <c r="AE18" s="679">
        <f>IF('Final Calculation Sheet'!$O$33="","",'Final Calculation Sheet'!$O$33)</f>
        <v/>
      </c>
      <c r="AF18" s="544">
        <f>IF('Final Calculation Sheet'!$O$34="","",'Final Calculation Sheet'!$O$34)</f>
        <v/>
      </c>
      <c r="AG18" s="679">
        <f>IF('Final Calculation Sheet'!$O$35="","",'Final Calculation Sheet'!$O$35)</f>
        <v/>
      </c>
      <c r="AH18" s="544">
        <f>IF('Final Calculation Sheet'!$O$36="","",'Final Calculation Sheet'!$O$36)</f>
        <v/>
      </c>
      <c r="AI18" s="679">
        <f>IF('Final Calculation Sheet'!$O$37="","",'Final Calculation Sheet'!$O$37)</f>
        <v/>
      </c>
      <c r="AJ18" s="544">
        <f>IF('Final Calculation Sheet'!$O$38="","",'Final Calculation Sheet'!$O$38)</f>
        <v/>
      </c>
      <c r="AK18" s="679">
        <f>IF('Final Calculation Sheet'!$O$39="","",'Final Calculation Sheet'!$O$39)</f>
        <v/>
      </c>
      <c r="AL18" s="544">
        <f>IF('Final Calculation Sheet'!$O$40="","",'Final Calculation Sheet'!$O$40)</f>
        <v/>
      </c>
      <c r="AM18" s="680">
        <f>IF('Final Calculation Sheet'!$O$41="","",'Final Calculation Sheet'!$O$41)</f>
        <v/>
      </c>
    </row>
    <row r="19" ht="15" customHeight="1">
      <c r="A19" s="678" t="inlineStr">
        <is>
          <t>Service charge to MSTC</t>
        </is>
      </c>
      <c r="B19" s="544">
        <f>IF('Final Calculation Sheet'!$P$4="","",'Final Calculation Sheet'!$P$4)</f>
        <v/>
      </c>
      <c r="C19" s="679">
        <f>IF('Final Calculation Sheet'!$P$5="","",'Final Calculation Sheet'!$P$5)</f>
        <v/>
      </c>
      <c r="D19" s="544">
        <f>IF('Final Calculation Sheet'!$P$6="","",'Final Calculation Sheet'!$P$6)</f>
        <v/>
      </c>
      <c r="E19" s="679">
        <f>IF('Final Calculation Sheet'!$P$7="","",'Final Calculation Sheet'!$P$7)</f>
        <v/>
      </c>
      <c r="F19" s="544">
        <f>IF('Final Calculation Sheet'!$P$8="","",'Final Calculation Sheet'!$P$8)</f>
        <v/>
      </c>
      <c r="G19" s="679">
        <f>IF('Final Calculation Sheet'!$P$9="","",'Final Calculation Sheet'!$P$9)</f>
        <v/>
      </c>
      <c r="H19" s="544">
        <f>IF('Final Calculation Sheet'!$P$10="","",'Final Calculation Sheet'!$P$10)</f>
        <v/>
      </c>
      <c r="I19" s="679">
        <f>IF('Final Calculation Sheet'!$P$11="","",'Final Calculation Sheet'!$P$11)</f>
        <v/>
      </c>
      <c r="J19" s="544">
        <f>IF('Final Calculation Sheet'!$P$12="","",'Final Calculation Sheet'!$P$12)</f>
        <v/>
      </c>
      <c r="K19" s="679">
        <f>IF('Final Calculation Sheet'!$P$13="","",'Final Calculation Sheet'!$P$13)</f>
        <v/>
      </c>
      <c r="L19" s="544">
        <f>IF('Final Calculation Sheet'!$P$14="","",'Final Calculation Sheet'!$P$14)</f>
        <v/>
      </c>
      <c r="M19" s="679">
        <f>IF('Final Calculation Sheet'!$P$15="","",'Final Calculation Sheet'!$P$15)</f>
        <v/>
      </c>
      <c r="N19" s="544">
        <f>IF('Final Calculation Sheet'!$P$16="","",'Final Calculation Sheet'!$P$16)</f>
        <v/>
      </c>
      <c r="O19" s="679">
        <f>IF('Final Calculation Sheet'!$P$17="","",'Final Calculation Sheet'!$P$17)</f>
        <v/>
      </c>
      <c r="P19" s="544">
        <f>IF('Final Calculation Sheet'!$P$18="","",'Final Calculation Sheet'!$P$18)</f>
        <v/>
      </c>
      <c r="Q19" s="679">
        <f>IF('Final Calculation Sheet'!$P$19="","",'Final Calculation Sheet'!$P$19)</f>
        <v/>
      </c>
      <c r="R19" s="544">
        <f>IF('Final Calculation Sheet'!$P$20="","",'Final Calculation Sheet'!$P$20)</f>
        <v/>
      </c>
      <c r="S19" s="679">
        <f>IF('Final Calculation Sheet'!$P$21="","",'Final Calculation Sheet'!$P$21)</f>
        <v/>
      </c>
      <c r="T19" s="544">
        <f>IF('Final Calculation Sheet'!$P$22="","",'Final Calculation Sheet'!$P$22)</f>
        <v/>
      </c>
      <c r="U19" s="679">
        <f>IF('Final Calculation Sheet'!$P$23="","",'Final Calculation Sheet'!$P$23)</f>
        <v/>
      </c>
      <c r="V19" s="544">
        <f>IF('Final Calculation Sheet'!$P$24="","",'Final Calculation Sheet'!$P$24)</f>
        <v/>
      </c>
      <c r="W19" s="679">
        <f>IF('Final Calculation Sheet'!$P$25="","",'Final Calculation Sheet'!$P$25)</f>
        <v/>
      </c>
      <c r="X19" s="544">
        <f>IF('Final Calculation Sheet'!$P$26="","",'Final Calculation Sheet'!$P$26)</f>
        <v/>
      </c>
      <c r="Y19" s="679">
        <f>IF('Final Calculation Sheet'!$P$27="","",'Final Calculation Sheet'!$P$27)</f>
        <v/>
      </c>
      <c r="Z19" s="544">
        <f>IF('Final Calculation Sheet'!$P$28="","",'Final Calculation Sheet'!$P$28)</f>
        <v/>
      </c>
      <c r="AA19" s="679">
        <f>IF('Final Calculation Sheet'!$P$29="","",'Final Calculation Sheet'!$P$29)</f>
        <v/>
      </c>
      <c r="AB19" s="544">
        <f>IF('Final Calculation Sheet'!$P$30="","",'Final Calculation Sheet'!$P$30)</f>
        <v/>
      </c>
      <c r="AC19" s="679">
        <f>IF('Final Calculation Sheet'!$P$31="","",'Final Calculation Sheet'!$P$31)</f>
        <v/>
      </c>
      <c r="AD19" s="544">
        <f>IF('Final Calculation Sheet'!$P$32="","",'Final Calculation Sheet'!$P$32)</f>
        <v/>
      </c>
      <c r="AE19" s="679">
        <f>IF('Final Calculation Sheet'!$P$33="","",'Final Calculation Sheet'!$P$33)</f>
        <v/>
      </c>
      <c r="AF19" s="544">
        <f>IF('Final Calculation Sheet'!$P$34="","",'Final Calculation Sheet'!$P$34)</f>
        <v/>
      </c>
      <c r="AG19" s="679">
        <f>IF('Final Calculation Sheet'!$P$35="","",'Final Calculation Sheet'!$P$35)</f>
        <v/>
      </c>
      <c r="AH19" s="544">
        <f>IF('Final Calculation Sheet'!$P$36="","",'Final Calculation Sheet'!$P$36)</f>
        <v/>
      </c>
      <c r="AI19" s="679">
        <f>IF('Final Calculation Sheet'!$P$37="","",'Final Calculation Sheet'!$P$37)</f>
        <v/>
      </c>
      <c r="AJ19" s="544">
        <f>IF('Final Calculation Sheet'!$P$38="","",'Final Calculation Sheet'!$P$38)</f>
        <v/>
      </c>
      <c r="AK19" s="679">
        <f>IF('Final Calculation Sheet'!$P$39="","",'Final Calculation Sheet'!$P$39)</f>
        <v/>
      </c>
      <c r="AL19" s="544">
        <f>IF('Final Calculation Sheet'!$P$40="","",'Final Calculation Sheet'!$P$40)</f>
        <v/>
      </c>
      <c r="AM19" s="680">
        <f>IF('Final Calculation Sheet'!$P$41="","",'Final Calculation Sheet'!$P$41)</f>
        <v/>
      </c>
    </row>
    <row r="20" ht="15" customHeight="1">
      <c r="A20" s="675" t="inlineStr">
        <is>
          <t>GST TDS Rate</t>
        </is>
      </c>
      <c r="B20" s="549">
        <f>IF('Final Calculation Sheet'!$Q$4="","",'Final Calculation Sheet'!$Q$4)</f>
        <v/>
      </c>
      <c r="C20" s="683">
        <f>IF('Final Calculation Sheet'!$Q$5="","",'Final Calculation Sheet'!$Q$5)</f>
        <v/>
      </c>
      <c r="D20" s="549">
        <f>IF('Final Calculation Sheet'!$Q$6="","",'Final Calculation Sheet'!$Q$6)</f>
        <v/>
      </c>
      <c r="E20" s="683">
        <f>IF('Final Calculation Sheet'!$Q$7="","",'Final Calculation Sheet'!$Q$7)</f>
        <v/>
      </c>
      <c r="F20" s="549">
        <f>IF('Final Calculation Sheet'!$Q$8="","",'Final Calculation Sheet'!$Q$8)</f>
        <v/>
      </c>
      <c r="G20" s="683">
        <f>IF('Final Calculation Sheet'!$Q$9="","",'Final Calculation Sheet'!$Q$9)</f>
        <v/>
      </c>
      <c r="H20" s="549">
        <f>IF('Final Calculation Sheet'!$Q$10="","",'Final Calculation Sheet'!$Q$10)</f>
        <v/>
      </c>
      <c r="I20" s="683">
        <f>IF('Final Calculation Sheet'!$Q$11="","",'Final Calculation Sheet'!$Q$11)</f>
        <v/>
      </c>
      <c r="J20" s="549">
        <f>IF('Final Calculation Sheet'!$Q$12="","",'Final Calculation Sheet'!$Q$12)</f>
        <v/>
      </c>
      <c r="K20" s="683">
        <f>IF('Final Calculation Sheet'!$Q$13="","",'Final Calculation Sheet'!$Q$13)</f>
        <v/>
      </c>
      <c r="L20" s="549">
        <f>IF('Final Calculation Sheet'!$Q$14="","",'Final Calculation Sheet'!$Q$14)</f>
        <v/>
      </c>
      <c r="M20" s="683">
        <f>IF('Final Calculation Sheet'!$Q$15="","",'Final Calculation Sheet'!$Q$15)</f>
        <v/>
      </c>
      <c r="N20" s="549">
        <f>IF('Final Calculation Sheet'!$Q$16="","",'Final Calculation Sheet'!$Q$16)</f>
        <v/>
      </c>
      <c r="O20" s="683">
        <f>IF('Final Calculation Sheet'!$Q$17="","",'Final Calculation Sheet'!$Q$17)</f>
        <v/>
      </c>
      <c r="P20" s="549">
        <f>IF('Final Calculation Sheet'!$Q$18="","",'Final Calculation Sheet'!$Q$18)</f>
        <v/>
      </c>
      <c r="Q20" s="683">
        <f>IF('Final Calculation Sheet'!$Q$19="","",'Final Calculation Sheet'!$Q$19)</f>
        <v/>
      </c>
      <c r="R20" s="549">
        <f>IF('Final Calculation Sheet'!$Q$20="","",'Final Calculation Sheet'!$Q$20)</f>
        <v/>
      </c>
      <c r="S20" s="683">
        <f>IF('Final Calculation Sheet'!$Q$21="","",'Final Calculation Sheet'!$Q$21)</f>
        <v/>
      </c>
      <c r="T20" s="549">
        <f>IF('Final Calculation Sheet'!$Q$22="","",'Final Calculation Sheet'!$Q$22)</f>
        <v/>
      </c>
      <c r="U20" s="683">
        <f>IF('Final Calculation Sheet'!$Q$23="","",'Final Calculation Sheet'!$Q$23)</f>
        <v/>
      </c>
      <c r="V20" s="549">
        <f>IF('Final Calculation Sheet'!$Q$24="","",'Final Calculation Sheet'!$Q$24)</f>
        <v/>
      </c>
      <c r="W20" s="683">
        <f>IF('Final Calculation Sheet'!$Q$25="","",'Final Calculation Sheet'!$Q$25)</f>
        <v/>
      </c>
      <c r="X20" s="549">
        <f>IF('Final Calculation Sheet'!$Q$26="","",'Final Calculation Sheet'!$Q$26)</f>
        <v/>
      </c>
      <c r="Y20" s="683">
        <f>IF('Final Calculation Sheet'!$Q$27="","",'Final Calculation Sheet'!$Q$27)</f>
        <v/>
      </c>
      <c r="Z20" s="549">
        <f>IF('Final Calculation Sheet'!$Q$28="","",'Final Calculation Sheet'!$Q$28)</f>
        <v/>
      </c>
      <c r="AA20" s="683">
        <f>IF('Final Calculation Sheet'!$Q$29="","",'Final Calculation Sheet'!$Q$29)</f>
        <v/>
      </c>
      <c r="AB20" s="549">
        <f>IF('Final Calculation Sheet'!$Q$30="","",'Final Calculation Sheet'!$Q$30)</f>
        <v/>
      </c>
      <c r="AC20" s="683">
        <f>IF('Final Calculation Sheet'!$Q$31="","",'Final Calculation Sheet'!$Q$31)</f>
        <v/>
      </c>
      <c r="AD20" s="549">
        <f>IF('Final Calculation Sheet'!$Q$32="","",'Final Calculation Sheet'!$Q$32)</f>
        <v/>
      </c>
      <c r="AE20" s="683">
        <f>IF('Final Calculation Sheet'!$Q$33="","",'Final Calculation Sheet'!$Q$33)</f>
        <v/>
      </c>
      <c r="AF20" s="549">
        <f>IF('Final Calculation Sheet'!$Q$34="","",'Final Calculation Sheet'!$Q$34)</f>
        <v/>
      </c>
      <c r="AG20" s="683">
        <f>IF('Final Calculation Sheet'!$Q$35="","",'Final Calculation Sheet'!$Q$35)</f>
        <v/>
      </c>
      <c r="AH20" s="549">
        <f>IF('Final Calculation Sheet'!$Q$36="","",'Final Calculation Sheet'!$Q$36)</f>
        <v/>
      </c>
      <c r="AI20" s="683">
        <f>IF('Final Calculation Sheet'!$Q$37="","",'Final Calculation Sheet'!$Q$37)</f>
        <v/>
      </c>
      <c r="AJ20" s="549">
        <f>IF('Final Calculation Sheet'!$Q$38="","",'Final Calculation Sheet'!$Q$38)</f>
        <v/>
      </c>
      <c r="AK20" s="683">
        <f>IF('Final Calculation Sheet'!$Q$39="","",'Final Calculation Sheet'!$Q$39)</f>
        <v/>
      </c>
      <c r="AL20" s="549">
        <f>IF('Final Calculation Sheet'!$Q$40="","",'Final Calculation Sheet'!$Q$40)</f>
        <v/>
      </c>
      <c r="AM20" s="684">
        <f>IF('Final Calculation Sheet'!$Q$41="","",'Final Calculation Sheet'!$Q$41)</f>
        <v/>
      </c>
    </row>
    <row r="21" ht="15" customHeight="1">
      <c r="A21" s="678" t="inlineStr">
        <is>
          <t>GST TDS</t>
        </is>
      </c>
      <c r="B21" s="544">
        <f>IF('Final Calculation Sheet'!$R$4="","",'Final Calculation Sheet'!$R$4)</f>
        <v/>
      </c>
      <c r="C21" s="679">
        <f>IF('Final Calculation Sheet'!$R$5="","",'Final Calculation Sheet'!$R$5)</f>
        <v/>
      </c>
      <c r="D21" s="544">
        <f>IF('Final Calculation Sheet'!$R$6="","",'Final Calculation Sheet'!$R$6)</f>
        <v/>
      </c>
      <c r="E21" s="679">
        <f>IF('Final Calculation Sheet'!$R$7="","",'Final Calculation Sheet'!$R$7)</f>
        <v/>
      </c>
      <c r="F21" s="544">
        <f>IF('Final Calculation Sheet'!$R$8="","",'Final Calculation Sheet'!$R$8)</f>
        <v/>
      </c>
      <c r="G21" s="679">
        <f>IF('Final Calculation Sheet'!$R$9="","",'Final Calculation Sheet'!$R$9)</f>
        <v/>
      </c>
      <c r="H21" s="544">
        <f>IF('Final Calculation Sheet'!$R$10="","",'Final Calculation Sheet'!$R$10)</f>
        <v/>
      </c>
      <c r="I21" s="679">
        <f>IF('Final Calculation Sheet'!$R$11="","",'Final Calculation Sheet'!$R$11)</f>
        <v/>
      </c>
      <c r="J21" s="544">
        <f>IF('Final Calculation Sheet'!$R$12="","",'Final Calculation Sheet'!$R$12)</f>
        <v/>
      </c>
      <c r="K21" s="679">
        <f>IF('Final Calculation Sheet'!$R$13="","",'Final Calculation Sheet'!$R$13)</f>
        <v/>
      </c>
      <c r="L21" s="544">
        <f>IF('Final Calculation Sheet'!$R$14="","",'Final Calculation Sheet'!$R$14)</f>
        <v/>
      </c>
      <c r="M21" s="679">
        <f>IF('Final Calculation Sheet'!$R$15="","",'Final Calculation Sheet'!$R$15)</f>
        <v/>
      </c>
      <c r="N21" s="544">
        <f>IF('Final Calculation Sheet'!$R$16="","",'Final Calculation Sheet'!$R$16)</f>
        <v/>
      </c>
      <c r="O21" s="679">
        <f>IF('Final Calculation Sheet'!$R$17="","",'Final Calculation Sheet'!$R$17)</f>
        <v/>
      </c>
      <c r="P21" s="544">
        <f>IF('Final Calculation Sheet'!$R$18="","",'Final Calculation Sheet'!$R$18)</f>
        <v/>
      </c>
      <c r="Q21" s="679">
        <f>IF('Final Calculation Sheet'!$R$19="","",'Final Calculation Sheet'!$R$19)</f>
        <v/>
      </c>
      <c r="R21" s="544">
        <f>IF('Final Calculation Sheet'!$R$20="","",'Final Calculation Sheet'!$R$20)</f>
        <v/>
      </c>
      <c r="S21" s="679">
        <f>IF('Final Calculation Sheet'!$R$21="","",'Final Calculation Sheet'!$R$21)</f>
        <v/>
      </c>
      <c r="T21" s="544">
        <f>IF('Final Calculation Sheet'!$R$22="","",'Final Calculation Sheet'!$R$22)</f>
        <v/>
      </c>
      <c r="U21" s="679">
        <f>IF('Final Calculation Sheet'!$R$23="","",'Final Calculation Sheet'!$R$23)</f>
        <v/>
      </c>
      <c r="V21" s="544">
        <f>IF('Final Calculation Sheet'!$R$24="","",'Final Calculation Sheet'!$R$24)</f>
        <v/>
      </c>
      <c r="W21" s="679">
        <f>IF('Final Calculation Sheet'!$R$25="","",'Final Calculation Sheet'!$R$25)</f>
        <v/>
      </c>
      <c r="X21" s="544">
        <f>IF('Final Calculation Sheet'!$R$26="","",'Final Calculation Sheet'!$R$26)</f>
        <v/>
      </c>
      <c r="Y21" s="679">
        <f>IF('Final Calculation Sheet'!$R$27="","",'Final Calculation Sheet'!$R$27)</f>
        <v/>
      </c>
      <c r="Z21" s="544">
        <f>IF('Final Calculation Sheet'!$R$28="","",'Final Calculation Sheet'!$R$28)</f>
        <v/>
      </c>
      <c r="AA21" s="679">
        <f>IF('Final Calculation Sheet'!$R$29="","",'Final Calculation Sheet'!$R$29)</f>
        <v/>
      </c>
      <c r="AB21" s="544">
        <f>IF('Final Calculation Sheet'!$R$30="","",'Final Calculation Sheet'!$R$30)</f>
        <v/>
      </c>
      <c r="AC21" s="679">
        <f>IF('Final Calculation Sheet'!$R$31="","",'Final Calculation Sheet'!$R$31)</f>
        <v/>
      </c>
      <c r="AD21" s="544">
        <f>IF('Final Calculation Sheet'!$R$32="","",'Final Calculation Sheet'!$R$32)</f>
        <v/>
      </c>
      <c r="AE21" s="679">
        <f>IF('Final Calculation Sheet'!$R$33="","",'Final Calculation Sheet'!$R$33)</f>
        <v/>
      </c>
      <c r="AF21" s="544">
        <f>IF('Final Calculation Sheet'!$R$34="","",'Final Calculation Sheet'!$R$34)</f>
        <v/>
      </c>
      <c r="AG21" s="679">
        <f>IF('Final Calculation Sheet'!$R$35="","",'Final Calculation Sheet'!$R$35)</f>
        <v/>
      </c>
      <c r="AH21" s="544">
        <f>IF('Final Calculation Sheet'!$R$36="","",'Final Calculation Sheet'!$R$36)</f>
        <v/>
      </c>
      <c r="AI21" s="679">
        <f>IF('Final Calculation Sheet'!$R$37="","",'Final Calculation Sheet'!$R$37)</f>
        <v/>
      </c>
      <c r="AJ21" s="544">
        <f>IF('Final Calculation Sheet'!$R$38="","",'Final Calculation Sheet'!$R$38)</f>
        <v/>
      </c>
      <c r="AK21" s="679">
        <f>IF('Final Calculation Sheet'!$R$39="","",'Final Calculation Sheet'!$R$39)</f>
        <v/>
      </c>
      <c r="AL21" s="544">
        <f>IF('Final Calculation Sheet'!$R$40="","",'Final Calculation Sheet'!$R$40)</f>
        <v/>
      </c>
      <c r="AM21" s="680">
        <f>IF('Final Calculation Sheet'!$R$41="","",'Final Calculation Sheet'!$R$41)</f>
        <v/>
      </c>
    </row>
    <row r="22" ht="15" customHeight="1">
      <c r="A22" s="675" t="inlineStr">
        <is>
          <t>Total Receivables in Cash</t>
        </is>
      </c>
      <c r="B22" s="544">
        <f>IF('Final Calculation Sheet'!$S$4="","",'Final Calculation Sheet'!$S$4)</f>
        <v/>
      </c>
      <c r="C22" s="679">
        <f>IF('Final Calculation Sheet'!$S$5="","",'Final Calculation Sheet'!$S$5)</f>
        <v/>
      </c>
      <c r="D22" s="544">
        <f>IF('Final Calculation Sheet'!$S$6="","",'Final Calculation Sheet'!$S$6)</f>
        <v/>
      </c>
      <c r="E22" s="679">
        <f>IF('Final Calculation Sheet'!$S$7="","",'Final Calculation Sheet'!$S$7)</f>
        <v/>
      </c>
      <c r="F22" s="544">
        <f>IF('Final Calculation Sheet'!$S$8="","",'Final Calculation Sheet'!$S$8)</f>
        <v/>
      </c>
      <c r="G22" s="679">
        <f>IF('Final Calculation Sheet'!$S$9="","",'Final Calculation Sheet'!$S$9)</f>
        <v/>
      </c>
      <c r="H22" s="544">
        <f>IF('Final Calculation Sheet'!$S$10="","",'Final Calculation Sheet'!$S$10)</f>
        <v/>
      </c>
      <c r="I22" s="679">
        <f>IF('Final Calculation Sheet'!$S$11="","",'Final Calculation Sheet'!$S$11)</f>
        <v/>
      </c>
      <c r="J22" s="544">
        <f>IF('Final Calculation Sheet'!$S$12="","",'Final Calculation Sheet'!$S$12)</f>
        <v/>
      </c>
      <c r="K22" s="679">
        <f>IF('Final Calculation Sheet'!$S$13="","",'Final Calculation Sheet'!$S$13)</f>
        <v/>
      </c>
      <c r="L22" s="544">
        <f>IF('Final Calculation Sheet'!$S$14="","",'Final Calculation Sheet'!$S$14)</f>
        <v/>
      </c>
      <c r="M22" s="679">
        <f>IF('Final Calculation Sheet'!$S$15="","",'Final Calculation Sheet'!$S$15)</f>
        <v/>
      </c>
      <c r="N22" s="544">
        <f>IF('Final Calculation Sheet'!$S$16="","",'Final Calculation Sheet'!$S$16)</f>
        <v/>
      </c>
      <c r="O22" s="679">
        <f>IF('Final Calculation Sheet'!$S$17="","",'Final Calculation Sheet'!$S$17)</f>
        <v/>
      </c>
      <c r="P22" s="544">
        <f>IF('Final Calculation Sheet'!$S$18="","",'Final Calculation Sheet'!$S$18)</f>
        <v/>
      </c>
      <c r="Q22" s="679">
        <f>IF('Final Calculation Sheet'!$S$19="","",'Final Calculation Sheet'!$S$19)</f>
        <v/>
      </c>
      <c r="R22" s="544">
        <f>IF('Final Calculation Sheet'!$S$20="","",'Final Calculation Sheet'!$S$20)</f>
        <v/>
      </c>
      <c r="S22" s="679">
        <f>IF('Final Calculation Sheet'!$S$21="","",'Final Calculation Sheet'!$S$21)</f>
        <v/>
      </c>
      <c r="T22" s="544">
        <f>IF('Final Calculation Sheet'!$S$22="","",'Final Calculation Sheet'!$S$22)</f>
        <v/>
      </c>
      <c r="U22" s="679">
        <f>IF('Final Calculation Sheet'!$S$23="","",'Final Calculation Sheet'!$S$23)</f>
        <v/>
      </c>
      <c r="V22" s="544">
        <f>IF('Final Calculation Sheet'!$S$24="","",'Final Calculation Sheet'!$S$24)</f>
        <v/>
      </c>
      <c r="W22" s="679">
        <f>IF('Final Calculation Sheet'!$S$25="","",'Final Calculation Sheet'!$S$25)</f>
        <v/>
      </c>
      <c r="X22" s="544">
        <f>IF('Final Calculation Sheet'!$S$26="","",'Final Calculation Sheet'!$S$26)</f>
        <v/>
      </c>
      <c r="Y22" s="679">
        <f>IF('Final Calculation Sheet'!$S$27="","",'Final Calculation Sheet'!$S$27)</f>
        <v/>
      </c>
      <c r="Z22" s="544">
        <f>IF('Final Calculation Sheet'!$S$28="","",'Final Calculation Sheet'!$S$28)</f>
        <v/>
      </c>
      <c r="AA22" s="679">
        <f>IF('Final Calculation Sheet'!$S$29="","",'Final Calculation Sheet'!$S$29)</f>
        <v/>
      </c>
      <c r="AB22" s="544">
        <f>IF('Final Calculation Sheet'!$S$30="","",'Final Calculation Sheet'!$S$30)</f>
        <v/>
      </c>
      <c r="AC22" s="679">
        <f>IF('Final Calculation Sheet'!$S$31="","",'Final Calculation Sheet'!$S$31)</f>
        <v/>
      </c>
      <c r="AD22" s="544">
        <f>IF('Final Calculation Sheet'!$S$32="","",'Final Calculation Sheet'!$S$32)</f>
        <v/>
      </c>
      <c r="AE22" s="679">
        <f>IF('Final Calculation Sheet'!$S$33="","",'Final Calculation Sheet'!$S$33)</f>
        <v/>
      </c>
      <c r="AF22" s="544">
        <f>IF('Final Calculation Sheet'!$S$34="","",'Final Calculation Sheet'!$S$34)</f>
        <v/>
      </c>
      <c r="AG22" s="679">
        <f>IF('Final Calculation Sheet'!$S$35="","",'Final Calculation Sheet'!$S$35)</f>
        <v/>
      </c>
      <c r="AH22" s="544">
        <f>IF('Final Calculation Sheet'!$S$36="","",'Final Calculation Sheet'!$S$36)</f>
        <v/>
      </c>
      <c r="AI22" s="679">
        <f>IF('Final Calculation Sheet'!$S$37="","",'Final Calculation Sheet'!$S$37)</f>
        <v/>
      </c>
      <c r="AJ22" s="544">
        <f>IF('Final Calculation Sheet'!$S$38="","",'Final Calculation Sheet'!$S$38)</f>
        <v/>
      </c>
      <c r="AK22" s="679">
        <f>IF('Final Calculation Sheet'!$S$39="","",'Final Calculation Sheet'!$S$39)</f>
        <v/>
      </c>
      <c r="AL22" s="544">
        <f>IF('Final Calculation Sheet'!$S$40="","",'Final Calculation Sheet'!$S$40)</f>
        <v/>
      </c>
      <c r="AM22" s="680">
        <f>IF('Final Calculation Sheet'!$S$41="","",'Final Calculation Sheet'!$S$41)</f>
        <v/>
      </c>
    </row>
    <row r="23" ht="15" customHeight="1">
      <c r="A23" s="678" t="inlineStr">
        <is>
          <t>Security Deposit (Expected)</t>
        </is>
      </c>
      <c r="B23" s="544">
        <f>IF('Final Calculation Sheet'!$T$4="","",'Final Calculation Sheet'!$T$4)</f>
        <v/>
      </c>
      <c r="C23" s="679">
        <f>IF('Final Calculation Sheet'!$T$5="","",'Final Calculation Sheet'!$T$5)</f>
        <v/>
      </c>
      <c r="D23" s="544">
        <f>IF('Final Calculation Sheet'!$T$6="","",'Final Calculation Sheet'!$T$6)</f>
        <v/>
      </c>
      <c r="E23" s="679">
        <f>IF('Final Calculation Sheet'!$T$7="","",'Final Calculation Sheet'!$T$7)</f>
        <v/>
      </c>
      <c r="F23" s="544">
        <f>IF('Final Calculation Sheet'!$T$8="","",'Final Calculation Sheet'!$T$8)</f>
        <v/>
      </c>
      <c r="G23" s="679">
        <f>IF('Final Calculation Sheet'!$T$9="","",'Final Calculation Sheet'!$T$9)</f>
        <v/>
      </c>
      <c r="H23" s="544">
        <f>IF('Final Calculation Sheet'!$T$10="","",'Final Calculation Sheet'!$T$10)</f>
        <v/>
      </c>
      <c r="I23" s="679">
        <f>IF('Final Calculation Sheet'!$T$11="","",'Final Calculation Sheet'!$T$11)</f>
        <v/>
      </c>
      <c r="J23" s="544">
        <f>IF('Final Calculation Sheet'!$T$12="","",'Final Calculation Sheet'!$T$12)</f>
        <v/>
      </c>
      <c r="K23" s="679">
        <f>IF('Final Calculation Sheet'!$T$13="","",'Final Calculation Sheet'!$T$13)</f>
        <v/>
      </c>
      <c r="L23" s="544">
        <f>IF('Final Calculation Sheet'!$T$14="","",'Final Calculation Sheet'!$T$14)</f>
        <v/>
      </c>
      <c r="M23" s="679">
        <f>IF('Final Calculation Sheet'!$T$15="","",'Final Calculation Sheet'!$T$15)</f>
        <v/>
      </c>
      <c r="N23" s="544">
        <f>IF('Final Calculation Sheet'!$T$16="","",'Final Calculation Sheet'!$T$16)</f>
        <v/>
      </c>
      <c r="O23" s="679">
        <f>IF('Final Calculation Sheet'!$T$17="","",'Final Calculation Sheet'!$T$17)</f>
        <v/>
      </c>
      <c r="P23" s="544">
        <f>IF('Final Calculation Sheet'!$T$18="","",'Final Calculation Sheet'!$T$18)</f>
        <v/>
      </c>
      <c r="Q23" s="679">
        <f>IF('Final Calculation Sheet'!$T$19="","",'Final Calculation Sheet'!$T$19)</f>
        <v/>
      </c>
      <c r="R23" s="544">
        <f>IF('Final Calculation Sheet'!$T$20="","",'Final Calculation Sheet'!$T$20)</f>
        <v/>
      </c>
      <c r="S23" s="679">
        <f>IF('Final Calculation Sheet'!$T$21="","",'Final Calculation Sheet'!$T$21)</f>
        <v/>
      </c>
      <c r="T23" s="544">
        <f>IF('Final Calculation Sheet'!$T$22="","",'Final Calculation Sheet'!$T$22)</f>
        <v/>
      </c>
      <c r="U23" s="679">
        <f>IF('Final Calculation Sheet'!$T$23="","",'Final Calculation Sheet'!$T$23)</f>
        <v/>
      </c>
      <c r="V23" s="544">
        <f>IF('Final Calculation Sheet'!$T$24="","",'Final Calculation Sheet'!$T$24)</f>
        <v/>
      </c>
      <c r="W23" s="679">
        <f>IF('Final Calculation Sheet'!$T$25="","",'Final Calculation Sheet'!$T$25)</f>
        <v/>
      </c>
      <c r="X23" s="544">
        <f>IF('Final Calculation Sheet'!$T$26="","",'Final Calculation Sheet'!$T$26)</f>
        <v/>
      </c>
      <c r="Y23" s="679">
        <f>IF('Final Calculation Sheet'!$T$27="","",'Final Calculation Sheet'!$T$27)</f>
        <v/>
      </c>
      <c r="Z23" s="544">
        <f>IF('Final Calculation Sheet'!$T$28="","",'Final Calculation Sheet'!$T$28)</f>
        <v/>
      </c>
      <c r="AA23" s="679">
        <f>IF('Final Calculation Sheet'!$T$29="","",'Final Calculation Sheet'!$T$29)</f>
        <v/>
      </c>
      <c r="AB23" s="544">
        <f>IF('Final Calculation Sheet'!$T$30="","",'Final Calculation Sheet'!$T$30)</f>
        <v/>
      </c>
      <c r="AC23" s="679">
        <f>IF('Final Calculation Sheet'!$T$31="","",'Final Calculation Sheet'!$T$31)</f>
        <v/>
      </c>
      <c r="AD23" s="544">
        <f>IF('Final Calculation Sheet'!$T$32="","",'Final Calculation Sheet'!$T$32)</f>
        <v/>
      </c>
      <c r="AE23" s="679">
        <f>IF('Final Calculation Sheet'!$T$33="","",'Final Calculation Sheet'!$T$33)</f>
        <v/>
      </c>
      <c r="AF23" s="544">
        <f>IF('Final Calculation Sheet'!$T$34="","",'Final Calculation Sheet'!$T$34)</f>
        <v/>
      </c>
      <c r="AG23" s="679">
        <f>IF('Final Calculation Sheet'!$T$35="","",'Final Calculation Sheet'!$T$35)</f>
        <v/>
      </c>
      <c r="AH23" s="544">
        <f>IF('Final Calculation Sheet'!$T$36="","",'Final Calculation Sheet'!$T$36)</f>
        <v/>
      </c>
      <c r="AI23" s="679">
        <f>IF('Final Calculation Sheet'!$T$37="","",'Final Calculation Sheet'!$T$37)</f>
        <v/>
      </c>
      <c r="AJ23" s="544">
        <f>IF('Final Calculation Sheet'!$T$38="","",'Final Calculation Sheet'!$T$38)</f>
        <v/>
      </c>
      <c r="AK23" s="679">
        <f>IF('Final Calculation Sheet'!$T$39="","",'Final Calculation Sheet'!$T$39)</f>
        <v/>
      </c>
      <c r="AL23" s="544">
        <f>IF('Final Calculation Sheet'!$T$40="","",'Final Calculation Sheet'!$T$40)</f>
        <v/>
      </c>
      <c r="AM23" s="680">
        <f>IF('Final Calculation Sheet'!$T$41="","",'Final Calculation Sheet'!$T$41)</f>
        <v/>
      </c>
    </row>
    <row r="24" ht="15" customHeight="1">
      <c r="A24" s="675" t="inlineStr">
        <is>
          <t>Security Deposit (Received)</t>
        </is>
      </c>
      <c r="B24" s="552">
        <f>IF('Final Calculation Sheet'!$U$4="","",'Final Calculation Sheet'!$U$4)</f>
        <v/>
      </c>
      <c r="C24" s="685">
        <f>IF('Final Calculation Sheet'!$U$5="","",'Final Calculation Sheet'!$U$5)</f>
        <v/>
      </c>
      <c r="D24" s="552">
        <f>IF('Final Calculation Sheet'!$U$6="","",'Final Calculation Sheet'!$U$6)</f>
        <v/>
      </c>
      <c r="E24" s="685">
        <f>IF('Final Calculation Sheet'!$U$7="","",'Final Calculation Sheet'!$U$7)</f>
        <v/>
      </c>
      <c r="F24" s="552">
        <f>IF('Final Calculation Sheet'!$U$8="","",'Final Calculation Sheet'!$U$8)</f>
        <v/>
      </c>
      <c r="G24" s="685">
        <f>IF('Final Calculation Sheet'!$U$9="","",'Final Calculation Sheet'!$U$9)</f>
        <v/>
      </c>
      <c r="H24" s="552">
        <f>IF('Final Calculation Sheet'!$U$10="","",'Final Calculation Sheet'!$U$10)</f>
        <v/>
      </c>
      <c r="I24" s="685">
        <f>IF('Final Calculation Sheet'!$U$11="","",'Final Calculation Sheet'!$U$11)</f>
        <v/>
      </c>
      <c r="J24" s="552">
        <f>IF('Final Calculation Sheet'!$U$12="","",'Final Calculation Sheet'!$U$12)</f>
        <v/>
      </c>
      <c r="K24" s="685">
        <f>IF('Final Calculation Sheet'!$U$13="","",'Final Calculation Sheet'!$U$13)</f>
        <v/>
      </c>
      <c r="L24" s="552">
        <f>IF('Final Calculation Sheet'!$U$14="","",'Final Calculation Sheet'!$U$14)</f>
        <v/>
      </c>
      <c r="M24" s="685">
        <f>IF('Final Calculation Sheet'!$U$15="","",'Final Calculation Sheet'!$U$15)</f>
        <v/>
      </c>
      <c r="N24" s="552">
        <f>IF('Final Calculation Sheet'!$U$16="","",'Final Calculation Sheet'!$U$16)</f>
        <v/>
      </c>
      <c r="O24" s="685">
        <f>IF('Final Calculation Sheet'!$U$17="","",'Final Calculation Sheet'!$U$17)</f>
        <v/>
      </c>
      <c r="P24" s="552">
        <f>IF('Final Calculation Sheet'!$U$18="","",'Final Calculation Sheet'!$U$18)</f>
        <v/>
      </c>
      <c r="Q24" s="685">
        <f>IF('Final Calculation Sheet'!$U$19="","",'Final Calculation Sheet'!$U$19)</f>
        <v/>
      </c>
      <c r="R24" s="552">
        <f>IF('Final Calculation Sheet'!$U$20="","",'Final Calculation Sheet'!$U$20)</f>
        <v/>
      </c>
      <c r="S24" s="685">
        <f>IF('Final Calculation Sheet'!$U$21="","",'Final Calculation Sheet'!$U$21)</f>
        <v/>
      </c>
      <c r="T24" s="552">
        <f>IF('Final Calculation Sheet'!$U$22="","",'Final Calculation Sheet'!$U$22)</f>
        <v/>
      </c>
      <c r="U24" s="685">
        <f>IF('Final Calculation Sheet'!$U$23="","",'Final Calculation Sheet'!$U$23)</f>
        <v/>
      </c>
      <c r="V24" s="552">
        <f>IF('Final Calculation Sheet'!$U$24="","",'Final Calculation Sheet'!$U$24)</f>
        <v/>
      </c>
      <c r="W24" s="685">
        <f>IF('Final Calculation Sheet'!$U$25="","",'Final Calculation Sheet'!$U$25)</f>
        <v/>
      </c>
      <c r="X24" s="552">
        <f>IF('Final Calculation Sheet'!$U$26="","",'Final Calculation Sheet'!$U$26)</f>
        <v/>
      </c>
      <c r="Y24" s="685">
        <f>IF('Final Calculation Sheet'!$U$27="","",'Final Calculation Sheet'!$U$27)</f>
        <v/>
      </c>
      <c r="Z24" s="552">
        <f>IF('Final Calculation Sheet'!$U$28="","",'Final Calculation Sheet'!$U$28)</f>
        <v/>
      </c>
      <c r="AA24" s="685">
        <f>IF('Final Calculation Sheet'!$U$29="","",'Final Calculation Sheet'!$U$29)</f>
        <v/>
      </c>
      <c r="AB24" s="552">
        <f>IF('Final Calculation Sheet'!$U$30="","",'Final Calculation Sheet'!$U$30)</f>
        <v/>
      </c>
      <c r="AC24" s="685">
        <f>IF('Final Calculation Sheet'!$U$31="","",'Final Calculation Sheet'!$U$31)</f>
        <v/>
      </c>
      <c r="AD24" s="552">
        <f>IF('Final Calculation Sheet'!$U$32="","",'Final Calculation Sheet'!$U$32)</f>
        <v/>
      </c>
      <c r="AE24" s="685">
        <f>IF('Final Calculation Sheet'!$U$33="","",'Final Calculation Sheet'!$U$33)</f>
        <v/>
      </c>
      <c r="AF24" s="552">
        <f>IF('Final Calculation Sheet'!$U$34="","",'Final Calculation Sheet'!$U$34)</f>
        <v/>
      </c>
      <c r="AG24" s="685">
        <f>IF('Final Calculation Sheet'!$U$35="","",'Final Calculation Sheet'!$U$35)</f>
        <v/>
      </c>
      <c r="AH24" s="552">
        <f>IF('Final Calculation Sheet'!$U$36="","",'Final Calculation Sheet'!$U$36)</f>
        <v/>
      </c>
      <c r="AI24" s="685">
        <f>IF('Final Calculation Sheet'!$U$37="","",'Final Calculation Sheet'!$U$37)</f>
        <v/>
      </c>
      <c r="AJ24" s="552">
        <f>IF('Final Calculation Sheet'!$U$38="","",'Final Calculation Sheet'!$U$38)</f>
        <v/>
      </c>
      <c r="AK24" s="685">
        <f>IF('Final Calculation Sheet'!$U$39="","",'Final Calculation Sheet'!$U$39)</f>
        <v/>
      </c>
      <c r="AL24" s="552">
        <f>IF('Final Calculation Sheet'!$U$40="","",'Final Calculation Sheet'!$U$40)</f>
        <v/>
      </c>
      <c r="AM24" s="686">
        <f>IF('Final Calculation Sheet'!$U$41="","",'Final Calculation Sheet'!$U$41)</f>
        <v/>
      </c>
    </row>
    <row r="25" ht="15" customHeight="1">
      <c r="A25" s="678" t="inlineStr">
        <is>
          <t>Date of Receipt (col V)</t>
        </is>
      </c>
      <c r="B25" s="544">
        <f>IF('Final Calculation Sheet'!$V$4="","",'Final Calculation Sheet'!$V$4)</f>
        <v/>
      </c>
      <c r="C25" s="679">
        <f>IF('Final Calculation Sheet'!$V$5="","",'Final Calculation Sheet'!$V$5)</f>
        <v/>
      </c>
      <c r="D25" s="544">
        <f>IF('Final Calculation Sheet'!$V$6="","",'Final Calculation Sheet'!$V$6)</f>
        <v/>
      </c>
      <c r="E25" s="679">
        <f>IF('Final Calculation Sheet'!$V$7="","",'Final Calculation Sheet'!$V$7)</f>
        <v/>
      </c>
      <c r="F25" s="544">
        <f>IF('Final Calculation Sheet'!$V$8="","",'Final Calculation Sheet'!$V$8)</f>
        <v/>
      </c>
      <c r="G25" s="679">
        <f>IF('Final Calculation Sheet'!$V$9="","",'Final Calculation Sheet'!$V$9)</f>
        <v/>
      </c>
      <c r="H25" s="544">
        <f>IF('Final Calculation Sheet'!$V$10="","",'Final Calculation Sheet'!$V$10)</f>
        <v/>
      </c>
      <c r="I25" s="679">
        <f>IF('Final Calculation Sheet'!$V$11="","",'Final Calculation Sheet'!$V$11)</f>
        <v/>
      </c>
      <c r="J25" s="544">
        <f>IF('Final Calculation Sheet'!$V$12="","",'Final Calculation Sheet'!$V$12)</f>
        <v/>
      </c>
      <c r="K25" s="679">
        <f>IF('Final Calculation Sheet'!$V$13="","",'Final Calculation Sheet'!$V$13)</f>
        <v/>
      </c>
      <c r="L25" s="544">
        <f>IF('Final Calculation Sheet'!$V$14="","",'Final Calculation Sheet'!$V$14)</f>
        <v/>
      </c>
      <c r="M25" s="679">
        <f>IF('Final Calculation Sheet'!$V$15="","",'Final Calculation Sheet'!$V$15)</f>
        <v/>
      </c>
      <c r="N25" s="544">
        <f>IF('Final Calculation Sheet'!$V$16="","",'Final Calculation Sheet'!$V$16)</f>
        <v/>
      </c>
      <c r="O25" s="679">
        <f>IF('Final Calculation Sheet'!$V$17="","",'Final Calculation Sheet'!$V$17)</f>
        <v/>
      </c>
      <c r="P25" s="544">
        <f>IF('Final Calculation Sheet'!$V$18="","",'Final Calculation Sheet'!$V$18)</f>
        <v/>
      </c>
      <c r="Q25" s="679">
        <f>IF('Final Calculation Sheet'!$V$19="","",'Final Calculation Sheet'!$V$19)</f>
        <v/>
      </c>
      <c r="R25" s="544">
        <f>IF('Final Calculation Sheet'!$V$20="","",'Final Calculation Sheet'!$V$20)</f>
        <v/>
      </c>
      <c r="S25" s="679">
        <f>IF('Final Calculation Sheet'!$V$21="","",'Final Calculation Sheet'!$V$21)</f>
        <v/>
      </c>
      <c r="T25" s="544">
        <f>IF('Final Calculation Sheet'!$V$22="","",'Final Calculation Sheet'!$V$22)</f>
        <v/>
      </c>
      <c r="U25" s="679">
        <f>IF('Final Calculation Sheet'!$V$23="","",'Final Calculation Sheet'!$V$23)</f>
        <v/>
      </c>
      <c r="V25" s="544">
        <f>IF('Final Calculation Sheet'!$V$24="","",'Final Calculation Sheet'!$V$24)</f>
        <v/>
      </c>
      <c r="W25" s="679">
        <f>IF('Final Calculation Sheet'!$V$25="","",'Final Calculation Sheet'!$V$25)</f>
        <v/>
      </c>
      <c r="X25" s="544">
        <f>IF('Final Calculation Sheet'!$V$26="","",'Final Calculation Sheet'!$V$26)</f>
        <v/>
      </c>
      <c r="Y25" s="679">
        <f>IF('Final Calculation Sheet'!$V$27="","",'Final Calculation Sheet'!$V$27)</f>
        <v/>
      </c>
      <c r="Z25" s="544">
        <f>IF('Final Calculation Sheet'!$V$28="","",'Final Calculation Sheet'!$V$28)</f>
        <v/>
      </c>
      <c r="AA25" s="679">
        <f>IF('Final Calculation Sheet'!$V$29="","",'Final Calculation Sheet'!$V$29)</f>
        <v/>
      </c>
      <c r="AB25" s="544">
        <f>IF('Final Calculation Sheet'!$V$30="","",'Final Calculation Sheet'!$V$30)</f>
        <v/>
      </c>
      <c r="AC25" s="679">
        <f>IF('Final Calculation Sheet'!$V$31="","",'Final Calculation Sheet'!$V$31)</f>
        <v/>
      </c>
      <c r="AD25" s="544">
        <f>IF('Final Calculation Sheet'!$V$32="","",'Final Calculation Sheet'!$V$32)</f>
        <v/>
      </c>
      <c r="AE25" s="679">
        <f>IF('Final Calculation Sheet'!$V$33="","",'Final Calculation Sheet'!$V$33)</f>
        <v/>
      </c>
      <c r="AF25" s="544">
        <f>IF('Final Calculation Sheet'!$V$34="","",'Final Calculation Sheet'!$V$34)</f>
        <v/>
      </c>
      <c r="AG25" s="679">
        <f>IF('Final Calculation Sheet'!$V$35="","",'Final Calculation Sheet'!$V$35)</f>
        <v/>
      </c>
      <c r="AH25" s="544">
        <f>IF('Final Calculation Sheet'!$V$36="","",'Final Calculation Sheet'!$V$36)</f>
        <v/>
      </c>
      <c r="AI25" s="679">
        <f>IF('Final Calculation Sheet'!$V$37="","",'Final Calculation Sheet'!$V$37)</f>
        <v/>
      </c>
      <c r="AJ25" s="544">
        <f>IF('Final Calculation Sheet'!$V$38="","",'Final Calculation Sheet'!$V$38)</f>
        <v/>
      </c>
      <c r="AK25" s="679">
        <f>IF('Final Calculation Sheet'!$V$39="","",'Final Calculation Sheet'!$V$39)</f>
        <v/>
      </c>
      <c r="AL25" s="544">
        <f>IF('Final Calculation Sheet'!$V$40="","",'Final Calculation Sheet'!$V$40)</f>
        <v/>
      </c>
      <c r="AM25" s="680">
        <f>IF('Final Calculation Sheet'!$V$41="","",'Final Calculation Sheet'!$V$41)</f>
        <v/>
      </c>
    </row>
    <row r="26" ht="15" customHeight="1">
      <c r="A26" s="675" t="inlineStr">
        <is>
          <t>Final Payment (Expected)</t>
        </is>
      </c>
      <c r="B26" s="544">
        <f>IF('Final Calculation Sheet'!$W$4="","",'Final Calculation Sheet'!$W$4)</f>
        <v/>
      </c>
      <c r="C26" s="679">
        <f>IF('Final Calculation Sheet'!$W$5="","",'Final Calculation Sheet'!$W$5)</f>
        <v/>
      </c>
      <c r="D26" s="544">
        <f>IF('Final Calculation Sheet'!$W$6="","",'Final Calculation Sheet'!$W$6)</f>
        <v/>
      </c>
      <c r="E26" s="679">
        <f>IF('Final Calculation Sheet'!$W$7="","",'Final Calculation Sheet'!$W$7)</f>
        <v/>
      </c>
      <c r="F26" s="544">
        <f>IF('Final Calculation Sheet'!$W$8="","",'Final Calculation Sheet'!$W$8)</f>
        <v/>
      </c>
      <c r="G26" s="679">
        <f>IF('Final Calculation Sheet'!$W$9="","",'Final Calculation Sheet'!$W$9)</f>
        <v/>
      </c>
      <c r="H26" s="544">
        <f>IF('Final Calculation Sheet'!$W$10="","",'Final Calculation Sheet'!$W$10)</f>
        <v/>
      </c>
      <c r="I26" s="679">
        <f>IF('Final Calculation Sheet'!$W$11="","",'Final Calculation Sheet'!$W$11)</f>
        <v/>
      </c>
      <c r="J26" s="544">
        <f>IF('Final Calculation Sheet'!$W$12="","",'Final Calculation Sheet'!$W$12)</f>
        <v/>
      </c>
      <c r="K26" s="679">
        <f>IF('Final Calculation Sheet'!$W$13="","",'Final Calculation Sheet'!$W$13)</f>
        <v/>
      </c>
      <c r="L26" s="544">
        <f>IF('Final Calculation Sheet'!$W$14="","",'Final Calculation Sheet'!$W$14)</f>
        <v/>
      </c>
      <c r="M26" s="679">
        <f>IF('Final Calculation Sheet'!$W$15="","",'Final Calculation Sheet'!$W$15)</f>
        <v/>
      </c>
      <c r="N26" s="544">
        <f>IF('Final Calculation Sheet'!$W$16="","",'Final Calculation Sheet'!$W$16)</f>
        <v/>
      </c>
      <c r="O26" s="679">
        <f>IF('Final Calculation Sheet'!$W$17="","",'Final Calculation Sheet'!$W$17)</f>
        <v/>
      </c>
      <c r="P26" s="544">
        <f>IF('Final Calculation Sheet'!$W$18="","",'Final Calculation Sheet'!$W$18)</f>
        <v/>
      </c>
      <c r="Q26" s="679">
        <f>IF('Final Calculation Sheet'!$W$19="","",'Final Calculation Sheet'!$W$19)</f>
        <v/>
      </c>
      <c r="R26" s="544">
        <f>IF('Final Calculation Sheet'!$W$20="","",'Final Calculation Sheet'!$W$20)</f>
        <v/>
      </c>
      <c r="S26" s="679">
        <f>IF('Final Calculation Sheet'!$W$21="","",'Final Calculation Sheet'!$W$21)</f>
        <v/>
      </c>
      <c r="T26" s="544">
        <f>IF('Final Calculation Sheet'!$W$22="","",'Final Calculation Sheet'!$W$22)</f>
        <v/>
      </c>
      <c r="U26" s="679">
        <f>IF('Final Calculation Sheet'!$W$23="","",'Final Calculation Sheet'!$W$23)</f>
        <v/>
      </c>
      <c r="V26" s="544">
        <f>IF('Final Calculation Sheet'!$W$24="","",'Final Calculation Sheet'!$W$24)</f>
        <v/>
      </c>
      <c r="W26" s="679">
        <f>IF('Final Calculation Sheet'!$W$25="","",'Final Calculation Sheet'!$W$25)</f>
        <v/>
      </c>
      <c r="X26" s="544">
        <f>IF('Final Calculation Sheet'!$W$26="","",'Final Calculation Sheet'!$W$26)</f>
        <v/>
      </c>
      <c r="Y26" s="679">
        <f>IF('Final Calculation Sheet'!$W$27="","",'Final Calculation Sheet'!$W$27)</f>
        <v/>
      </c>
      <c r="Z26" s="544">
        <f>IF('Final Calculation Sheet'!$W$28="","",'Final Calculation Sheet'!$W$28)</f>
        <v/>
      </c>
      <c r="AA26" s="679">
        <f>IF('Final Calculation Sheet'!$W$29="","",'Final Calculation Sheet'!$W$29)</f>
        <v/>
      </c>
      <c r="AB26" s="544">
        <f>IF('Final Calculation Sheet'!$W$30="","",'Final Calculation Sheet'!$W$30)</f>
        <v/>
      </c>
      <c r="AC26" s="679">
        <f>IF('Final Calculation Sheet'!$W$31="","",'Final Calculation Sheet'!$W$31)</f>
        <v/>
      </c>
      <c r="AD26" s="544">
        <f>IF('Final Calculation Sheet'!$W$32="","",'Final Calculation Sheet'!$W$32)</f>
        <v/>
      </c>
      <c r="AE26" s="679">
        <f>IF('Final Calculation Sheet'!$W$33="","",'Final Calculation Sheet'!$W$33)</f>
        <v/>
      </c>
      <c r="AF26" s="544">
        <f>IF('Final Calculation Sheet'!$W$34="","",'Final Calculation Sheet'!$W$34)</f>
        <v/>
      </c>
      <c r="AG26" s="679">
        <f>IF('Final Calculation Sheet'!$W$35="","",'Final Calculation Sheet'!$W$35)</f>
        <v/>
      </c>
      <c r="AH26" s="544">
        <f>IF('Final Calculation Sheet'!$W$36="","",'Final Calculation Sheet'!$W$36)</f>
        <v/>
      </c>
      <c r="AI26" s="679">
        <f>IF('Final Calculation Sheet'!$W$37="","",'Final Calculation Sheet'!$W$37)</f>
        <v/>
      </c>
      <c r="AJ26" s="544">
        <f>IF('Final Calculation Sheet'!$W$38="","",'Final Calculation Sheet'!$W$38)</f>
        <v/>
      </c>
      <c r="AK26" s="679">
        <f>IF('Final Calculation Sheet'!$W$39="","",'Final Calculation Sheet'!$W$39)</f>
        <v/>
      </c>
      <c r="AL26" s="544">
        <f>IF('Final Calculation Sheet'!$W$40="","",'Final Calculation Sheet'!$W$40)</f>
        <v/>
      </c>
      <c r="AM26" s="680">
        <f>IF('Final Calculation Sheet'!$W$41="","",'Final Calculation Sheet'!$W$41)</f>
        <v/>
      </c>
    </row>
    <row r="27" ht="15" customHeight="1">
      <c r="A27" s="678" t="inlineStr">
        <is>
          <t>Final Payment (Received)</t>
        </is>
      </c>
      <c r="B27" s="544">
        <f>IF('Final Calculation Sheet'!$X$4="","",'Final Calculation Sheet'!$X$4)</f>
        <v/>
      </c>
      <c r="C27" s="679">
        <f>IF('Final Calculation Sheet'!$X$5="","",'Final Calculation Sheet'!$X$5)</f>
        <v/>
      </c>
      <c r="D27" s="544">
        <f>IF('Final Calculation Sheet'!$X$6="","",'Final Calculation Sheet'!$X$6)</f>
        <v/>
      </c>
      <c r="E27" s="679">
        <f>IF('Final Calculation Sheet'!$X$7="","",'Final Calculation Sheet'!$X$7)</f>
        <v/>
      </c>
      <c r="F27" s="544">
        <f>IF('Final Calculation Sheet'!$X$8="","",'Final Calculation Sheet'!$X$8)</f>
        <v/>
      </c>
      <c r="G27" s="679">
        <f>IF('Final Calculation Sheet'!$X$9="","",'Final Calculation Sheet'!$X$9)</f>
        <v/>
      </c>
      <c r="H27" s="544">
        <f>IF('Final Calculation Sheet'!$X$10="","",'Final Calculation Sheet'!$X$10)</f>
        <v/>
      </c>
      <c r="I27" s="679">
        <f>IF('Final Calculation Sheet'!$X$11="","",'Final Calculation Sheet'!$X$11)</f>
        <v/>
      </c>
      <c r="J27" s="544">
        <f>IF('Final Calculation Sheet'!$X$12="","",'Final Calculation Sheet'!$X$12)</f>
        <v/>
      </c>
      <c r="K27" s="679">
        <f>IF('Final Calculation Sheet'!$X$13="","",'Final Calculation Sheet'!$X$13)</f>
        <v/>
      </c>
      <c r="L27" s="544">
        <f>IF('Final Calculation Sheet'!$X$14="","",'Final Calculation Sheet'!$X$14)</f>
        <v/>
      </c>
      <c r="M27" s="679">
        <f>IF('Final Calculation Sheet'!$X$15="","",'Final Calculation Sheet'!$X$15)</f>
        <v/>
      </c>
      <c r="N27" s="544">
        <f>IF('Final Calculation Sheet'!$X$16="","",'Final Calculation Sheet'!$X$16)</f>
        <v/>
      </c>
      <c r="O27" s="679">
        <f>IF('Final Calculation Sheet'!$X$17="","",'Final Calculation Sheet'!$X$17)</f>
        <v/>
      </c>
      <c r="P27" s="544">
        <f>IF('Final Calculation Sheet'!$X$18="","",'Final Calculation Sheet'!$X$18)</f>
        <v/>
      </c>
      <c r="Q27" s="679">
        <f>IF('Final Calculation Sheet'!$X$19="","",'Final Calculation Sheet'!$X$19)</f>
        <v/>
      </c>
      <c r="R27" s="544">
        <f>IF('Final Calculation Sheet'!$X$20="","",'Final Calculation Sheet'!$X$20)</f>
        <v/>
      </c>
      <c r="S27" s="679">
        <f>IF('Final Calculation Sheet'!$X$21="","",'Final Calculation Sheet'!$X$21)</f>
        <v/>
      </c>
      <c r="T27" s="544">
        <f>IF('Final Calculation Sheet'!$X$22="","",'Final Calculation Sheet'!$X$22)</f>
        <v/>
      </c>
      <c r="U27" s="679">
        <f>IF('Final Calculation Sheet'!$X$23="","",'Final Calculation Sheet'!$X$23)</f>
        <v/>
      </c>
      <c r="V27" s="544">
        <f>IF('Final Calculation Sheet'!$X$24="","",'Final Calculation Sheet'!$X$24)</f>
        <v/>
      </c>
      <c r="W27" s="679">
        <f>IF('Final Calculation Sheet'!$X$25="","",'Final Calculation Sheet'!$X$25)</f>
        <v/>
      </c>
      <c r="X27" s="544">
        <f>IF('Final Calculation Sheet'!$X$26="","",'Final Calculation Sheet'!$X$26)</f>
        <v/>
      </c>
      <c r="Y27" s="679">
        <f>IF('Final Calculation Sheet'!$X$27="","",'Final Calculation Sheet'!$X$27)</f>
        <v/>
      </c>
      <c r="Z27" s="544">
        <f>IF('Final Calculation Sheet'!$X$28="","",'Final Calculation Sheet'!$X$28)</f>
        <v/>
      </c>
      <c r="AA27" s="679">
        <f>IF('Final Calculation Sheet'!$X$29="","",'Final Calculation Sheet'!$X$29)</f>
        <v/>
      </c>
      <c r="AB27" s="544">
        <f>IF('Final Calculation Sheet'!$X$30="","",'Final Calculation Sheet'!$X$30)</f>
        <v/>
      </c>
      <c r="AC27" s="679">
        <f>IF('Final Calculation Sheet'!$X$31="","",'Final Calculation Sheet'!$X$31)</f>
        <v/>
      </c>
      <c r="AD27" s="544">
        <f>IF('Final Calculation Sheet'!$X$32="","",'Final Calculation Sheet'!$X$32)</f>
        <v/>
      </c>
      <c r="AE27" s="679">
        <f>IF('Final Calculation Sheet'!$X$33="","",'Final Calculation Sheet'!$X$33)</f>
        <v/>
      </c>
      <c r="AF27" s="544">
        <f>IF('Final Calculation Sheet'!$X$34="","",'Final Calculation Sheet'!$X$34)</f>
        <v/>
      </c>
      <c r="AG27" s="679">
        <f>IF('Final Calculation Sheet'!$X$35="","",'Final Calculation Sheet'!$X$35)</f>
        <v/>
      </c>
      <c r="AH27" s="544">
        <f>IF('Final Calculation Sheet'!$X$36="","",'Final Calculation Sheet'!$X$36)</f>
        <v/>
      </c>
      <c r="AI27" s="679">
        <f>IF('Final Calculation Sheet'!$X$37="","",'Final Calculation Sheet'!$X$37)</f>
        <v/>
      </c>
      <c r="AJ27" s="544">
        <f>IF('Final Calculation Sheet'!$X$38="","",'Final Calculation Sheet'!$X$38)</f>
        <v/>
      </c>
      <c r="AK27" s="679">
        <f>IF('Final Calculation Sheet'!$X$39="","",'Final Calculation Sheet'!$X$39)</f>
        <v/>
      </c>
      <c r="AL27" s="544">
        <f>IF('Final Calculation Sheet'!$X$40="","",'Final Calculation Sheet'!$X$40)</f>
        <v/>
      </c>
      <c r="AM27" s="680">
        <f>IF('Final Calculation Sheet'!$X$41="","",'Final Calculation Sheet'!$X$41)</f>
        <v/>
      </c>
    </row>
    <row r="28" ht="15" customHeight="1">
      <c r="A28" s="675" t="inlineStr">
        <is>
          <t>Date of Receipt (col Y)</t>
        </is>
      </c>
      <c r="B28" s="544">
        <f>IF('Final Calculation Sheet'!$Y$4="","",'Final Calculation Sheet'!$Y$4)</f>
        <v/>
      </c>
      <c r="C28" s="679">
        <f>IF('Final Calculation Sheet'!$Y$5="","",'Final Calculation Sheet'!$Y$5)</f>
        <v/>
      </c>
      <c r="D28" s="544">
        <f>IF('Final Calculation Sheet'!$Y$6="","",'Final Calculation Sheet'!$Y$6)</f>
        <v/>
      </c>
      <c r="E28" s="679">
        <f>IF('Final Calculation Sheet'!$Y$7="","",'Final Calculation Sheet'!$Y$7)</f>
        <v/>
      </c>
      <c r="F28" s="544">
        <f>IF('Final Calculation Sheet'!$Y$8="","",'Final Calculation Sheet'!$Y$8)</f>
        <v/>
      </c>
      <c r="G28" s="679">
        <f>IF('Final Calculation Sheet'!$Y$9="","",'Final Calculation Sheet'!$Y$9)</f>
        <v/>
      </c>
      <c r="H28" s="544">
        <f>IF('Final Calculation Sheet'!$Y$10="","",'Final Calculation Sheet'!$Y$10)</f>
        <v/>
      </c>
      <c r="I28" s="679">
        <f>IF('Final Calculation Sheet'!$Y$11="","",'Final Calculation Sheet'!$Y$11)</f>
        <v/>
      </c>
      <c r="J28" s="544">
        <f>IF('Final Calculation Sheet'!$Y$12="","",'Final Calculation Sheet'!$Y$12)</f>
        <v/>
      </c>
      <c r="K28" s="679">
        <f>IF('Final Calculation Sheet'!$Y$13="","",'Final Calculation Sheet'!$Y$13)</f>
        <v/>
      </c>
      <c r="L28" s="544">
        <f>IF('Final Calculation Sheet'!$Y$14="","",'Final Calculation Sheet'!$Y$14)</f>
        <v/>
      </c>
      <c r="M28" s="679">
        <f>IF('Final Calculation Sheet'!$Y$15="","",'Final Calculation Sheet'!$Y$15)</f>
        <v/>
      </c>
      <c r="N28" s="544">
        <f>IF('Final Calculation Sheet'!$Y$16="","",'Final Calculation Sheet'!$Y$16)</f>
        <v/>
      </c>
      <c r="O28" s="679">
        <f>IF('Final Calculation Sheet'!$Y$17="","",'Final Calculation Sheet'!$Y$17)</f>
        <v/>
      </c>
      <c r="P28" s="544">
        <f>IF('Final Calculation Sheet'!$Y$18="","",'Final Calculation Sheet'!$Y$18)</f>
        <v/>
      </c>
      <c r="Q28" s="679">
        <f>IF('Final Calculation Sheet'!$Y$19="","",'Final Calculation Sheet'!$Y$19)</f>
        <v/>
      </c>
      <c r="R28" s="544">
        <f>IF('Final Calculation Sheet'!$Y$20="","",'Final Calculation Sheet'!$Y$20)</f>
        <v/>
      </c>
      <c r="S28" s="679">
        <f>IF('Final Calculation Sheet'!$Y$21="","",'Final Calculation Sheet'!$Y$21)</f>
        <v/>
      </c>
      <c r="T28" s="544">
        <f>IF('Final Calculation Sheet'!$Y$22="","",'Final Calculation Sheet'!$Y$22)</f>
        <v/>
      </c>
      <c r="U28" s="679">
        <f>IF('Final Calculation Sheet'!$Y$23="","",'Final Calculation Sheet'!$Y$23)</f>
        <v/>
      </c>
      <c r="V28" s="544">
        <f>IF('Final Calculation Sheet'!$Y$24="","",'Final Calculation Sheet'!$Y$24)</f>
        <v/>
      </c>
      <c r="W28" s="679">
        <f>IF('Final Calculation Sheet'!$Y$25="","",'Final Calculation Sheet'!$Y$25)</f>
        <v/>
      </c>
      <c r="X28" s="544">
        <f>IF('Final Calculation Sheet'!$Y$26="","",'Final Calculation Sheet'!$Y$26)</f>
        <v/>
      </c>
      <c r="Y28" s="679">
        <f>IF('Final Calculation Sheet'!$Y$27="","",'Final Calculation Sheet'!$Y$27)</f>
        <v/>
      </c>
      <c r="Z28" s="544">
        <f>IF('Final Calculation Sheet'!$Y$28="","",'Final Calculation Sheet'!$Y$28)</f>
        <v/>
      </c>
      <c r="AA28" s="679">
        <f>IF('Final Calculation Sheet'!$Y$29="","",'Final Calculation Sheet'!$Y$29)</f>
        <v/>
      </c>
      <c r="AB28" s="544">
        <f>IF('Final Calculation Sheet'!$Y$30="","",'Final Calculation Sheet'!$Y$30)</f>
        <v/>
      </c>
      <c r="AC28" s="679">
        <f>IF('Final Calculation Sheet'!$Y$31="","",'Final Calculation Sheet'!$Y$31)</f>
        <v/>
      </c>
      <c r="AD28" s="544">
        <f>IF('Final Calculation Sheet'!$Y$32="","",'Final Calculation Sheet'!$Y$32)</f>
        <v/>
      </c>
      <c r="AE28" s="679">
        <f>IF('Final Calculation Sheet'!$Y$33="","",'Final Calculation Sheet'!$Y$33)</f>
        <v/>
      </c>
      <c r="AF28" s="544">
        <f>IF('Final Calculation Sheet'!$Y$34="","",'Final Calculation Sheet'!$Y$34)</f>
        <v/>
      </c>
      <c r="AG28" s="679">
        <f>IF('Final Calculation Sheet'!$Y$35="","",'Final Calculation Sheet'!$Y$35)</f>
        <v/>
      </c>
      <c r="AH28" s="544">
        <f>IF('Final Calculation Sheet'!$Y$36="","",'Final Calculation Sheet'!$Y$36)</f>
        <v/>
      </c>
      <c r="AI28" s="679">
        <f>IF('Final Calculation Sheet'!$Y$37="","",'Final Calculation Sheet'!$Y$37)</f>
        <v/>
      </c>
      <c r="AJ28" s="544">
        <f>IF('Final Calculation Sheet'!$Y$38="","",'Final Calculation Sheet'!$Y$38)</f>
        <v/>
      </c>
      <c r="AK28" s="679">
        <f>IF('Final Calculation Sheet'!$Y$39="","",'Final Calculation Sheet'!$Y$39)</f>
        <v/>
      </c>
      <c r="AL28" s="544">
        <f>IF('Final Calculation Sheet'!$Y$40="","",'Final Calculation Sheet'!$Y$40)</f>
        <v/>
      </c>
      <c r="AM28" s="680">
        <f>IF('Final Calculation Sheet'!$Y$41="","",'Final Calculation Sheet'!$Y$41)</f>
        <v/>
      </c>
    </row>
    <row r="29" ht="15" customHeight="1">
      <c r="A29" s="678" t="inlineStr">
        <is>
          <t>LPP Expected</t>
        </is>
      </c>
      <c r="B29" s="544">
        <f>IF('Final Calculation Sheet'!$Z$4="","",'Final Calculation Sheet'!$Z$4)</f>
        <v/>
      </c>
      <c r="C29" s="679">
        <f>IF('Final Calculation Sheet'!$Z$5="","",'Final Calculation Sheet'!$Z$5)</f>
        <v/>
      </c>
      <c r="D29" s="544">
        <f>IF('Final Calculation Sheet'!$Z$6="","",'Final Calculation Sheet'!$Z$6)</f>
        <v/>
      </c>
      <c r="E29" s="679">
        <f>IF('Final Calculation Sheet'!$Z$7="","",'Final Calculation Sheet'!$Z$7)</f>
        <v/>
      </c>
      <c r="F29" s="544">
        <f>IF('Final Calculation Sheet'!$Z$8="","",'Final Calculation Sheet'!$Z$8)</f>
        <v/>
      </c>
      <c r="G29" s="679">
        <f>IF('Final Calculation Sheet'!$Z$9="","",'Final Calculation Sheet'!$Z$9)</f>
        <v/>
      </c>
      <c r="H29" s="544">
        <f>IF('Final Calculation Sheet'!$Z$10="","",'Final Calculation Sheet'!$Z$10)</f>
        <v/>
      </c>
      <c r="I29" s="679">
        <f>IF('Final Calculation Sheet'!$Z$11="","",'Final Calculation Sheet'!$Z$11)</f>
        <v/>
      </c>
      <c r="J29" s="544">
        <f>IF('Final Calculation Sheet'!$Z$12="","",'Final Calculation Sheet'!$Z$12)</f>
        <v/>
      </c>
      <c r="K29" s="679">
        <f>IF('Final Calculation Sheet'!$Z$13="","",'Final Calculation Sheet'!$Z$13)</f>
        <v/>
      </c>
      <c r="L29" s="544">
        <f>IF('Final Calculation Sheet'!$Z$14="","",'Final Calculation Sheet'!$Z$14)</f>
        <v/>
      </c>
      <c r="M29" s="679">
        <f>IF('Final Calculation Sheet'!$Z$15="","",'Final Calculation Sheet'!$Z$15)</f>
        <v/>
      </c>
      <c r="N29" s="544">
        <f>IF('Final Calculation Sheet'!$Z$16="","",'Final Calculation Sheet'!$Z$16)</f>
        <v/>
      </c>
      <c r="O29" s="679">
        <f>IF('Final Calculation Sheet'!$Z$17="","",'Final Calculation Sheet'!$Z$17)</f>
        <v/>
      </c>
      <c r="P29" s="544">
        <f>IF('Final Calculation Sheet'!$Z$18="","",'Final Calculation Sheet'!$Z$18)</f>
        <v/>
      </c>
      <c r="Q29" s="679">
        <f>IF('Final Calculation Sheet'!$Z$19="","",'Final Calculation Sheet'!$Z$19)</f>
        <v/>
      </c>
      <c r="R29" s="544">
        <f>IF('Final Calculation Sheet'!$Z$20="","",'Final Calculation Sheet'!$Z$20)</f>
        <v/>
      </c>
      <c r="S29" s="679">
        <f>IF('Final Calculation Sheet'!$Z$21="","",'Final Calculation Sheet'!$Z$21)</f>
        <v/>
      </c>
      <c r="T29" s="544">
        <f>IF('Final Calculation Sheet'!$Z$22="","",'Final Calculation Sheet'!$Z$22)</f>
        <v/>
      </c>
      <c r="U29" s="679">
        <f>IF('Final Calculation Sheet'!$Z$23="","",'Final Calculation Sheet'!$Z$23)</f>
        <v/>
      </c>
      <c r="V29" s="544">
        <f>IF('Final Calculation Sheet'!$Z$24="","",'Final Calculation Sheet'!$Z$24)</f>
        <v/>
      </c>
      <c r="W29" s="679">
        <f>IF('Final Calculation Sheet'!$Z$25="","",'Final Calculation Sheet'!$Z$25)</f>
        <v/>
      </c>
      <c r="X29" s="544">
        <f>IF('Final Calculation Sheet'!$Z$26="","",'Final Calculation Sheet'!$Z$26)</f>
        <v/>
      </c>
      <c r="Y29" s="679">
        <f>IF('Final Calculation Sheet'!$Z$27="","",'Final Calculation Sheet'!$Z$27)</f>
        <v/>
      </c>
      <c r="Z29" s="544">
        <f>IF('Final Calculation Sheet'!$Z$28="","",'Final Calculation Sheet'!$Z$28)</f>
        <v/>
      </c>
      <c r="AA29" s="679">
        <f>IF('Final Calculation Sheet'!$Z$29="","",'Final Calculation Sheet'!$Z$29)</f>
        <v/>
      </c>
      <c r="AB29" s="544">
        <f>IF('Final Calculation Sheet'!$Z$30="","",'Final Calculation Sheet'!$Z$30)</f>
        <v/>
      </c>
      <c r="AC29" s="679">
        <f>IF('Final Calculation Sheet'!$Z$31="","",'Final Calculation Sheet'!$Z$31)</f>
        <v/>
      </c>
      <c r="AD29" s="544">
        <f>IF('Final Calculation Sheet'!$Z$32="","",'Final Calculation Sheet'!$Z$32)</f>
        <v/>
      </c>
      <c r="AE29" s="679">
        <f>IF('Final Calculation Sheet'!$Z$33="","",'Final Calculation Sheet'!$Z$33)</f>
        <v/>
      </c>
      <c r="AF29" s="544">
        <f>IF('Final Calculation Sheet'!$Z$34="","",'Final Calculation Sheet'!$Z$34)</f>
        <v/>
      </c>
      <c r="AG29" s="679">
        <f>IF('Final Calculation Sheet'!$Z$35="","",'Final Calculation Sheet'!$Z$35)</f>
        <v/>
      </c>
      <c r="AH29" s="544">
        <f>IF('Final Calculation Sheet'!$Z$36="","",'Final Calculation Sheet'!$Z$36)</f>
        <v/>
      </c>
      <c r="AI29" s="679">
        <f>IF('Final Calculation Sheet'!$Z$37="","",'Final Calculation Sheet'!$Z$37)</f>
        <v/>
      </c>
      <c r="AJ29" s="544">
        <f>IF('Final Calculation Sheet'!$Z$38="","",'Final Calculation Sheet'!$Z$38)</f>
        <v/>
      </c>
      <c r="AK29" s="679">
        <f>IF('Final Calculation Sheet'!$Z$39="","",'Final Calculation Sheet'!$Z$39)</f>
        <v/>
      </c>
      <c r="AL29" s="544">
        <f>IF('Final Calculation Sheet'!$Z$40="","",'Final Calculation Sheet'!$Z$40)</f>
        <v/>
      </c>
      <c r="AM29" s="680">
        <f>IF('Final Calculation Sheet'!$Z$41="","",'Final Calculation Sheet'!$Z$41)</f>
        <v/>
      </c>
    </row>
    <row r="30" ht="15" customHeight="1">
      <c r="A30" s="675" t="inlineStr">
        <is>
          <t>LPP Received</t>
        </is>
      </c>
      <c r="B30" s="544">
        <f>IF('Final Calculation Sheet'!$AA$4="","",'Final Calculation Sheet'!$AA$4)</f>
        <v/>
      </c>
      <c r="C30" s="679">
        <f>IF('Final Calculation Sheet'!$AA$5="","",'Final Calculation Sheet'!$AA$5)</f>
        <v/>
      </c>
      <c r="D30" s="544">
        <f>IF('Final Calculation Sheet'!$AA$6="","",'Final Calculation Sheet'!$AA$6)</f>
        <v/>
      </c>
      <c r="E30" s="679">
        <f>IF('Final Calculation Sheet'!$AA$7="","",'Final Calculation Sheet'!$AA$7)</f>
        <v/>
      </c>
      <c r="F30" s="544">
        <f>IF('Final Calculation Sheet'!$AA$8="","",'Final Calculation Sheet'!$AA$8)</f>
        <v/>
      </c>
      <c r="G30" s="679">
        <f>IF('Final Calculation Sheet'!$AA$9="","",'Final Calculation Sheet'!$AA$9)</f>
        <v/>
      </c>
      <c r="H30" s="544">
        <f>IF('Final Calculation Sheet'!$AA$10="","",'Final Calculation Sheet'!$AA$10)</f>
        <v/>
      </c>
      <c r="I30" s="679">
        <f>IF('Final Calculation Sheet'!$AA$11="","",'Final Calculation Sheet'!$AA$11)</f>
        <v/>
      </c>
      <c r="J30" s="544">
        <f>IF('Final Calculation Sheet'!$AA$12="","",'Final Calculation Sheet'!$AA$12)</f>
        <v/>
      </c>
      <c r="K30" s="679">
        <f>IF('Final Calculation Sheet'!$AA$13="","",'Final Calculation Sheet'!$AA$13)</f>
        <v/>
      </c>
      <c r="L30" s="544">
        <f>IF('Final Calculation Sheet'!$AA$14="","",'Final Calculation Sheet'!$AA$14)</f>
        <v/>
      </c>
      <c r="M30" s="679">
        <f>IF('Final Calculation Sheet'!$AA$15="","",'Final Calculation Sheet'!$AA$15)</f>
        <v/>
      </c>
      <c r="N30" s="544">
        <f>IF('Final Calculation Sheet'!$AA$16="","",'Final Calculation Sheet'!$AA$16)</f>
        <v/>
      </c>
      <c r="O30" s="679">
        <f>IF('Final Calculation Sheet'!$AA$17="","",'Final Calculation Sheet'!$AA$17)</f>
        <v/>
      </c>
      <c r="P30" s="544">
        <f>IF('Final Calculation Sheet'!$AA$18="","",'Final Calculation Sheet'!$AA$18)</f>
        <v/>
      </c>
      <c r="Q30" s="679">
        <f>IF('Final Calculation Sheet'!$AA$19="","",'Final Calculation Sheet'!$AA$19)</f>
        <v/>
      </c>
      <c r="R30" s="544">
        <f>IF('Final Calculation Sheet'!$AA$20="","",'Final Calculation Sheet'!$AA$20)</f>
        <v/>
      </c>
      <c r="S30" s="679">
        <f>IF('Final Calculation Sheet'!$AA$21="","",'Final Calculation Sheet'!$AA$21)</f>
        <v/>
      </c>
      <c r="T30" s="544">
        <f>IF('Final Calculation Sheet'!$AA$22="","",'Final Calculation Sheet'!$AA$22)</f>
        <v/>
      </c>
      <c r="U30" s="679">
        <f>IF('Final Calculation Sheet'!$AA$23="","",'Final Calculation Sheet'!$AA$23)</f>
        <v/>
      </c>
      <c r="V30" s="544">
        <f>IF('Final Calculation Sheet'!$AA$24="","",'Final Calculation Sheet'!$AA$24)</f>
        <v/>
      </c>
      <c r="W30" s="679">
        <f>IF('Final Calculation Sheet'!$AA$25="","",'Final Calculation Sheet'!$AA$25)</f>
        <v/>
      </c>
      <c r="X30" s="544">
        <f>IF('Final Calculation Sheet'!$AA$26="","",'Final Calculation Sheet'!$AA$26)</f>
        <v/>
      </c>
      <c r="Y30" s="679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679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679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679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679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679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679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680">
        <f>IF('Final Calculation Sheet'!$AA$41="","",'Final Calculation Sheet'!$AA$41)</f>
        <v/>
      </c>
    </row>
    <row r="31" ht="15" customHeight="1">
      <c r="A31" s="678" t="inlineStr">
        <is>
          <t>Date of Recepit of LPP</t>
        </is>
      </c>
      <c r="B31" s="544">
        <f>IF('Final Calculation Sheet'!$AB$4="","",'Final Calculation Sheet'!$AB$4)</f>
        <v/>
      </c>
      <c r="C31" s="679">
        <f>IF('Final Calculation Sheet'!$AB$5="","",'Final Calculation Sheet'!$AB$5)</f>
        <v/>
      </c>
      <c r="D31" s="544">
        <f>IF('Final Calculation Sheet'!$AB$6="","",'Final Calculation Sheet'!$AB$6)</f>
        <v/>
      </c>
      <c r="E31" s="679">
        <f>IF('Final Calculation Sheet'!$AB$7="","",'Final Calculation Sheet'!$AB$7)</f>
        <v/>
      </c>
      <c r="F31" s="544">
        <f>IF('Final Calculation Sheet'!$AB$8="","",'Final Calculation Sheet'!$AB$8)</f>
        <v/>
      </c>
      <c r="G31" s="679">
        <f>IF('Final Calculation Sheet'!$AB$9="","",'Final Calculation Sheet'!$AB$9)</f>
        <v/>
      </c>
      <c r="H31" s="544">
        <f>IF('Final Calculation Sheet'!$AB$10="","",'Final Calculation Sheet'!$AB$10)</f>
        <v/>
      </c>
      <c r="I31" s="679">
        <f>IF('Final Calculation Sheet'!$AB$11="","",'Final Calculation Sheet'!$AB$11)</f>
        <v/>
      </c>
      <c r="J31" s="544">
        <f>IF('Final Calculation Sheet'!$AB$12="","",'Final Calculation Sheet'!$AB$12)</f>
        <v/>
      </c>
      <c r="K31" s="679">
        <f>IF('Final Calculation Sheet'!$AB$13="","",'Final Calculation Sheet'!$AB$13)</f>
        <v/>
      </c>
      <c r="L31" s="544">
        <f>IF('Final Calculation Sheet'!$AB$14="","",'Final Calculation Sheet'!$AB$14)</f>
        <v/>
      </c>
      <c r="M31" s="679">
        <f>IF('Final Calculation Sheet'!$AB$15="","",'Final Calculation Sheet'!$AB$15)</f>
        <v/>
      </c>
      <c r="N31" s="544">
        <f>IF('Final Calculation Sheet'!$AB$16="","",'Final Calculation Sheet'!$AB$16)</f>
        <v/>
      </c>
      <c r="O31" s="679">
        <f>IF('Final Calculation Sheet'!$AB$17="","",'Final Calculation Sheet'!$AB$17)</f>
        <v/>
      </c>
      <c r="P31" s="544">
        <f>IF('Final Calculation Sheet'!$AB$18="","",'Final Calculation Sheet'!$AB$18)</f>
        <v/>
      </c>
      <c r="Q31" s="679">
        <f>IF('Final Calculation Sheet'!$AB$19="","",'Final Calculation Sheet'!$AB$19)</f>
        <v/>
      </c>
      <c r="R31" s="544">
        <f>IF('Final Calculation Sheet'!$AB$20="","",'Final Calculation Sheet'!$AB$20)</f>
        <v/>
      </c>
      <c r="S31" s="679">
        <f>IF('Final Calculation Sheet'!$AB$21="","",'Final Calculation Sheet'!$AB$21)</f>
        <v/>
      </c>
      <c r="T31" s="544">
        <f>IF('Final Calculation Sheet'!$AB$22="","",'Final Calculation Sheet'!$AB$22)</f>
        <v/>
      </c>
      <c r="U31" s="679">
        <f>IF('Final Calculation Sheet'!$AB$23="","",'Final Calculation Sheet'!$AB$23)</f>
        <v/>
      </c>
      <c r="V31" s="544">
        <f>IF('Final Calculation Sheet'!$AB$24="","",'Final Calculation Sheet'!$AB$24)</f>
        <v/>
      </c>
      <c r="W31" s="679">
        <f>IF('Final Calculation Sheet'!$AB$25="","",'Final Calculation Sheet'!$AB$25)</f>
        <v/>
      </c>
      <c r="X31" s="544">
        <f>IF('Final Calculation Sheet'!$AB$26="","",'Final Calculation Sheet'!$AB$26)</f>
        <v/>
      </c>
      <c r="Y31" s="679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679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679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679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679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679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679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680">
        <f>IF('Final Calculation Sheet'!$AB$41="","",'Final Calculation Sheet'!$AB$41)</f>
        <v/>
      </c>
    </row>
    <row r="32" ht="15" customHeight="1">
      <c r="A32" s="675" t="inlineStr">
        <is>
          <t>Total Received</t>
        </is>
      </c>
      <c r="B32" s="544">
        <f>IF('Final Calculation Sheet'!$AC$4="","",'Final Calculation Sheet'!$AC$4)</f>
        <v/>
      </c>
      <c r="C32" s="679">
        <f>IF('Final Calculation Sheet'!$AC$5="","",'Final Calculation Sheet'!$AC$5)</f>
        <v/>
      </c>
      <c r="D32" s="544">
        <f>IF('Final Calculation Sheet'!$AC$6="","",'Final Calculation Sheet'!$AC$6)</f>
        <v/>
      </c>
      <c r="E32" s="679">
        <f>IF('Final Calculation Sheet'!$AC$7="","",'Final Calculation Sheet'!$AC$7)</f>
        <v/>
      </c>
      <c r="F32" s="544">
        <f>IF('Final Calculation Sheet'!$AC$8="","",'Final Calculation Sheet'!$AC$8)</f>
        <v/>
      </c>
      <c r="G32" s="679">
        <f>IF('Final Calculation Sheet'!$AC$9="","",'Final Calculation Sheet'!$AC$9)</f>
        <v/>
      </c>
      <c r="H32" s="544">
        <f>IF('Final Calculation Sheet'!$AC$10="","",'Final Calculation Sheet'!$AC$10)</f>
        <v/>
      </c>
      <c r="I32" s="679">
        <f>IF('Final Calculation Sheet'!$AC$11="","",'Final Calculation Sheet'!$AC$11)</f>
        <v/>
      </c>
      <c r="J32" s="544">
        <f>IF('Final Calculation Sheet'!$AC$12="","",'Final Calculation Sheet'!$AC$12)</f>
        <v/>
      </c>
      <c r="K32" s="679">
        <f>IF('Final Calculation Sheet'!$AC$13="","",'Final Calculation Sheet'!$AC$13)</f>
        <v/>
      </c>
      <c r="L32" s="544">
        <f>IF('Final Calculation Sheet'!$AC$14="","",'Final Calculation Sheet'!$AC$14)</f>
        <v/>
      </c>
      <c r="M32" s="679">
        <f>IF('Final Calculation Sheet'!$AC$15="","",'Final Calculation Sheet'!$AC$15)</f>
        <v/>
      </c>
      <c r="N32" s="544">
        <f>IF('Final Calculation Sheet'!$AC$16="","",'Final Calculation Sheet'!$AC$16)</f>
        <v/>
      </c>
      <c r="O32" s="679">
        <f>IF('Final Calculation Sheet'!$AC$17="","",'Final Calculation Sheet'!$AC$17)</f>
        <v/>
      </c>
      <c r="P32" s="544">
        <f>IF('Final Calculation Sheet'!$AC$18="","",'Final Calculation Sheet'!$AC$18)</f>
        <v/>
      </c>
      <c r="Q32" s="679">
        <f>IF('Final Calculation Sheet'!$AC$19="","",'Final Calculation Sheet'!$AC$19)</f>
        <v/>
      </c>
      <c r="R32" s="544">
        <f>IF('Final Calculation Sheet'!$AC$20="","",'Final Calculation Sheet'!$AC$20)</f>
        <v/>
      </c>
      <c r="S32" s="679">
        <f>IF('Final Calculation Sheet'!$AC$21="","",'Final Calculation Sheet'!$AC$21)</f>
        <v/>
      </c>
      <c r="T32" s="544">
        <f>IF('Final Calculation Sheet'!$AC$22="","",'Final Calculation Sheet'!$AC$22)</f>
        <v/>
      </c>
      <c r="U32" s="679">
        <f>IF('Final Calculation Sheet'!$AC$23="","",'Final Calculation Sheet'!$AC$23)</f>
        <v/>
      </c>
      <c r="V32" s="544">
        <f>IF('Final Calculation Sheet'!$AC$24="","",'Final Calculation Sheet'!$AC$24)</f>
        <v/>
      </c>
      <c r="W32" s="679">
        <f>IF('Final Calculation Sheet'!$AC$25="","",'Final Calculation Sheet'!$AC$25)</f>
        <v/>
      </c>
      <c r="X32" s="544">
        <f>IF('Final Calculation Sheet'!$AC$26="","",'Final Calculation Sheet'!$AC$26)</f>
        <v/>
      </c>
      <c r="Y32" s="679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679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679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679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679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679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679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680">
        <f>IF('Final Calculation Sheet'!$AC$41="","",'Final Calculation Sheet'!$AC$41)</f>
        <v/>
      </c>
    </row>
    <row r="33" ht="15" customHeight="1">
      <c r="A33" s="678" t="inlineStr">
        <is>
          <t>Outstanding</t>
        </is>
      </c>
      <c r="B33" s="544">
        <f>IF('Final Calculation Sheet'!$AD$4="","",'Final Calculation Sheet'!$AD$4)</f>
        <v/>
      </c>
      <c r="C33" s="679">
        <f>IF('Final Calculation Sheet'!$AD$5="","",'Final Calculation Sheet'!$AD$5)</f>
        <v/>
      </c>
      <c r="D33" s="544">
        <f>IF('Final Calculation Sheet'!$AD$6="","",'Final Calculation Sheet'!$AD$6)</f>
        <v/>
      </c>
      <c r="E33" s="679">
        <f>IF('Final Calculation Sheet'!$AD$7="","",'Final Calculation Sheet'!$AD$7)</f>
        <v/>
      </c>
      <c r="F33" s="544">
        <f>IF('Final Calculation Sheet'!$AD$8="","",'Final Calculation Sheet'!$AD$8)</f>
        <v/>
      </c>
      <c r="G33" s="679">
        <f>IF('Final Calculation Sheet'!$AD$9="","",'Final Calculation Sheet'!$AD$9)</f>
        <v/>
      </c>
      <c r="H33" s="544">
        <f>IF('Final Calculation Sheet'!$AD$10="","",'Final Calculation Sheet'!$AD$10)</f>
        <v/>
      </c>
      <c r="I33" s="679">
        <f>IF('Final Calculation Sheet'!$AD$11="","",'Final Calculation Sheet'!$AD$11)</f>
        <v/>
      </c>
      <c r="J33" s="544">
        <f>IF('Final Calculation Sheet'!$AD$12="","",'Final Calculation Sheet'!$AD$12)</f>
        <v/>
      </c>
      <c r="K33" s="679">
        <f>IF('Final Calculation Sheet'!$AD$13="","",'Final Calculation Sheet'!$AD$13)</f>
        <v/>
      </c>
      <c r="L33" s="544">
        <f>IF('Final Calculation Sheet'!$AD$14="","",'Final Calculation Sheet'!$AD$14)</f>
        <v/>
      </c>
      <c r="M33" s="679">
        <f>IF('Final Calculation Sheet'!$AD$15="","",'Final Calculation Sheet'!$AD$15)</f>
        <v/>
      </c>
      <c r="N33" s="544">
        <f>IF('Final Calculation Sheet'!$AD$16="","",'Final Calculation Sheet'!$AD$16)</f>
        <v/>
      </c>
      <c r="O33" s="679">
        <f>IF('Final Calculation Sheet'!$AD$17="","",'Final Calculation Sheet'!$AD$17)</f>
        <v/>
      </c>
      <c r="P33" s="544">
        <f>IF('Final Calculation Sheet'!$AD$18="","",'Final Calculation Sheet'!$AD$18)</f>
        <v/>
      </c>
      <c r="Q33" s="679">
        <f>IF('Final Calculation Sheet'!$AD$19="","",'Final Calculation Sheet'!$AD$19)</f>
        <v/>
      </c>
      <c r="R33" s="544">
        <f>IF('Final Calculation Sheet'!$AD$20="","",'Final Calculation Sheet'!$AD$20)</f>
        <v/>
      </c>
      <c r="S33" s="679">
        <f>IF('Final Calculation Sheet'!$AD$21="","",'Final Calculation Sheet'!$AD$21)</f>
        <v/>
      </c>
      <c r="T33" s="544">
        <f>IF('Final Calculation Sheet'!$AD$22="","",'Final Calculation Sheet'!$AD$22)</f>
        <v/>
      </c>
      <c r="U33" s="679">
        <f>IF('Final Calculation Sheet'!$AD$23="","",'Final Calculation Sheet'!$AD$23)</f>
        <v/>
      </c>
      <c r="V33" s="544">
        <f>IF('Final Calculation Sheet'!$AD$24="","",'Final Calculation Sheet'!$AD$24)</f>
        <v/>
      </c>
      <c r="W33" s="679">
        <f>IF('Final Calculation Sheet'!$AD$25="","",'Final Calculation Sheet'!$AD$25)</f>
        <v/>
      </c>
      <c r="X33" s="544">
        <f>IF('Final Calculation Sheet'!$AD$26="","",'Final Calculation Sheet'!$AD$26)</f>
        <v/>
      </c>
      <c r="Y33" s="679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679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679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679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679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679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679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680">
        <f>IF('Final Calculation Sheet'!$AD$41="","",'Final Calculation Sheet'!$AD$41)</f>
        <v/>
      </c>
    </row>
    <row r="34" ht="15" customHeight="1">
      <c r="A34" s="675" t="inlineStr">
        <is>
          <t>Invoice No.</t>
        </is>
      </c>
      <c r="B34" s="544">
        <f>IF('Final Calculation Sheet'!$AE$4="","",'Final Calculation Sheet'!$AE$4)</f>
        <v/>
      </c>
      <c r="C34" s="679">
        <f>IF('Final Calculation Sheet'!$AE$5="","",'Final Calculation Sheet'!$AE$5)</f>
        <v/>
      </c>
      <c r="D34" s="544">
        <f>IF('Final Calculation Sheet'!$AE$6="","",'Final Calculation Sheet'!$AE$6)</f>
        <v/>
      </c>
      <c r="E34" s="679">
        <f>IF('Final Calculation Sheet'!$AE$7="","",'Final Calculation Sheet'!$AE$7)</f>
        <v/>
      </c>
      <c r="F34" s="544">
        <f>IF('Final Calculation Sheet'!$AE$8="","",'Final Calculation Sheet'!$AE$8)</f>
        <v/>
      </c>
      <c r="G34" s="679">
        <f>IF('Final Calculation Sheet'!$AE$9="","",'Final Calculation Sheet'!$AE$9)</f>
        <v/>
      </c>
      <c r="H34" s="544">
        <f>IF('Final Calculation Sheet'!$AE$10="","",'Final Calculation Sheet'!$AE$10)</f>
        <v/>
      </c>
      <c r="I34" s="679">
        <f>IF('Final Calculation Sheet'!$AE$11="","",'Final Calculation Sheet'!$AE$11)</f>
        <v/>
      </c>
      <c r="J34" s="544">
        <f>IF('Final Calculation Sheet'!$AE$12="","",'Final Calculation Sheet'!$AE$12)</f>
        <v/>
      </c>
      <c r="K34" s="679">
        <f>IF('Final Calculation Sheet'!$AE$13="","",'Final Calculation Sheet'!$AE$13)</f>
        <v/>
      </c>
      <c r="L34" s="544">
        <f>IF('Final Calculation Sheet'!$AE$14="","",'Final Calculation Sheet'!$AE$14)</f>
        <v/>
      </c>
      <c r="M34" s="679">
        <f>IF('Final Calculation Sheet'!$AE$15="","",'Final Calculation Sheet'!$AE$15)</f>
        <v/>
      </c>
      <c r="N34" s="544">
        <f>IF('Final Calculation Sheet'!$AE$16="","",'Final Calculation Sheet'!$AE$16)</f>
        <v/>
      </c>
      <c r="O34" s="679">
        <f>IF('Final Calculation Sheet'!$AE$17="","",'Final Calculation Sheet'!$AE$17)</f>
        <v/>
      </c>
      <c r="P34" s="544">
        <f>IF('Final Calculation Sheet'!$AE$18="","",'Final Calculation Sheet'!$AE$18)</f>
        <v/>
      </c>
      <c r="Q34" s="679">
        <f>IF('Final Calculation Sheet'!$AE$19="","",'Final Calculation Sheet'!$AE$19)</f>
        <v/>
      </c>
      <c r="R34" s="544">
        <f>IF('Final Calculation Sheet'!$AE$20="","",'Final Calculation Sheet'!$AE$20)</f>
        <v/>
      </c>
      <c r="S34" s="679">
        <f>IF('Final Calculation Sheet'!$AE$21="","",'Final Calculation Sheet'!$AE$21)</f>
        <v/>
      </c>
      <c r="T34" s="544">
        <f>IF('Final Calculation Sheet'!$AE$22="","",'Final Calculation Sheet'!$AE$22)</f>
        <v/>
      </c>
      <c r="U34" s="679">
        <f>IF('Final Calculation Sheet'!$AE$23="","",'Final Calculation Sheet'!$AE$23)</f>
        <v/>
      </c>
      <c r="V34" s="544">
        <f>IF('Final Calculation Sheet'!$AE$24="","",'Final Calculation Sheet'!$AE$24)</f>
        <v/>
      </c>
      <c r="W34" s="679">
        <f>IF('Final Calculation Sheet'!$AE$25="","",'Final Calculation Sheet'!$AE$25)</f>
        <v/>
      </c>
      <c r="X34" s="544">
        <f>IF('Final Calculation Sheet'!$AE$26="","",'Final Calculation Sheet'!$AE$26)</f>
        <v/>
      </c>
      <c r="Y34" s="679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679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679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679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679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679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679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680">
        <f>IF('Final Calculation Sheet'!$AE$41="","",'Final Calculation Sheet'!$AE$41)</f>
        <v/>
      </c>
    </row>
    <row r="35" ht="15" customHeight="1">
      <c r="A35" s="678" t="inlineStr">
        <is>
          <t>SAP Document</t>
        </is>
      </c>
      <c r="B35" s="555">
        <f>IF('Final Calculation Sheet'!$AF$4="","",'Final Calculation Sheet'!$AF$4)</f>
        <v/>
      </c>
      <c r="C35" s="687">
        <f>IF('Final Calculation Sheet'!$AF$5="","",'Final Calculation Sheet'!$AF$5)</f>
        <v/>
      </c>
      <c r="D35" s="555">
        <f>IF('Final Calculation Sheet'!$AF$6="","",'Final Calculation Sheet'!$AF$6)</f>
        <v/>
      </c>
      <c r="E35" s="687">
        <f>IF('Final Calculation Sheet'!$AF$7="","",'Final Calculation Sheet'!$AF$7)</f>
        <v/>
      </c>
      <c r="F35" s="555">
        <f>IF('Final Calculation Sheet'!$AF$8="","",'Final Calculation Sheet'!$AF$8)</f>
        <v/>
      </c>
      <c r="G35" s="687">
        <f>IF('Final Calculation Sheet'!$AF$9="","",'Final Calculation Sheet'!$AF$9)</f>
        <v/>
      </c>
      <c r="H35" s="555">
        <f>IF('Final Calculation Sheet'!$AF$10="","",'Final Calculation Sheet'!$AF$10)</f>
        <v/>
      </c>
      <c r="I35" s="687">
        <f>IF('Final Calculation Sheet'!$AF$11="","",'Final Calculation Sheet'!$AF$11)</f>
        <v/>
      </c>
      <c r="J35" s="555">
        <f>IF('Final Calculation Sheet'!$AF$12="","",'Final Calculation Sheet'!$AF$12)</f>
        <v/>
      </c>
      <c r="K35" s="687">
        <f>IF('Final Calculation Sheet'!$AF$13="","",'Final Calculation Sheet'!$AF$13)</f>
        <v/>
      </c>
      <c r="L35" s="555">
        <f>IF('Final Calculation Sheet'!$AF$14="","",'Final Calculation Sheet'!$AF$14)</f>
        <v/>
      </c>
      <c r="M35" s="687">
        <f>IF('Final Calculation Sheet'!$AF$15="","",'Final Calculation Sheet'!$AF$15)</f>
        <v/>
      </c>
      <c r="N35" s="555">
        <f>IF('Final Calculation Sheet'!$AF$16="","",'Final Calculation Sheet'!$AF$16)</f>
        <v/>
      </c>
      <c r="O35" s="687">
        <f>IF('Final Calculation Sheet'!$AF$17="","",'Final Calculation Sheet'!$AF$17)</f>
        <v/>
      </c>
      <c r="P35" s="555">
        <f>IF('Final Calculation Sheet'!$AF$18="","",'Final Calculation Sheet'!$AF$18)</f>
        <v/>
      </c>
      <c r="Q35" s="687">
        <f>IF('Final Calculation Sheet'!$AF$19="","",'Final Calculation Sheet'!$AF$19)</f>
        <v/>
      </c>
      <c r="R35" s="555">
        <f>IF('Final Calculation Sheet'!$AF$20="","",'Final Calculation Sheet'!$AF$20)</f>
        <v/>
      </c>
      <c r="S35" s="687">
        <f>IF('Final Calculation Sheet'!$AF$21="","",'Final Calculation Sheet'!$AF$21)</f>
        <v/>
      </c>
      <c r="T35" s="555">
        <f>IF('Final Calculation Sheet'!$AF$22="","",'Final Calculation Sheet'!$AF$22)</f>
        <v/>
      </c>
      <c r="U35" s="687">
        <f>IF('Final Calculation Sheet'!$AF$23="","",'Final Calculation Sheet'!$AF$23)</f>
        <v/>
      </c>
      <c r="V35" s="555">
        <f>IF('Final Calculation Sheet'!$AF$24="","",'Final Calculation Sheet'!$AF$24)</f>
        <v/>
      </c>
      <c r="W35" s="687">
        <f>IF('Final Calculation Sheet'!$AF$25="","",'Final Calculation Sheet'!$AF$25)</f>
        <v/>
      </c>
      <c r="X35" s="555">
        <f>IF('Final Calculation Sheet'!$AF$26="","",'Final Calculation Sheet'!$AF$26)</f>
        <v/>
      </c>
      <c r="Y35" s="687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687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687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687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687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687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687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688">
        <f>IF('Final Calculation Sheet'!$AF$41="","",'Final Calculation Sheet'!$AF$41)</f>
        <v/>
      </c>
    </row>
    <row r="36" ht="15" customHeight="1">
      <c r="A36" s="675" t="inlineStr">
        <is>
          <t>Doc./Invoice Date</t>
        </is>
      </c>
      <c r="B36" s="544">
        <f>IF('Final Calculation Sheet'!$AG$4="","",'Final Calculation Sheet'!$AG$4)</f>
        <v/>
      </c>
      <c r="C36" s="679">
        <f>IF('Final Calculation Sheet'!$AG$5="","",'Final Calculation Sheet'!$AG$5)</f>
        <v/>
      </c>
      <c r="D36" s="544">
        <f>IF('Final Calculation Sheet'!$AG$6="","",'Final Calculation Sheet'!$AG$6)</f>
        <v/>
      </c>
      <c r="E36" s="679">
        <f>IF('Final Calculation Sheet'!$AG$7="","",'Final Calculation Sheet'!$AG$7)</f>
        <v/>
      </c>
      <c r="F36" s="544">
        <f>IF('Final Calculation Sheet'!$AG$8="","",'Final Calculation Sheet'!$AG$8)</f>
        <v/>
      </c>
      <c r="G36" s="679">
        <f>IF('Final Calculation Sheet'!$AG$9="","",'Final Calculation Sheet'!$AG$9)</f>
        <v/>
      </c>
      <c r="H36" s="544">
        <f>IF('Final Calculation Sheet'!$AG$10="","",'Final Calculation Sheet'!$AG$10)</f>
        <v/>
      </c>
      <c r="I36" s="679">
        <f>IF('Final Calculation Sheet'!$AG$11="","",'Final Calculation Sheet'!$AG$11)</f>
        <v/>
      </c>
      <c r="J36" s="544">
        <f>IF('Final Calculation Sheet'!$AG$12="","",'Final Calculation Sheet'!$AG$12)</f>
        <v/>
      </c>
      <c r="K36" s="679">
        <f>IF('Final Calculation Sheet'!$AG$13="","",'Final Calculation Sheet'!$AG$13)</f>
        <v/>
      </c>
      <c r="L36" s="544">
        <f>IF('Final Calculation Sheet'!$AG$14="","",'Final Calculation Sheet'!$AG$14)</f>
        <v/>
      </c>
      <c r="M36" s="679">
        <f>IF('Final Calculation Sheet'!$AG$15="","",'Final Calculation Sheet'!$AG$15)</f>
        <v/>
      </c>
      <c r="N36" s="544">
        <f>IF('Final Calculation Sheet'!$AG$16="","",'Final Calculation Sheet'!$AG$16)</f>
        <v/>
      </c>
      <c r="O36" s="679">
        <f>IF('Final Calculation Sheet'!$AG$17="","",'Final Calculation Sheet'!$AG$17)</f>
        <v/>
      </c>
      <c r="P36" s="544">
        <f>IF('Final Calculation Sheet'!$AG$18="","",'Final Calculation Sheet'!$AG$18)</f>
        <v/>
      </c>
      <c r="Q36" s="679">
        <f>IF('Final Calculation Sheet'!$AG$19="","",'Final Calculation Sheet'!$AG$19)</f>
        <v/>
      </c>
      <c r="R36" s="544">
        <f>IF('Final Calculation Sheet'!$AG$20="","",'Final Calculation Sheet'!$AG$20)</f>
        <v/>
      </c>
      <c r="S36" s="679">
        <f>IF('Final Calculation Sheet'!$AG$21="","",'Final Calculation Sheet'!$AG$21)</f>
        <v/>
      </c>
      <c r="T36" s="544">
        <f>IF('Final Calculation Sheet'!$AG$22="","",'Final Calculation Sheet'!$AG$22)</f>
        <v/>
      </c>
      <c r="U36" s="679">
        <f>IF('Final Calculation Sheet'!$AG$23="","",'Final Calculation Sheet'!$AG$23)</f>
        <v/>
      </c>
      <c r="V36" s="544">
        <f>IF('Final Calculation Sheet'!$AG$24="","",'Final Calculation Sheet'!$AG$24)</f>
        <v/>
      </c>
      <c r="W36" s="679">
        <f>IF('Final Calculation Sheet'!$AG$25="","",'Final Calculation Sheet'!$AG$25)</f>
        <v/>
      </c>
      <c r="X36" s="544">
        <f>IF('Final Calculation Sheet'!$AG$26="","",'Final Calculation Sheet'!$AG$26)</f>
        <v/>
      </c>
      <c r="Y36" s="679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679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679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679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679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679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679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680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22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658" t="inlineStr">
        <is>
          <t>MSTC LIMITED  •  FINAL CALCULATION SHEET, TRANSPOSED   (field labels ↓ rows  |  values → columns)</t>
        </is>
      </c>
    </row>
    <row r="2" ht="32" customHeight="1">
      <c r="A2" s="659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669" t="inlineStr">
        <is>
          <t>FIELD (row 3 of the source)  ▸  |  LOT →</t>
        </is>
      </c>
      <c r="B3" s="670">
        <f>IF('Final Calculation Sheet'!$F$4="","",'Final Calculation Sheet'!$F$4)</f>
        <v/>
      </c>
      <c r="C3" s="671">
        <f>IF('Final Calculation Sheet'!$F$5="","",'Final Calculation Sheet'!$F$5)</f>
        <v/>
      </c>
      <c r="D3" s="671">
        <f>IF('Final Calculation Sheet'!$F$6="","",'Final Calculation Sheet'!$F$6)</f>
        <v/>
      </c>
      <c r="E3" s="671">
        <f>IF('Final Calculation Sheet'!$F$7="","",'Final Calculation Sheet'!$F$7)</f>
        <v/>
      </c>
      <c r="F3" s="670">
        <f>IF('Final Calculation Sheet'!$F$8="","",'Final Calculation Sheet'!$F$8)</f>
        <v/>
      </c>
      <c r="G3" s="671">
        <f>IF('Final Calculation Sheet'!$F$9="","",'Final Calculation Sheet'!$F$9)</f>
        <v/>
      </c>
      <c r="H3" s="671">
        <f>IF('Final Calculation Sheet'!$F$10="","",'Final Calculation Sheet'!$F$10)</f>
        <v/>
      </c>
      <c r="I3" s="671">
        <f>IF('Final Calculation Sheet'!$F$11="","",'Final Calculation Sheet'!$F$11)</f>
        <v/>
      </c>
      <c r="J3" s="671">
        <f>IF('Final Calculation Sheet'!$F$12="","",'Final Calculation Sheet'!$F$12)</f>
        <v/>
      </c>
      <c r="K3" s="671">
        <f>IF('Final Calculation Sheet'!$F$13="","",'Final Calculation Sheet'!$F$13)</f>
        <v/>
      </c>
      <c r="L3" s="671">
        <f>IF('Final Calculation Sheet'!$F$14="","",'Final Calculation Sheet'!$F$14)</f>
        <v/>
      </c>
      <c r="M3" s="671">
        <f>IF('Final Calculation Sheet'!$F$15="","",'Final Calculation Sheet'!$F$15)</f>
        <v/>
      </c>
      <c r="N3" s="671">
        <f>IF('Final Calculation Sheet'!$F$16="","",'Final Calculation Sheet'!$F$16)</f>
        <v/>
      </c>
      <c r="O3" s="672">
        <f>IF('Final Calculation Sheet'!$F$17="","",'Final Calculation Sheet'!$F$17)</f>
        <v/>
      </c>
      <c r="P3" s="672">
        <f>IF('Final Calculation Sheet'!$F$18="","",'Final Calculation Sheet'!$F$18)</f>
        <v/>
      </c>
      <c r="Q3" s="672">
        <f>IF('Final Calculation Sheet'!$F$19="","",'Final Calculation Sheet'!$F$19)</f>
        <v/>
      </c>
      <c r="R3" s="672">
        <f>IF('Final Calculation Sheet'!$F$20="","",'Final Calculation Sheet'!$F$20)</f>
        <v/>
      </c>
      <c r="S3" s="672">
        <f>IF('Final Calculation Sheet'!$F$21="","",'Final Calculation Sheet'!$F$21)</f>
        <v/>
      </c>
      <c r="T3" s="672">
        <f>IF('Final Calculation Sheet'!$F$22="","",'Final Calculation Sheet'!$F$22)</f>
        <v/>
      </c>
      <c r="U3" s="672">
        <f>IF('Final Calculation Sheet'!$F$23="","",'Final Calculation Sheet'!$F$23)</f>
        <v/>
      </c>
      <c r="V3" s="672">
        <f>IF('Final Calculation Sheet'!$F$24="","",'Final Calculation Sheet'!$F$24)</f>
        <v/>
      </c>
      <c r="W3" s="672">
        <f>IF('Final Calculation Sheet'!$F$25="","",'Final Calculation Sheet'!$F$25)</f>
        <v/>
      </c>
      <c r="X3" s="672">
        <f>IF('Final Calculation Sheet'!$F$26="","",'Final Calculation Sheet'!$F$26)</f>
        <v/>
      </c>
      <c r="Y3" s="672">
        <f>IF('Final Calculation Sheet'!$F$27="","",'Final Calculation Sheet'!$F$27)</f>
        <v/>
      </c>
      <c r="Z3" s="672">
        <f>IF('Final Calculation Sheet'!$F$28="","",'Final Calculation Sheet'!$F$28)</f>
        <v/>
      </c>
      <c r="AA3" s="672">
        <f>IF('Final Calculation Sheet'!$F$29="","",'Final Calculation Sheet'!$F$29)</f>
        <v/>
      </c>
      <c r="AB3" s="673">
        <f>IF('Final Calculation Sheet'!$F$30="","",'Final Calculation Sheet'!$F$30)</f>
        <v/>
      </c>
      <c r="AC3" s="673">
        <f>IF('Final Calculation Sheet'!$F$31="","",'Final Calculation Sheet'!$F$31)</f>
        <v/>
      </c>
      <c r="AD3" s="673">
        <f>IF('Final Calculation Sheet'!$F$32="","",'Final Calculation Sheet'!$F$32)</f>
        <v/>
      </c>
      <c r="AE3" s="673">
        <f>IF('Final Calculation Sheet'!$F$33="","",'Final Calculation Sheet'!$F$33)</f>
        <v/>
      </c>
      <c r="AF3" s="673">
        <f>IF('Final Calculation Sheet'!$F$34="","",'Final Calculation Sheet'!$F$34)</f>
        <v/>
      </c>
      <c r="AG3" s="670">
        <f>IF('Final Calculation Sheet'!$F$35="","",'Final Calculation Sheet'!$F$35)</f>
        <v/>
      </c>
      <c r="AH3" s="670">
        <f>IF('Final Calculation Sheet'!$F$36="","",'Final Calculation Sheet'!$F$36)</f>
        <v/>
      </c>
      <c r="AI3" s="670">
        <f>IF('Final Calculation Sheet'!$F$37="","",'Final Calculation Sheet'!$F$37)</f>
        <v/>
      </c>
      <c r="AJ3" s="670">
        <f>IF('Final Calculation Sheet'!$F$38="","",'Final Calculation Sheet'!$F$38)</f>
        <v/>
      </c>
      <c r="AK3" s="670">
        <f>IF('Final Calculation Sheet'!$F$39="","",'Final Calculation Sheet'!$F$39)</f>
        <v/>
      </c>
      <c r="AL3" s="670">
        <f>IF('Final Calculation Sheet'!$F$40="","",'Final Calculation Sheet'!$F$40)</f>
        <v/>
      </c>
      <c r="AM3" s="674" t="inlineStr">
        <is>
          <t>TOTAL (src row 41)</t>
        </is>
      </c>
    </row>
    <row r="4" ht="15" customHeight="1">
      <c r="A4" s="675" t="inlineStr">
        <is>
          <t>Quantity</t>
        </is>
      </c>
      <c r="B4" s="69">
        <f>IF('Final Calculation Sheet'!$A$4="","",'Final Calculation Sheet'!$A$4)</f>
        <v/>
      </c>
      <c r="C4" s="676">
        <f>IF('Final Calculation Sheet'!$A$5="","",'Final Calculation Sheet'!$A$5)</f>
        <v/>
      </c>
      <c r="D4" s="69">
        <f>IF('Final Calculation Sheet'!$A$6="","",'Final Calculation Sheet'!$A$6)</f>
        <v/>
      </c>
      <c r="E4" s="676">
        <f>IF('Final Calculation Sheet'!$A$7="","",'Final Calculation Sheet'!$A$7)</f>
        <v/>
      </c>
      <c r="F4" s="69">
        <f>IF('Final Calculation Sheet'!$A$8="","",'Final Calculation Sheet'!$A$8)</f>
        <v/>
      </c>
      <c r="G4" s="676">
        <f>IF('Final Calculation Sheet'!$A$9="","",'Final Calculation Sheet'!$A$9)</f>
        <v/>
      </c>
      <c r="H4" s="69">
        <f>IF('Final Calculation Sheet'!$A$10="","",'Final Calculation Sheet'!$A$10)</f>
        <v/>
      </c>
      <c r="I4" s="676">
        <f>IF('Final Calculation Sheet'!$A$11="","",'Final Calculation Sheet'!$A$11)</f>
        <v/>
      </c>
      <c r="J4" s="69">
        <f>IF('Final Calculation Sheet'!$A$12="","",'Final Calculation Sheet'!$A$12)</f>
        <v/>
      </c>
      <c r="K4" s="676">
        <f>IF('Final Calculation Sheet'!$A$13="","",'Final Calculation Sheet'!$A$13)</f>
        <v/>
      </c>
      <c r="L4" s="69">
        <f>IF('Final Calculation Sheet'!$A$14="","",'Final Calculation Sheet'!$A$14)</f>
        <v/>
      </c>
      <c r="M4" s="676">
        <f>IF('Final Calculation Sheet'!$A$15="","",'Final Calculation Sheet'!$A$15)</f>
        <v/>
      </c>
      <c r="N4" s="69">
        <f>IF('Final Calculation Sheet'!$A$16="","",'Final Calculation Sheet'!$A$16)</f>
        <v/>
      </c>
      <c r="O4" s="676">
        <f>IF('Final Calculation Sheet'!$A$17="","",'Final Calculation Sheet'!$A$17)</f>
        <v/>
      </c>
      <c r="P4" s="69">
        <f>IF('Final Calculation Sheet'!$A$18="","",'Final Calculation Sheet'!$A$18)</f>
        <v/>
      </c>
      <c r="Q4" s="676">
        <f>IF('Final Calculation Sheet'!$A$19="","",'Final Calculation Sheet'!$A$19)</f>
        <v/>
      </c>
      <c r="R4" s="69">
        <f>IF('Final Calculation Sheet'!$A$20="","",'Final Calculation Sheet'!$A$20)</f>
        <v/>
      </c>
      <c r="S4" s="676">
        <f>IF('Final Calculation Sheet'!$A$21="","",'Final Calculation Sheet'!$A$21)</f>
        <v/>
      </c>
      <c r="T4" s="69">
        <f>IF('Final Calculation Sheet'!$A$22="","",'Final Calculation Sheet'!$A$22)</f>
        <v/>
      </c>
      <c r="U4" s="676">
        <f>IF('Final Calculation Sheet'!$A$23="","",'Final Calculation Sheet'!$A$23)</f>
        <v/>
      </c>
      <c r="V4" s="69">
        <f>IF('Final Calculation Sheet'!$A$24="","",'Final Calculation Sheet'!$A$24)</f>
        <v/>
      </c>
      <c r="W4" s="676">
        <f>IF('Final Calculation Sheet'!$A$25="","",'Final Calculation Sheet'!$A$25)</f>
        <v/>
      </c>
      <c r="X4" s="69">
        <f>IF('Final Calculation Sheet'!$A$26="","",'Final Calculation Sheet'!$A$26)</f>
        <v/>
      </c>
      <c r="Y4" s="676">
        <f>IF('Final Calculation Sheet'!$A$27="","",'Final Calculation Sheet'!$A$27)</f>
        <v/>
      </c>
      <c r="Z4" s="69">
        <f>IF('Final Calculation Sheet'!$A$28="","",'Final Calculation Sheet'!$A$28)</f>
        <v/>
      </c>
      <c r="AA4" s="676">
        <f>IF('Final Calculation Sheet'!$A$29="","",'Final Calculation Sheet'!$A$29)</f>
        <v/>
      </c>
      <c r="AB4" s="69">
        <f>IF('Final Calculation Sheet'!$A$30="","",'Final Calculation Sheet'!$A$30)</f>
        <v/>
      </c>
      <c r="AC4" s="676">
        <f>IF('Final Calculation Sheet'!$A$31="","",'Final Calculation Sheet'!$A$31)</f>
        <v/>
      </c>
      <c r="AD4" s="69">
        <f>IF('Final Calculation Sheet'!$A$32="","",'Final Calculation Sheet'!$A$32)</f>
        <v/>
      </c>
      <c r="AE4" s="676">
        <f>IF('Final Calculation Sheet'!$A$33="","",'Final Calculation Sheet'!$A$33)</f>
        <v/>
      </c>
      <c r="AF4" s="69">
        <f>IF('Final Calculation Sheet'!$A$34="","",'Final Calculation Sheet'!$A$34)</f>
        <v/>
      </c>
      <c r="AG4" s="676">
        <f>IF('Final Calculation Sheet'!$A$35="","",'Final Calculation Sheet'!$A$35)</f>
        <v/>
      </c>
      <c r="AH4" s="69">
        <f>IF('Final Calculation Sheet'!$A$36="","",'Final Calculation Sheet'!$A$36)</f>
        <v/>
      </c>
      <c r="AI4" s="676">
        <f>IF('Final Calculation Sheet'!$A$37="","",'Final Calculation Sheet'!$A$37)</f>
        <v/>
      </c>
      <c r="AJ4" s="69">
        <f>IF('Final Calculation Sheet'!$A$38="","",'Final Calculation Sheet'!$A$38)</f>
        <v/>
      </c>
      <c r="AK4" s="676">
        <f>IF('Final Calculation Sheet'!$A$39="","",'Final Calculation Sheet'!$A$39)</f>
        <v/>
      </c>
      <c r="AL4" s="69">
        <f>IF('Final Calculation Sheet'!$A$40="","",'Final Calculation Sheet'!$A$40)</f>
        <v/>
      </c>
      <c r="AM4" s="677">
        <f>IF('Final Calculation Sheet'!$A$41="","",'Final Calculation Sheet'!$A$41)</f>
        <v/>
      </c>
    </row>
    <row r="5" ht="15" customHeight="1">
      <c r="A5" s="678" t="inlineStr">
        <is>
          <t>Lot Name</t>
        </is>
      </c>
      <c r="B5" s="69">
        <f>IF('Final Calculation Sheet'!$B$4="","",'Final Calculation Sheet'!$B$4)</f>
        <v/>
      </c>
      <c r="C5" s="676">
        <f>IF('Final Calculation Sheet'!$B$5="","",'Final Calculation Sheet'!$B$5)</f>
        <v/>
      </c>
      <c r="D5" s="69">
        <f>IF('Final Calculation Sheet'!$B$6="","",'Final Calculation Sheet'!$B$6)</f>
        <v/>
      </c>
      <c r="E5" s="676">
        <f>IF('Final Calculation Sheet'!$B$7="","",'Final Calculation Sheet'!$B$7)</f>
        <v/>
      </c>
      <c r="F5" s="69">
        <f>IF('Final Calculation Sheet'!$B$8="","",'Final Calculation Sheet'!$B$8)</f>
        <v/>
      </c>
      <c r="G5" s="676">
        <f>IF('Final Calculation Sheet'!$B$9="","",'Final Calculation Sheet'!$B$9)</f>
        <v/>
      </c>
      <c r="H5" s="69">
        <f>IF('Final Calculation Sheet'!$B$10="","",'Final Calculation Sheet'!$B$10)</f>
        <v/>
      </c>
      <c r="I5" s="676">
        <f>IF('Final Calculation Sheet'!$B$11="","",'Final Calculation Sheet'!$B$11)</f>
        <v/>
      </c>
      <c r="J5" s="69">
        <f>IF('Final Calculation Sheet'!$B$12="","",'Final Calculation Sheet'!$B$12)</f>
        <v/>
      </c>
      <c r="K5" s="676">
        <f>IF('Final Calculation Sheet'!$B$13="","",'Final Calculation Sheet'!$B$13)</f>
        <v/>
      </c>
      <c r="L5" s="69">
        <f>IF('Final Calculation Sheet'!$B$14="","",'Final Calculation Sheet'!$B$14)</f>
        <v/>
      </c>
      <c r="M5" s="676">
        <f>IF('Final Calculation Sheet'!$B$15="","",'Final Calculation Sheet'!$B$15)</f>
        <v/>
      </c>
      <c r="N5" s="69">
        <f>IF('Final Calculation Sheet'!$B$16="","",'Final Calculation Sheet'!$B$16)</f>
        <v/>
      </c>
      <c r="O5" s="676">
        <f>IF('Final Calculation Sheet'!$B$17="","",'Final Calculation Sheet'!$B$17)</f>
        <v/>
      </c>
      <c r="P5" s="69">
        <f>IF('Final Calculation Sheet'!$B$18="","",'Final Calculation Sheet'!$B$18)</f>
        <v/>
      </c>
      <c r="Q5" s="676">
        <f>IF('Final Calculation Sheet'!$B$19="","",'Final Calculation Sheet'!$B$19)</f>
        <v/>
      </c>
      <c r="R5" s="69">
        <f>IF('Final Calculation Sheet'!$B$20="","",'Final Calculation Sheet'!$B$20)</f>
        <v/>
      </c>
      <c r="S5" s="676">
        <f>IF('Final Calculation Sheet'!$B$21="","",'Final Calculation Sheet'!$B$21)</f>
        <v/>
      </c>
      <c r="T5" s="69">
        <f>IF('Final Calculation Sheet'!$B$22="","",'Final Calculation Sheet'!$B$22)</f>
        <v/>
      </c>
      <c r="U5" s="676">
        <f>IF('Final Calculation Sheet'!$B$23="","",'Final Calculation Sheet'!$B$23)</f>
        <v/>
      </c>
      <c r="V5" s="69">
        <f>IF('Final Calculation Sheet'!$B$24="","",'Final Calculation Sheet'!$B$24)</f>
        <v/>
      </c>
      <c r="W5" s="676">
        <f>IF('Final Calculation Sheet'!$B$25="","",'Final Calculation Sheet'!$B$25)</f>
        <v/>
      </c>
      <c r="X5" s="69">
        <f>IF('Final Calculation Sheet'!$B$26="","",'Final Calculation Sheet'!$B$26)</f>
        <v/>
      </c>
      <c r="Y5" s="676">
        <f>IF('Final Calculation Sheet'!$B$27="","",'Final Calculation Sheet'!$B$27)</f>
        <v/>
      </c>
      <c r="Z5" s="69">
        <f>IF('Final Calculation Sheet'!$B$28="","",'Final Calculation Sheet'!$B$28)</f>
        <v/>
      </c>
      <c r="AA5" s="676">
        <f>IF('Final Calculation Sheet'!$B$29="","",'Final Calculation Sheet'!$B$29)</f>
        <v/>
      </c>
      <c r="AB5" s="69">
        <f>IF('Final Calculation Sheet'!$B$30="","",'Final Calculation Sheet'!$B$30)</f>
        <v/>
      </c>
      <c r="AC5" s="676">
        <f>IF('Final Calculation Sheet'!$B$31="","",'Final Calculation Sheet'!$B$31)</f>
        <v/>
      </c>
      <c r="AD5" s="69">
        <f>IF('Final Calculation Sheet'!$B$32="","",'Final Calculation Sheet'!$B$32)</f>
        <v/>
      </c>
      <c r="AE5" s="676">
        <f>IF('Final Calculation Sheet'!$B$33="","",'Final Calculation Sheet'!$B$33)</f>
        <v/>
      </c>
      <c r="AF5" s="69">
        <f>IF('Final Calculation Sheet'!$B$34="","",'Final Calculation Sheet'!$B$34)</f>
        <v/>
      </c>
      <c r="AG5" s="676">
        <f>IF('Final Calculation Sheet'!$B$35="","",'Final Calculation Sheet'!$B$35)</f>
        <v/>
      </c>
      <c r="AH5" s="69">
        <f>IF('Final Calculation Sheet'!$B$36="","",'Final Calculation Sheet'!$B$36)</f>
        <v/>
      </c>
      <c r="AI5" s="676">
        <f>IF('Final Calculation Sheet'!$B$37="","",'Final Calculation Sheet'!$B$37)</f>
        <v/>
      </c>
      <c r="AJ5" s="69">
        <f>IF('Final Calculation Sheet'!$B$38="","",'Final Calculation Sheet'!$B$38)</f>
        <v/>
      </c>
      <c r="AK5" s="676">
        <f>IF('Final Calculation Sheet'!$B$39="","",'Final Calculation Sheet'!$B$39)</f>
        <v/>
      </c>
      <c r="AL5" s="69">
        <f>IF('Final Calculation Sheet'!$B$40="","",'Final Calculation Sheet'!$B$40)</f>
        <v/>
      </c>
      <c r="AM5" s="677">
        <f>IF('Final Calculation Sheet'!$B$41="","",'Final Calculation Sheet'!$B$41)</f>
        <v/>
      </c>
    </row>
    <row r="6" ht="15" customHeight="1">
      <c r="A6" s="675" t="inlineStr">
        <is>
          <t>Rate</t>
        </is>
      </c>
      <c r="B6" s="544">
        <f>IF('Final Calculation Sheet'!$C$4="","",'Final Calculation Sheet'!$C$4)</f>
        <v/>
      </c>
      <c r="C6" s="679">
        <f>IF('Final Calculation Sheet'!$C$5="","",'Final Calculation Sheet'!$C$5)</f>
        <v/>
      </c>
      <c r="D6" s="544">
        <f>IF('Final Calculation Sheet'!$C$6="","",'Final Calculation Sheet'!$C$6)</f>
        <v/>
      </c>
      <c r="E6" s="679">
        <f>IF('Final Calculation Sheet'!$C$7="","",'Final Calculation Sheet'!$C$7)</f>
        <v/>
      </c>
      <c r="F6" s="544">
        <f>IF('Final Calculation Sheet'!$C$8="","",'Final Calculation Sheet'!$C$8)</f>
        <v/>
      </c>
      <c r="G6" s="679">
        <f>IF('Final Calculation Sheet'!$C$9="","",'Final Calculation Sheet'!$C$9)</f>
        <v/>
      </c>
      <c r="H6" s="544">
        <f>IF('Final Calculation Sheet'!$C$10="","",'Final Calculation Sheet'!$C$10)</f>
        <v/>
      </c>
      <c r="I6" s="679">
        <f>IF('Final Calculation Sheet'!$C$11="","",'Final Calculation Sheet'!$C$11)</f>
        <v/>
      </c>
      <c r="J6" s="544">
        <f>IF('Final Calculation Sheet'!$C$12="","",'Final Calculation Sheet'!$C$12)</f>
        <v/>
      </c>
      <c r="K6" s="679">
        <f>IF('Final Calculation Sheet'!$C$13="","",'Final Calculation Sheet'!$C$13)</f>
        <v/>
      </c>
      <c r="L6" s="544">
        <f>IF('Final Calculation Sheet'!$C$14="","",'Final Calculation Sheet'!$C$14)</f>
        <v/>
      </c>
      <c r="M6" s="679">
        <f>IF('Final Calculation Sheet'!$C$15="","",'Final Calculation Sheet'!$C$15)</f>
        <v/>
      </c>
      <c r="N6" s="544">
        <f>IF('Final Calculation Sheet'!$C$16="","",'Final Calculation Sheet'!$C$16)</f>
        <v/>
      </c>
      <c r="O6" s="679">
        <f>IF('Final Calculation Sheet'!$C$17="","",'Final Calculation Sheet'!$C$17)</f>
        <v/>
      </c>
      <c r="P6" s="544">
        <f>IF('Final Calculation Sheet'!$C$18="","",'Final Calculation Sheet'!$C$18)</f>
        <v/>
      </c>
      <c r="Q6" s="679">
        <f>IF('Final Calculation Sheet'!$C$19="","",'Final Calculation Sheet'!$C$19)</f>
        <v/>
      </c>
      <c r="R6" s="544">
        <f>IF('Final Calculation Sheet'!$C$20="","",'Final Calculation Sheet'!$C$20)</f>
        <v/>
      </c>
      <c r="S6" s="679">
        <f>IF('Final Calculation Sheet'!$C$21="","",'Final Calculation Sheet'!$C$21)</f>
        <v/>
      </c>
      <c r="T6" s="544">
        <f>IF('Final Calculation Sheet'!$C$22="","",'Final Calculation Sheet'!$C$22)</f>
        <v/>
      </c>
      <c r="U6" s="679">
        <f>IF('Final Calculation Sheet'!$C$23="","",'Final Calculation Sheet'!$C$23)</f>
        <v/>
      </c>
      <c r="V6" s="544">
        <f>IF('Final Calculation Sheet'!$C$24="","",'Final Calculation Sheet'!$C$24)</f>
        <v/>
      </c>
      <c r="W6" s="679">
        <f>IF('Final Calculation Sheet'!$C$25="","",'Final Calculation Sheet'!$C$25)</f>
        <v/>
      </c>
      <c r="X6" s="544">
        <f>IF('Final Calculation Sheet'!$C$26="","",'Final Calculation Sheet'!$C$26)</f>
        <v/>
      </c>
      <c r="Y6" s="679">
        <f>IF('Final Calculation Sheet'!$C$27="","",'Final Calculation Sheet'!$C$27)</f>
        <v/>
      </c>
      <c r="Z6" s="544">
        <f>IF('Final Calculation Sheet'!$C$28="","",'Final Calculation Sheet'!$C$28)</f>
        <v/>
      </c>
      <c r="AA6" s="679">
        <f>IF('Final Calculation Sheet'!$C$29="","",'Final Calculation Sheet'!$C$29)</f>
        <v/>
      </c>
      <c r="AB6" s="544">
        <f>IF('Final Calculation Sheet'!$C$30="","",'Final Calculation Sheet'!$C$30)</f>
        <v/>
      </c>
      <c r="AC6" s="679">
        <f>IF('Final Calculation Sheet'!$C$31="","",'Final Calculation Sheet'!$C$31)</f>
        <v/>
      </c>
      <c r="AD6" s="544">
        <f>IF('Final Calculation Sheet'!$C$32="","",'Final Calculation Sheet'!$C$32)</f>
        <v/>
      </c>
      <c r="AE6" s="679">
        <f>IF('Final Calculation Sheet'!$C$33="","",'Final Calculation Sheet'!$C$33)</f>
        <v/>
      </c>
      <c r="AF6" s="544">
        <f>IF('Final Calculation Sheet'!$C$34="","",'Final Calculation Sheet'!$C$34)</f>
        <v/>
      </c>
      <c r="AG6" s="679">
        <f>IF('Final Calculation Sheet'!$C$35="","",'Final Calculation Sheet'!$C$35)</f>
        <v/>
      </c>
      <c r="AH6" s="544">
        <f>IF('Final Calculation Sheet'!$C$36="","",'Final Calculation Sheet'!$C$36)</f>
        <v/>
      </c>
      <c r="AI6" s="679">
        <f>IF('Final Calculation Sheet'!$C$37="","",'Final Calculation Sheet'!$C$37)</f>
        <v/>
      </c>
      <c r="AJ6" s="544">
        <f>IF('Final Calculation Sheet'!$C$38="","",'Final Calculation Sheet'!$C$38)</f>
        <v/>
      </c>
      <c r="AK6" s="679">
        <f>IF('Final Calculation Sheet'!$C$39="","",'Final Calculation Sheet'!$C$39)</f>
        <v/>
      </c>
      <c r="AL6" s="544">
        <f>IF('Final Calculation Sheet'!$C$40="","",'Final Calculation Sheet'!$C$40)</f>
        <v/>
      </c>
      <c r="AM6" s="680">
        <f>IF('Final Calculation Sheet'!$C$41="","",'Final Calculation Sheet'!$C$41)</f>
        <v/>
      </c>
    </row>
    <row r="7" ht="15" customHeight="1">
      <c r="A7" s="678" t="inlineStr">
        <is>
          <t>Bid Sheet</t>
        </is>
      </c>
      <c r="B7" s="69">
        <f>IF('Final Calculation Sheet'!$D$4="","",'Final Calculation Sheet'!$D$4)</f>
        <v/>
      </c>
      <c r="C7" s="676">
        <f>IF('Final Calculation Sheet'!$D$5="","",'Final Calculation Sheet'!$D$5)</f>
        <v/>
      </c>
      <c r="D7" s="69">
        <f>IF('Final Calculation Sheet'!$D$6="","",'Final Calculation Sheet'!$D$6)</f>
        <v/>
      </c>
      <c r="E7" s="676">
        <f>IF('Final Calculation Sheet'!$D$7="","",'Final Calculation Sheet'!$D$7)</f>
        <v/>
      </c>
      <c r="F7" s="69">
        <f>IF('Final Calculation Sheet'!$D$8="","",'Final Calculation Sheet'!$D$8)</f>
        <v/>
      </c>
      <c r="G7" s="676">
        <f>IF('Final Calculation Sheet'!$D$9="","",'Final Calculation Sheet'!$D$9)</f>
        <v/>
      </c>
      <c r="H7" s="69">
        <f>IF('Final Calculation Sheet'!$D$10="","",'Final Calculation Sheet'!$D$10)</f>
        <v/>
      </c>
      <c r="I7" s="676">
        <f>IF('Final Calculation Sheet'!$D$11="","",'Final Calculation Sheet'!$D$11)</f>
        <v/>
      </c>
      <c r="J7" s="69">
        <f>IF('Final Calculation Sheet'!$D$12="","",'Final Calculation Sheet'!$D$12)</f>
        <v/>
      </c>
      <c r="K7" s="676">
        <f>IF('Final Calculation Sheet'!$D$13="","",'Final Calculation Sheet'!$D$13)</f>
        <v/>
      </c>
      <c r="L7" s="69">
        <f>IF('Final Calculation Sheet'!$D$14="","",'Final Calculation Sheet'!$D$14)</f>
        <v/>
      </c>
      <c r="M7" s="676">
        <f>IF('Final Calculation Sheet'!$D$15="","",'Final Calculation Sheet'!$D$15)</f>
        <v/>
      </c>
      <c r="N7" s="69">
        <f>IF('Final Calculation Sheet'!$D$16="","",'Final Calculation Sheet'!$D$16)</f>
        <v/>
      </c>
      <c r="O7" s="676">
        <f>IF('Final Calculation Sheet'!$D$17="","",'Final Calculation Sheet'!$D$17)</f>
        <v/>
      </c>
      <c r="P7" s="69">
        <f>IF('Final Calculation Sheet'!$D$18="","",'Final Calculation Sheet'!$D$18)</f>
        <v/>
      </c>
      <c r="Q7" s="676">
        <f>IF('Final Calculation Sheet'!$D$19="","",'Final Calculation Sheet'!$D$19)</f>
        <v/>
      </c>
      <c r="R7" s="69">
        <f>IF('Final Calculation Sheet'!$D$20="","",'Final Calculation Sheet'!$D$20)</f>
        <v/>
      </c>
      <c r="S7" s="676">
        <f>IF('Final Calculation Sheet'!$D$21="","",'Final Calculation Sheet'!$D$21)</f>
        <v/>
      </c>
      <c r="T7" s="69">
        <f>IF('Final Calculation Sheet'!$D$22="","",'Final Calculation Sheet'!$D$22)</f>
        <v/>
      </c>
      <c r="U7" s="676">
        <f>IF('Final Calculation Sheet'!$D$23="","",'Final Calculation Sheet'!$D$23)</f>
        <v/>
      </c>
      <c r="V7" s="69">
        <f>IF('Final Calculation Sheet'!$D$24="","",'Final Calculation Sheet'!$D$24)</f>
        <v/>
      </c>
      <c r="W7" s="676">
        <f>IF('Final Calculation Sheet'!$D$25="","",'Final Calculation Sheet'!$D$25)</f>
        <v/>
      </c>
      <c r="X7" s="69">
        <f>IF('Final Calculation Sheet'!$D$26="","",'Final Calculation Sheet'!$D$26)</f>
        <v/>
      </c>
      <c r="Y7" s="676">
        <f>IF('Final Calculation Sheet'!$D$27="","",'Final Calculation Sheet'!$D$27)</f>
        <v/>
      </c>
      <c r="Z7" s="69">
        <f>IF('Final Calculation Sheet'!$D$28="","",'Final Calculation Sheet'!$D$28)</f>
        <v/>
      </c>
      <c r="AA7" s="676">
        <f>IF('Final Calculation Sheet'!$D$29="","",'Final Calculation Sheet'!$D$29)</f>
        <v/>
      </c>
      <c r="AB7" s="69">
        <f>IF('Final Calculation Sheet'!$D$30="","",'Final Calculation Sheet'!$D$30)</f>
        <v/>
      </c>
      <c r="AC7" s="676">
        <f>IF('Final Calculation Sheet'!$D$31="","",'Final Calculation Sheet'!$D$31)</f>
        <v/>
      </c>
      <c r="AD7" s="69">
        <f>IF('Final Calculation Sheet'!$D$32="","",'Final Calculation Sheet'!$D$32)</f>
        <v/>
      </c>
      <c r="AE7" s="676">
        <f>IF('Final Calculation Sheet'!$D$33="","",'Final Calculation Sheet'!$D$33)</f>
        <v/>
      </c>
      <c r="AF7" s="69">
        <f>IF('Final Calculation Sheet'!$D$34="","",'Final Calculation Sheet'!$D$34)</f>
        <v/>
      </c>
      <c r="AG7" s="676">
        <f>IF('Final Calculation Sheet'!$D$35="","",'Final Calculation Sheet'!$D$35)</f>
        <v/>
      </c>
      <c r="AH7" s="69">
        <f>IF('Final Calculation Sheet'!$D$36="","",'Final Calculation Sheet'!$D$36)</f>
        <v/>
      </c>
      <c r="AI7" s="676">
        <f>IF('Final Calculation Sheet'!$D$37="","",'Final Calculation Sheet'!$D$37)</f>
        <v/>
      </c>
      <c r="AJ7" s="69">
        <f>IF('Final Calculation Sheet'!$D$38="","",'Final Calculation Sheet'!$D$38)</f>
        <v/>
      </c>
      <c r="AK7" s="676">
        <f>IF('Final Calculation Sheet'!$D$39="","",'Final Calculation Sheet'!$D$39)</f>
        <v/>
      </c>
      <c r="AL7" s="69">
        <f>IF('Final Calculation Sheet'!$D$40="","",'Final Calculation Sheet'!$D$40)</f>
        <v/>
      </c>
      <c r="AM7" s="677">
        <f>IF('Final Calculation Sheet'!$D$41="","",'Final Calculation Sheet'!$D$41)</f>
        <v/>
      </c>
    </row>
    <row r="8" ht="15" customHeight="1">
      <c r="A8" s="675" t="inlineStr">
        <is>
          <t>Unit</t>
        </is>
      </c>
      <c r="B8" s="69">
        <f>IF('Final Calculation Sheet'!$E$4="","",'Final Calculation Sheet'!$E$4)</f>
        <v/>
      </c>
      <c r="C8" s="676">
        <f>IF('Final Calculation Sheet'!$E$5="","",'Final Calculation Sheet'!$E$5)</f>
        <v/>
      </c>
      <c r="D8" s="69">
        <f>IF('Final Calculation Sheet'!$E$6="","",'Final Calculation Sheet'!$E$6)</f>
        <v/>
      </c>
      <c r="E8" s="676">
        <f>IF('Final Calculation Sheet'!$E$7="","",'Final Calculation Sheet'!$E$7)</f>
        <v/>
      </c>
      <c r="F8" s="69">
        <f>IF('Final Calculation Sheet'!$E$8="","",'Final Calculation Sheet'!$E$8)</f>
        <v/>
      </c>
      <c r="G8" s="676">
        <f>IF('Final Calculation Sheet'!$E$9="","",'Final Calculation Sheet'!$E$9)</f>
        <v/>
      </c>
      <c r="H8" s="69">
        <f>IF('Final Calculation Sheet'!$E$10="","",'Final Calculation Sheet'!$E$10)</f>
        <v/>
      </c>
      <c r="I8" s="676">
        <f>IF('Final Calculation Sheet'!$E$11="","",'Final Calculation Sheet'!$E$11)</f>
        <v/>
      </c>
      <c r="J8" s="69">
        <f>IF('Final Calculation Sheet'!$E$12="","",'Final Calculation Sheet'!$E$12)</f>
        <v/>
      </c>
      <c r="K8" s="676">
        <f>IF('Final Calculation Sheet'!$E$13="","",'Final Calculation Sheet'!$E$13)</f>
        <v/>
      </c>
      <c r="L8" s="69">
        <f>IF('Final Calculation Sheet'!$E$14="","",'Final Calculation Sheet'!$E$14)</f>
        <v/>
      </c>
      <c r="M8" s="676">
        <f>IF('Final Calculation Sheet'!$E$15="","",'Final Calculation Sheet'!$E$15)</f>
        <v/>
      </c>
      <c r="N8" s="69">
        <f>IF('Final Calculation Sheet'!$E$16="","",'Final Calculation Sheet'!$E$16)</f>
        <v/>
      </c>
      <c r="O8" s="676">
        <f>IF('Final Calculation Sheet'!$E$17="","",'Final Calculation Sheet'!$E$17)</f>
        <v/>
      </c>
      <c r="P8" s="69">
        <f>IF('Final Calculation Sheet'!$E$18="","",'Final Calculation Sheet'!$E$18)</f>
        <v/>
      </c>
      <c r="Q8" s="676">
        <f>IF('Final Calculation Sheet'!$E$19="","",'Final Calculation Sheet'!$E$19)</f>
        <v/>
      </c>
      <c r="R8" s="69">
        <f>IF('Final Calculation Sheet'!$E$20="","",'Final Calculation Sheet'!$E$20)</f>
        <v/>
      </c>
      <c r="S8" s="676">
        <f>IF('Final Calculation Sheet'!$E$21="","",'Final Calculation Sheet'!$E$21)</f>
        <v/>
      </c>
      <c r="T8" s="69">
        <f>IF('Final Calculation Sheet'!$E$22="","",'Final Calculation Sheet'!$E$22)</f>
        <v/>
      </c>
      <c r="U8" s="676">
        <f>IF('Final Calculation Sheet'!$E$23="","",'Final Calculation Sheet'!$E$23)</f>
        <v/>
      </c>
      <c r="V8" s="69">
        <f>IF('Final Calculation Sheet'!$E$24="","",'Final Calculation Sheet'!$E$24)</f>
        <v/>
      </c>
      <c r="W8" s="676">
        <f>IF('Final Calculation Sheet'!$E$25="","",'Final Calculation Sheet'!$E$25)</f>
        <v/>
      </c>
      <c r="X8" s="69">
        <f>IF('Final Calculation Sheet'!$E$26="","",'Final Calculation Sheet'!$E$26)</f>
        <v/>
      </c>
      <c r="Y8" s="676">
        <f>IF('Final Calculation Sheet'!$E$27="","",'Final Calculation Sheet'!$E$27)</f>
        <v/>
      </c>
      <c r="Z8" s="69">
        <f>IF('Final Calculation Sheet'!$E$28="","",'Final Calculation Sheet'!$E$28)</f>
        <v/>
      </c>
      <c r="AA8" s="676">
        <f>IF('Final Calculation Sheet'!$E$29="","",'Final Calculation Sheet'!$E$29)</f>
        <v/>
      </c>
      <c r="AB8" s="69">
        <f>IF('Final Calculation Sheet'!$E$30="","",'Final Calculation Sheet'!$E$30)</f>
        <v/>
      </c>
      <c r="AC8" s="676">
        <f>IF('Final Calculation Sheet'!$E$31="","",'Final Calculation Sheet'!$E$31)</f>
        <v/>
      </c>
      <c r="AD8" s="69">
        <f>IF('Final Calculation Sheet'!$E$32="","",'Final Calculation Sheet'!$E$32)</f>
        <v/>
      </c>
      <c r="AE8" s="676">
        <f>IF('Final Calculation Sheet'!$E$33="","",'Final Calculation Sheet'!$E$33)</f>
        <v/>
      </c>
      <c r="AF8" s="69">
        <f>IF('Final Calculation Sheet'!$E$34="","",'Final Calculation Sheet'!$E$34)</f>
        <v/>
      </c>
      <c r="AG8" s="676">
        <f>IF('Final Calculation Sheet'!$E$35="","",'Final Calculation Sheet'!$E$35)</f>
        <v/>
      </c>
      <c r="AH8" s="69">
        <f>IF('Final Calculation Sheet'!$E$36="","",'Final Calculation Sheet'!$E$36)</f>
        <v/>
      </c>
      <c r="AI8" s="676">
        <f>IF('Final Calculation Sheet'!$E$37="","",'Final Calculation Sheet'!$E$37)</f>
        <v/>
      </c>
      <c r="AJ8" s="69">
        <f>IF('Final Calculation Sheet'!$E$38="","",'Final Calculation Sheet'!$E$38)</f>
        <v/>
      </c>
      <c r="AK8" s="676">
        <f>IF('Final Calculation Sheet'!$E$39="","",'Final Calculation Sheet'!$E$39)</f>
        <v/>
      </c>
      <c r="AL8" s="69">
        <f>IF('Final Calculation Sheet'!$E$40="","",'Final Calculation Sheet'!$E$40)</f>
        <v/>
      </c>
      <c r="AM8" s="677">
        <f>IF('Final Calculation Sheet'!$E$41="","",'Final Calculation Sheet'!$E$41)</f>
        <v/>
      </c>
    </row>
    <row r="9" ht="15" customHeight="1">
      <c r="A9" s="678" t="inlineStr">
        <is>
          <t>Lot No.</t>
        </is>
      </c>
      <c r="B9" s="69">
        <f>IF('Final Calculation Sheet'!$F$4="","",'Final Calculation Sheet'!$F$4)</f>
        <v/>
      </c>
      <c r="C9" s="676">
        <f>IF('Final Calculation Sheet'!$F$5="","",'Final Calculation Sheet'!$F$5)</f>
        <v/>
      </c>
      <c r="D9" s="69">
        <f>IF('Final Calculation Sheet'!$F$6="","",'Final Calculation Sheet'!$F$6)</f>
        <v/>
      </c>
      <c r="E9" s="676">
        <f>IF('Final Calculation Sheet'!$F$7="","",'Final Calculation Sheet'!$F$7)</f>
        <v/>
      </c>
      <c r="F9" s="69">
        <f>IF('Final Calculation Sheet'!$F$8="","",'Final Calculation Sheet'!$F$8)</f>
        <v/>
      </c>
      <c r="G9" s="676">
        <f>IF('Final Calculation Sheet'!$F$9="","",'Final Calculation Sheet'!$F$9)</f>
        <v/>
      </c>
      <c r="H9" s="69">
        <f>IF('Final Calculation Sheet'!$F$10="","",'Final Calculation Sheet'!$F$10)</f>
        <v/>
      </c>
      <c r="I9" s="676">
        <f>IF('Final Calculation Sheet'!$F$11="","",'Final Calculation Sheet'!$F$11)</f>
        <v/>
      </c>
      <c r="J9" s="69">
        <f>IF('Final Calculation Sheet'!$F$12="","",'Final Calculation Sheet'!$F$12)</f>
        <v/>
      </c>
      <c r="K9" s="676">
        <f>IF('Final Calculation Sheet'!$F$13="","",'Final Calculation Sheet'!$F$13)</f>
        <v/>
      </c>
      <c r="L9" s="69">
        <f>IF('Final Calculation Sheet'!$F$14="","",'Final Calculation Sheet'!$F$14)</f>
        <v/>
      </c>
      <c r="M9" s="676">
        <f>IF('Final Calculation Sheet'!$F$15="","",'Final Calculation Sheet'!$F$15)</f>
        <v/>
      </c>
      <c r="N9" s="69">
        <f>IF('Final Calculation Sheet'!$F$16="","",'Final Calculation Sheet'!$F$16)</f>
        <v/>
      </c>
      <c r="O9" s="676">
        <f>IF('Final Calculation Sheet'!$F$17="","",'Final Calculation Sheet'!$F$17)</f>
        <v/>
      </c>
      <c r="P9" s="69">
        <f>IF('Final Calculation Sheet'!$F$18="","",'Final Calculation Sheet'!$F$18)</f>
        <v/>
      </c>
      <c r="Q9" s="676">
        <f>IF('Final Calculation Sheet'!$F$19="","",'Final Calculation Sheet'!$F$19)</f>
        <v/>
      </c>
      <c r="R9" s="69">
        <f>IF('Final Calculation Sheet'!$F$20="","",'Final Calculation Sheet'!$F$20)</f>
        <v/>
      </c>
      <c r="S9" s="676">
        <f>IF('Final Calculation Sheet'!$F$21="","",'Final Calculation Sheet'!$F$21)</f>
        <v/>
      </c>
      <c r="T9" s="69">
        <f>IF('Final Calculation Sheet'!$F$22="","",'Final Calculation Sheet'!$F$22)</f>
        <v/>
      </c>
      <c r="U9" s="676">
        <f>IF('Final Calculation Sheet'!$F$23="","",'Final Calculation Sheet'!$F$23)</f>
        <v/>
      </c>
      <c r="V9" s="69">
        <f>IF('Final Calculation Sheet'!$F$24="","",'Final Calculation Sheet'!$F$24)</f>
        <v/>
      </c>
      <c r="W9" s="676">
        <f>IF('Final Calculation Sheet'!$F$25="","",'Final Calculation Sheet'!$F$25)</f>
        <v/>
      </c>
      <c r="X9" s="69">
        <f>IF('Final Calculation Sheet'!$F$26="","",'Final Calculation Sheet'!$F$26)</f>
        <v/>
      </c>
      <c r="Y9" s="676">
        <f>IF('Final Calculation Sheet'!$F$27="","",'Final Calculation Sheet'!$F$27)</f>
        <v/>
      </c>
      <c r="Z9" s="69">
        <f>IF('Final Calculation Sheet'!$F$28="","",'Final Calculation Sheet'!$F$28)</f>
        <v/>
      </c>
      <c r="AA9" s="676">
        <f>IF('Final Calculation Sheet'!$F$29="","",'Final Calculation Sheet'!$F$29)</f>
        <v/>
      </c>
      <c r="AB9" s="69">
        <f>IF('Final Calculation Sheet'!$F$30="","",'Final Calculation Sheet'!$F$30)</f>
        <v/>
      </c>
      <c r="AC9" s="676">
        <f>IF('Final Calculation Sheet'!$F$31="","",'Final Calculation Sheet'!$F$31)</f>
        <v/>
      </c>
      <c r="AD9" s="69">
        <f>IF('Final Calculation Sheet'!$F$32="","",'Final Calculation Sheet'!$F$32)</f>
        <v/>
      </c>
      <c r="AE9" s="676">
        <f>IF('Final Calculation Sheet'!$F$33="","",'Final Calculation Sheet'!$F$33)</f>
        <v/>
      </c>
      <c r="AF9" s="69">
        <f>IF('Final Calculation Sheet'!$F$34="","",'Final Calculation Sheet'!$F$34)</f>
        <v/>
      </c>
      <c r="AG9" s="676">
        <f>IF('Final Calculation Sheet'!$F$35="","",'Final Calculation Sheet'!$F$35)</f>
        <v/>
      </c>
      <c r="AH9" s="69">
        <f>IF('Final Calculation Sheet'!$F$36="","",'Final Calculation Sheet'!$F$36)</f>
        <v/>
      </c>
      <c r="AI9" s="676">
        <f>IF('Final Calculation Sheet'!$F$37="","",'Final Calculation Sheet'!$F$37)</f>
        <v/>
      </c>
      <c r="AJ9" s="69">
        <f>IF('Final Calculation Sheet'!$F$38="","",'Final Calculation Sheet'!$F$38)</f>
        <v/>
      </c>
      <c r="AK9" s="676">
        <f>IF('Final Calculation Sheet'!$F$39="","",'Final Calculation Sheet'!$F$39)</f>
        <v/>
      </c>
      <c r="AL9" s="69">
        <f>IF('Final Calculation Sheet'!$F$40="","",'Final Calculation Sheet'!$F$40)</f>
        <v/>
      </c>
      <c r="AM9" s="677">
        <f>IF('Final Calculation Sheet'!$F$41="","",'Final Calculation Sheet'!$F$41)</f>
        <v/>
      </c>
    </row>
    <row r="10" ht="15" customHeight="1">
      <c r="A10" s="675" t="inlineStr">
        <is>
          <t>Buyer</t>
        </is>
      </c>
      <c r="B10" s="69">
        <f>IF('Final Calculation Sheet'!$G$4="","",'Final Calculation Sheet'!$G$4)</f>
        <v/>
      </c>
      <c r="C10" s="676">
        <f>IF('Final Calculation Sheet'!$G$5="","",'Final Calculation Sheet'!$G$5)</f>
        <v/>
      </c>
      <c r="D10" s="69">
        <f>IF('Final Calculation Sheet'!$G$6="","",'Final Calculation Sheet'!$G$6)</f>
        <v/>
      </c>
      <c r="E10" s="676">
        <f>IF('Final Calculation Sheet'!$G$7="","",'Final Calculation Sheet'!$G$7)</f>
        <v/>
      </c>
      <c r="F10" s="69">
        <f>IF('Final Calculation Sheet'!$G$8="","",'Final Calculation Sheet'!$G$8)</f>
        <v/>
      </c>
      <c r="G10" s="676">
        <f>IF('Final Calculation Sheet'!$G$9="","",'Final Calculation Sheet'!$G$9)</f>
        <v/>
      </c>
      <c r="H10" s="69">
        <f>IF('Final Calculation Sheet'!$G$10="","",'Final Calculation Sheet'!$G$10)</f>
        <v/>
      </c>
      <c r="I10" s="676">
        <f>IF('Final Calculation Sheet'!$G$11="","",'Final Calculation Sheet'!$G$11)</f>
        <v/>
      </c>
      <c r="J10" s="69">
        <f>IF('Final Calculation Sheet'!$G$12="","",'Final Calculation Sheet'!$G$12)</f>
        <v/>
      </c>
      <c r="K10" s="676">
        <f>IF('Final Calculation Sheet'!$G$13="","",'Final Calculation Sheet'!$G$13)</f>
        <v/>
      </c>
      <c r="L10" s="69">
        <f>IF('Final Calculation Sheet'!$G$14="","",'Final Calculation Sheet'!$G$14)</f>
        <v/>
      </c>
      <c r="M10" s="676">
        <f>IF('Final Calculation Sheet'!$G$15="","",'Final Calculation Sheet'!$G$15)</f>
        <v/>
      </c>
      <c r="N10" s="69">
        <f>IF('Final Calculation Sheet'!$G$16="","",'Final Calculation Sheet'!$G$16)</f>
        <v/>
      </c>
      <c r="O10" s="676">
        <f>IF('Final Calculation Sheet'!$G$17="","",'Final Calculation Sheet'!$G$17)</f>
        <v/>
      </c>
      <c r="P10" s="69">
        <f>IF('Final Calculation Sheet'!$G$18="","",'Final Calculation Sheet'!$G$18)</f>
        <v/>
      </c>
      <c r="Q10" s="676">
        <f>IF('Final Calculation Sheet'!$G$19="","",'Final Calculation Sheet'!$G$19)</f>
        <v/>
      </c>
      <c r="R10" s="69">
        <f>IF('Final Calculation Sheet'!$G$20="","",'Final Calculation Sheet'!$G$20)</f>
        <v/>
      </c>
      <c r="S10" s="676">
        <f>IF('Final Calculation Sheet'!$G$21="","",'Final Calculation Sheet'!$G$21)</f>
        <v/>
      </c>
      <c r="T10" s="69">
        <f>IF('Final Calculation Sheet'!$G$22="","",'Final Calculation Sheet'!$G$22)</f>
        <v/>
      </c>
      <c r="U10" s="676">
        <f>IF('Final Calculation Sheet'!$G$23="","",'Final Calculation Sheet'!$G$23)</f>
        <v/>
      </c>
      <c r="V10" s="69">
        <f>IF('Final Calculation Sheet'!$G$24="","",'Final Calculation Sheet'!$G$24)</f>
        <v/>
      </c>
      <c r="W10" s="676">
        <f>IF('Final Calculation Sheet'!$G$25="","",'Final Calculation Sheet'!$G$25)</f>
        <v/>
      </c>
      <c r="X10" s="69">
        <f>IF('Final Calculation Sheet'!$G$26="","",'Final Calculation Sheet'!$G$26)</f>
        <v/>
      </c>
      <c r="Y10" s="676">
        <f>IF('Final Calculation Sheet'!$G$27="","",'Final Calculation Sheet'!$G$27)</f>
        <v/>
      </c>
      <c r="Z10" s="69">
        <f>IF('Final Calculation Sheet'!$G$28="","",'Final Calculation Sheet'!$G$28)</f>
        <v/>
      </c>
      <c r="AA10" s="676">
        <f>IF('Final Calculation Sheet'!$G$29="","",'Final Calculation Sheet'!$G$29)</f>
        <v/>
      </c>
      <c r="AB10" s="69">
        <f>IF('Final Calculation Sheet'!$G$30="","",'Final Calculation Sheet'!$G$30)</f>
        <v/>
      </c>
      <c r="AC10" s="676">
        <f>IF('Final Calculation Sheet'!$G$31="","",'Final Calculation Sheet'!$G$31)</f>
        <v/>
      </c>
      <c r="AD10" s="69">
        <f>IF('Final Calculation Sheet'!$G$32="","",'Final Calculation Sheet'!$G$32)</f>
        <v/>
      </c>
      <c r="AE10" s="676">
        <f>IF('Final Calculation Sheet'!$G$33="","",'Final Calculation Sheet'!$G$33)</f>
        <v/>
      </c>
      <c r="AF10" s="69">
        <f>IF('Final Calculation Sheet'!$G$34="","",'Final Calculation Sheet'!$G$34)</f>
        <v/>
      </c>
      <c r="AG10" s="676">
        <f>IF('Final Calculation Sheet'!$G$35="","",'Final Calculation Sheet'!$G$35)</f>
        <v/>
      </c>
      <c r="AH10" s="69">
        <f>IF('Final Calculation Sheet'!$G$36="","",'Final Calculation Sheet'!$G$36)</f>
        <v/>
      </c>
      <c r="AI10" s="676">
        <f>IF('Final Calculation Sheet'!$G$37="","",'Final Calculation Sheet'!$G$37)</f>
        <v/>
      </c>
      <c r="AJ10" s="69">
        <f>IF('Final Calculation Sheet'!$G$38="","",'Final Calculation Sheet'!$G$38)</f>
        <v/>
      </c>
      <c r="AK10" s="676">
        <f>IF('Final Calculation Sheet'!$G$39="","",'Final Calculation Sheet'!$G$39)</f>
        <v/>
      </c>
      <c r="AL10" s="69">
        <f>IF('Final Calculation Sheet'!$G$40="","",'Final Calculation Sheet'!$G$40)</f>
        <v/>
      </c>
      <c r="AM10" s="677">
        <f>IF('Final Calculation Sheet'!$G$41="","",'Final Calculation Sheet'!$G$41)</f>
        <v/>
      </c>
    </row>
    <row r="11" ht="15" customHeight="1">
      <c r="A11" s="678" t="inlineStr">
        <is>
          <t>Mat. Value</t>
        </is>
      </c>
      <c r="B11" s="544">
        <f>IF('Final Calculation Sheet'!$H$4="","",'Final Calculation Sheet'!$H$4)</f>
        <v/>
      </c>
      <c r="C11" s="679">
        <f>IF('Final Calculation Sheet'!$H$5="","",'Final Calculation Sheet'!$H$5)</f>
        <v/>
      </c>
      <c r="D11" s="544">
        <f>IF('Final Calculation Sheet'!$H$6="","",'Final Calculation Sheet'!$H$6)</f>
        <v/>
      </c>
      <c r="E11" s="679">
        <f>IF('Final Calculation Sheet'!$H$7="","",'Final Calculation Sheet'!$H$7)</f>
        <v/>
      </c>
      <c r="F11" s="544">
        <f>IF('Final Calculation Sheet'!$H$8="","",'Final Calculation Sheet'!$H$8)</f>
        <v/>
      </c>
      <c r="G11" s="679">
        <f>IF('Final Calculation Sheet'!$H$9="","",'Final Calculation Sheet'!$H$9)</f>
        <v/>
      </c>
      <c r="H11" s="544">
        <f>IF('Final Calculation Sheet'!$H$10="","",'Final Calculation Sheet'!$H$10)</f>
        <v/>
      </c>
      <c r="I11" s="679">
        <f>IF('Final Calculation Sheet'!$H$11="","",'Final Calculation Sheet'!$H$11)</f>
        <v/>
      </c>
      <c r="J11" s="544">
        <f>IF('Final Calculation Sheet'!$H$12="","",'Final Calculation Sheet'!$H$12)</f>
        <v/>
      </c>
      <c r="K11" s="679">
        <f>IF('Final Calculation Sheet'!$H$13="","",'Final Calculation Sheet'!$H$13)</f>
        <v/>
      </c>
      <c r="L11" s="544">
        <f>IF('Final Calculation Sheet'!$H$14="","",'Final Calculation Sheet'!$H$14)</f>
        <v/>
      </c>
      <c r="M11" s="679">
        <f>IF('Final Calculation Sheet'!$H$15="","",'Final Calculation Sheet'!$H$15)</f>
        <v/>
      </c>
      <c r="N11" s="544">
        <f>IF('Final Calculation Sheet'!$H$16="","",'Final Calculation Sheet'!$H$16)</f>
        <v/>
      </c>
      <c r="O11" s="679">
        <f>IF('Final Calculation Sheet'!$H$17="","",'Final Calculation Sheet'!$H$17)</f>
        <v/>
      </c>
      <c r="P11" s="544">
        <f>IF('Final Calculation Sheet'!$H$18="","",'Final Calculation Sheet'!$H$18)</f>
        <v/>
      </c>
      <c r="Q11" s="679">
        <f>IF('Final Calculation Sheet'!$H$19="","",'Final Calculation Sheet'!$H$19)</f>
        <v/>
      </c>
      <c r="R11" s="544">
        <f>IF('Final Calculation Sheet'!$H$20="","",'Final Calculation Sheet'!$H$20)</f>
        <v/>
      </c>
      <c r="S11" s="679">
        <f>IF('Final Calculation Sheet'!$H$21="","",'Final Calculation Sheet'!$H$21)</f>
        <v/>
      </c>
      <c r="T11" s="544">
        <f>IF('Final Calculation Sheet'!$H$22="","",'Final Calculation Sheet'!$H$22)</f>
        <v/>
      </c>
      <c r="U11" s="679">
        <f>IF('Final Calculation Sheet'!$H$23="","",'Final Calculation Sheet'!$H$23)</f>
        <v/>
      </c>
      <c r="V11" s="544">
        <f>IF('Final Calculation Sheet'!$H$24="","",'Final Calculation Sheet'!$H$24)</f>
        <v/>
      </c>
      <c r="W11" s="679">
        <f>IF('Final Calculation Sheet'!$H$25="","",'Final Calculation Sheet'!$H$25)</f>
        <v/>
      </c>
      <c r="X11" s="544">
        <f>IF('Final Calculation Sheet'!$H$26="","",'Final Calculation Sheet'!$H$26)</f>
        <v/>
      </c>
      <c r="Y11" s="679">
        <f>IF('Final Calculation Sheet'!$H$27="","",'Final Calculation Sheet'!$H$27)</f>
        <v/>
      </c>
      <c r="Z11" s="544">
        <f>IF('Final Calculation Sheet'!$H$28="","",'Final Calculation Sheet'!$H$28)</f>
        <v/>
      </c>
      <c r="AA11" s="679">
        <f>IF('Final Calculation Sheet'!$H$29="","",'Final Calculation Sheet'!$H$29)</f>
        <v/>
      </c>
      <c r="AB11" s="544">
        <f>IF('Final Calculation Sheet'!$H$30="","",'Final Calculation Sheet'!$H$30)</f>
        <v/>
      </c>
      <c r="AC11" s="679">
        <f>IF('Final Calculation Sheet'!$H$31="","",'Final Calculation Sheet'!$H$31)</f>
        <v/>
      </c>
      <c r="AD11" s="544">
        <f>IF('Final Calculation Sheet'!$H$32="","",'Final Calculation Sheet'!$H$32)</f>
        <v/>
      </c>
      <c r="AE11" s="679">
        <f>IF('Final Calculation Sheet'!$H$33="","",'Final Calculation Sheet'!$H$33)</f>
        <v/>
      </c>
      <c r="AF11" s="544">
        <f>IF('Final Calculation Sheet'!$H$34="","",'Final Calculation Sheet'!$H$34)</f>
        <v/>
      </c>
      <c r="AG11" s="679">
        <f>IF('Final Calculation Sheet'!$H$35="","",'Final Calculation Sheet'!$H$35)</f>
        <v/>
      </c>
      <c r="AH11" s="544">
        <f>IF('Final Calculation Sheet'!$H$36="","",'Final Calculation Sheet'!$H$36)</f>
        <v/>
      </c>
      <c r="AI11" s="679">
        <f>IF('Final Calculation Sheet'!$H$37="","",'Final Calculation Sheet'!$H$37)</f>
        <v/>
      </c>
      <c r="AJ11" s="544">
        <f>IF('Final Calculation Sheet'!$H$38="","",'Final Calculation Sheet'!$H$38)</f>
        <v/>
      </c>
      <c r="AK11" s="679">
        <f>IF('Final Calculation Sheet'!$H$39="","",'Final Calculation Sheet'!$H$39)</f>
        <v/>
      </c>
      <c r="AL11" s="544">
        <f>IF('Final Calculation Sheet'!$H$40="","",'Final Calculation Sheet'!$H$40)</f>
        <v/>
      </c>
      <c r="AM11" s="680">
        <f>IF('Final Calculation Sheet'!$H$41="","",'Final Calculation Sheet'!$H$41)</f>
        <v/>
      </c>
    </row>
    <row r="12" ht="15" customHeight="1">
      <c r="A12" s="675" t="inlineStr">
        <is>
          <t>GST</t>
        </is>
      </c>
      <c r="B12" s="544">
        <f>IF('Final Calculation Sheet'!$I$4="","",'Final Calculation Sheet'!$I$4)</f>
        <v/>
      </c>
      <c r="C12" s="679">
        <f>IF('Final Calculation Sheet'!$I$5="","",'Final Calculation Sheet'!$I$5)</f>
        <v/>
      </c>
      <c r="D12" s="544">
        <f>IF('Final Calculation Sheet'!$I$6="","",'Final Calculation Sheet'!$I$6)</f>
        <v/>
      </c>
      <c r="E12" s="679">
        <f>IF('Final Calculation Sheet'!$I$7="","",'Final Calculation Sheet'!$I$7)</f>
        <v/>
      </c>
      <c r="F12" s="544">
        <f>IF('Final Calculation Sheet'!$I$8="","",'Final Calculation Sheet'!$I$8)</f>
        <v/>
      </c>
      <c r="G12" s="679">
        <f>IF('Final Calculation Sheet'!$I$9="","",'Final Calculation Sheet'!$I$9)</f>
        <v/>
      </c>
      <c r="H12" s="544">
        <f>IF('Final Calculation Sheet'!$I$10="","",'Final Calculation Sheet'!$I$10)</f>
        <v/>
      </c>
      <c r="I12" s="679">
        <f>IF('Final Calculation Sheet'!$I$11="","",'Final Calculation Sheet'!$I$11)</f>
        <v/>
      </c>
      <c r="J12" s="544">
        <f>IF('Final Calculation Sheet'!$I$12="","",'Final Calculation Sheet'!$I$12)</f>
        <v/>
      </c>
      <c r="K12" s="679">
        <f>IF('Final Calculation Sheet'!$I$13="","",'Final Calculation Sheet'!$I$13)</f>
        <v/>
      </c>
      <c r="L12" s="544">
        <f>IF('Final Calculation Sheet'!$I$14="","",'Final Calculation Sheet'!$I$14)</f>
        <v/>
      </c>
      <c r="M12" s="679">
        <f>IF('Final Calculation Sheet'!$I$15="","",'Final Calculation Sheet'!$I$15)</f>
        <v/>
      </c>
      <c r="N12" s="544">
        <f>IF('Final Calculation Sheet'!$I$16="","",'Final Calculation Sheet'!$I$16)</f>
        <v/>
      </c>
      <c r="O12" s="679">
        <f>IF('Final Calculation Sheet'!$I$17="","",'Final Calculation Sheet'!$I$17)</f>
        <v/>
      </c>
      <c r="P12" s="544">
        <f>IF('Final Calculation Sheet'!$I$18="","",'Final Calculation Sheet'!$I$18)</f>
        <v/>
      </c>
      <c r="Q12" s="679">
        <f>IF('Final Calculation Sheet'!$I$19="","",'Final Calculation Sheet'!$I$19)</f>
        <v/>
      </c>
      <c r="R12" s="544">
        <f>IF('Final Calculation Sheet'!$I$20="","",'Final Calculation Sheet'!$I$20)</f>
        <v/>
      </c>
      <c r="S12" s="679">
        <f>IF('Final Calculation Sheet'!$I$21="","",'Final Calculation Sheet'!$I$21)</f>
        <v/>
      </c>
      <c r="T12" s="544">
        <f>IF('Final Calculation Sheet'!$I$22="","",'Final Calculation Sheet'!$I$22)</f>
        <v/>
      </c>
      <c r="U12" s="679">
        <f>IF('Final Calculation Sheet'!$I$23="","",'Final Calculation Sheet'!$I$23)</f>
        <v/>
      </c>
      <c r="V12" s="544">
        <f>IF('Final Calculation Sheet'!$I$24="","",'Final Calculation Sheet'!$I$24)</f>
        <v/>
      </c>
      <c r="W12" s="679">
        <f>IF('Final Calculation Sheet'!$I$25="","",'Final Calculation Sheet'!$I$25)</f>
        <v/>
      </c>
      <c r="X12" s="544">
        <f>IF('Final Calculation Sheet'!$I$26="","",'Final Calculation Sheet'!$I$26)</f>
        <v/>
      </c>
      <c r="Y12" s="679">
        <f>IF('Final Calculation Sheet'!$I$27="","",'Final Calculation Sheet'!$I$27)</f>
        <v/>
      </c>
      <c r="Z12" s="544">
        <f>IF('Final Calculation Sheet'!$I$28="","",'Final Calculation Sheet'!$I$28)</f>
        <v/>
      </c>
      <c r="AA12" s="679">
        <f>IF('Final Calculation Sheet'!$I$29="","",'Final Calculation Sheet'!$I$29)</f>
        <v/>
      </c>
      <c r="AB12" s="544">
        <f>IF('Final Calculation Sheet'!$I$30="","",'Final Calculation Sheet'!$I$30)</f>
        <v/>
      </c>
      <c r="AC12" s="679">
        <f>IF('Final Calculation Sheet'!$I$31="","",'Final Calculation Sheet'!$I$31)</f>
        <v/>
      </c>
      <c r="AD12" s="544">
        <f>IF('Final Calculation Sheet'!$I$32="","",'Final Calculation Sheet'!$I$32)</f>
        <v/>
      </c>
      <c r="AE12" s="679">
        <f>IF('Final Calculation Sheet'!$I$33="","",'Final Calculation Sheet'!$I$33)</f>
        <v/>
      </c>
      <c r="AF12" s="544">
        <f>IF('Final Calculation Sheet'!$I$34="","",'Final Calculation Sheet'!$I$34)</f>
        <v/>
      </c>
      <c r="AG12" s="679">
        <f>IF('Final Calculation Sheet'!$I$35="","",'Final Calculation Sheet'!$I$35)</f>
        <v/>
      </c>
      <c r="AH12" s="544">
        <f>IF('Final Calculation Sheet'!$I$36="","",'Final Calculation Sheet'!$I$36)</f>
        <v/>
      </c>
      <c r="AI12" s="679">
        <f>IF('Final Calculation Sheet'!$I$37="","",'Final Calculation Sheet'!$I$37)</f>
        <v/>
      </c>
      <c r="AJ12" s="544">
        <f>IF('Final Calculation Sheet'!$I$38="","",'Final Calculation Sheet'!$I$38)</f>
        <v/>
      </c>
      <c r="AK12" s="679">
        <f>IF('Final Calculation Sheet'!$I$39="","",'Final Calculation Sheet'!$I$39)</f>
        <v/>
      </c>
      <c r="AL12" s="544">
        <f>IF('Final Calculation Sheet'!$I$40="","",'Final Calculation Sheet'!$I$40)</f>
        <v/>
      </c>
      <c r="AM12" s="680">
        <f>IF('Final Calculation Sheet'!$I$41="","",'Final Calculation Sheet'!$I$41)</f>
        <v/>
      </c>
    </row>
    <row r="13" ht="15" customHeight="1">
      <c r="A13" s="678" t="inlineStr">
        <is>
          <t>Mat. Value + GST</t>
        </is>
      </c>
      <c r="B13" s="544">
        <f>IF('Final Calculation Sheet'!$J$4="","",'Final Calculation Sheet'!$J$4)</f>
        <v/>
      </c>
      <c r="C13" s="679">
        <f>IF('Final Calculation Sheet'!$J$5="","",'Final Calculation Sheet'!$J$5)</f>
        <v/>
      </c>
      <c r="D13" s="544">
        <f>IF('Final Calculation Sheet'!$J$6="","",'Final Calculation Sheet'!$J$6)</f>
        <v/>
      </c>
      <c r="E13" s="679">
        <f>IF('Final Calculation Sheet'!$J$7="","",'Final Calculation Sheet'!$J$7)</f>
        <v/>
      </c>
      <c r="F13" s="544">
        <f>IF('Final Calculation Sheet'!$J$8="","",'Final Calculation Sheet'!$J$8)</f>
        <v/>
      </c>
      <c r="G13" s="679">
        <f>IF('Final Calculation Sheet'!$J$9="","",'Final Calculation Sheet'!$J$9)</f>
        <v/>
      </c>
      <c r="H13" s="544">
        <f>IF('Final Calculation Sheet'!$J$10="","",'Final Calculation Sheet'!$J$10)</f>
        <v/>
      </c>
      <c r="I13" s="679">
        <f>IF('Final Calculation Sheet'!$J$11="","",'Final Calculation Sheet'!$J$11)</f>
        <v/>
      </c>
      <c r="J13" s="544">
        <f>IF('Final Calculation Sheet'!$J$12="","",'Final Calculation Sheet'!$J$12)</f>
        <v/>
      </c>
      <c r="K13" s="679">
        <f>IF('Final Calculation Sheet'!$J$13="","",'Final Calculation Sheet'!$J$13)</f>
        <v/>
      </c>
      <c r="L13" s="544">
        <f>IF('Final Calculation Sheet'!$J$14="","",'Final Calculation Sheet'!$J$14)</f>
        <v/>
      </c>
      <c r="M13" s="679">
        <f>IF('Final Calculation Sheet'!$J$15="","",'Final Calculation Sheet'!$J$15)</f>
        <v/>
      </c>
      <c r="N13" s="544">
        <f>IF('Final Calculation Sheet'!$J$16="","",'Final Calculation Sheet'!$J$16)</f>
        <v/>
      </c>
      <c r="O13" s="679">
        <f>IF('Final Calculation Sheet'!$J$17="","",'Final Calculation Sheet'!$J$17)</f>
        <v/>
      </c>
      <c r="P13" s="544">
        <f>IF('Final Calculation Sheet'!$J$18="","",'Final Calculation Sheet'!$J$18)</f>
        <v/>
      </c>
      <c r="Q13" s="679">
        <f>IF('Final Calculation Sheet'!$J$19="","",'Final Calculation Sheet'!$J$19)</f>
        <v/>
      </c>
      <c r="R13" s="544">
        <f>IF('Final Calculation Sheet'!$J$20="","",'Final Calculation Sheet'!$J$20)</f>
        <v/>
      </c>
      <c r="S13" s="679">
        <f>IF('Final Calculation Sheet'!$J$21="","",'Final Calculation Sheet'!$J$21)</f>
        <v/>
      </c>
      <c r="T13" s="544">
        <f>IF('Final Calculation Sheet'!$J$22="","",'Final Calculation Sheet'!$J$22)</f>
        <v/>
      </c>
      <c r="U13" s="679">
        <f>IF('Final Calculation Sheet'!$J$23="","",'Final Calculation Sheet'!$J$23)</f>
        <v/>
      </c>
      <c r="V13" s="544">
        <f>IF('Final Calculation Sheet'!$J$24="","",'Final Calculation Sheet'!$J$24)</f>
        <v/>
      </c>
      <c r="W13" s="679">
        <f>IF('Final Calculation Sheet'!$J$25="","",'Final Calculation Sheet'!$J$25)</f>
        <v/>
      </c>
      <c r="X13" s="544">
        <f>IF('Final Calculation Sheet'!$J$26="","",'Final Calculation Sheet'!$J$26)</f>
        <v/>
      </c>
      <c r="Y13" s="679">
        <f>IF('Final Calculation Sheet'!$J$27="","",'Final Calculation Sheet'!$J$27)</f>
        <v/>
      </c>
      <c r="Z13" s="544">
        <f>IF('Final Calculation Sheet'!$J$28="","",'Final Calculation Sheet'!$J$28)</f>
        <v/>
      </c>
      <c r="AA13" s="679">
        <f>IF('Final Calculation Sheet'!$J$29="","",'Final Calculation Sheet'!$J$29)</f>
        <v/>
      </c>
      <c r="AB13" s="544">
        <f>IF('Final Calculation Sheet'!$J$30="","",'Final Calculation Sheet'!$J$30)</f>
        <v/>
      </c>
      <c r="AC13" s="679">
        <f>IF('Final Calculation Sheet'!$J$31="","",'Final Calculation Sheet'!$J$31)</f>
        <v/>
      </c>
      <c r="AD13" s="544">
        <f>IF('Final Calculation Sheet'!$J$32="","",'Final Calculation Sheet'!$J$32)</f>
        <v/>
      </c>
      <c r="AE13" s="679">
        <f>IF('Final Calculation Sheet'!$J$33="","",'Final Calculation Sheet'!$J$33)</f>
        <v/>
      </c>
      <c r="AF13" s="544">
        <f>IF('Final Calculation Sheet'!$J$34="","",'Final Calculation Sheet'!$J$34)</f>
        <v/>
      </c>
      <c r="AG13" s="679">
        <f>IF('Final Calculation Sheet'!$J$35="","",'Final Calculation Sheet'!$J$35)</f>
        <v/>
      </c>
      <c r="AH13" s="544">
        <f>IF('Final Calculation Sheet'!$J$36="","",'Final Calculation Sheet'!$J$36)</f>
        <v/>
      </c>
      <c r="AI13" s="679">
        <f>IF('Final Calculation Sheet'!$J$37="","",'Final Calculation Sheet'!$J$37)</f>
        <v/>
      </c>
      <c r="AJ13" s="544">
        <f>IF('Final Calculation Sheet'!$J$38="","",'Final Calculation Sheet'!$J$38)</f>
        <v/>
      </c>
      <c r="AK13" s="679">
        <f>IF('Final Calculation Sheet'!$J$39="","",'Final Calculation Sheet'!$J$39)</f>
        <v/>
      </c>
      <c r="AL13" s="544">
        <f>IF('Final Calculation Sheet'!$J$40="","",'Final Calculation Sheet'!$J$40)</f>
        <v/>
      </c>
      <c r="AM13" s="680">
        <f>IF('Final Calculation Sheet'!$J$41="","",'Final Calculation Sheet'!$J$41)</f>
        <v/>
      </c>
    </row>
    <row r="14" ht="15" customHeight="1">
      <c r="A14" s="675" t="inlineStr">
        <is>
          <t>TCS</t>
        </is>
      </c>
      <c r="B14" s="544">
        <f>IF('Final Calculation Sheet'!$K$4="","",'Final Calculation Sheet'!$K$4)</f>
        <v/>
      </c>
      <c r="C14" s="679">
        <f>IF('Final Calculation Sheet'!$K$5="","",'Final Calculation Sheet'!$K$5)</f>
        <v/>
      </c>
      <c r="D14" s="544">
        <f>IF('Final Calculation Sheet'!$K$6="","",'Final Calculation Sheet'!$K$6)</f>
        <v/>
      </c>
      <c r="E14" s="679">
        <f>IF('Final Calculation Sheet'!$K$7="","",'Final Calculation Sheet'!$K$7)</f>
        <v/>
      </c>
      <c r="F14" s="544">
        <f>IF('Final Calculation Sheet'!$K$8="","",'Final Calculation Sheet'!$K$8)</f>
        <v/>
      </c>
      <c r="G14" s="679">
        <f>IF('Final Calculation Sheet'!$K$9="","",'Final Calculation Sheet'!$K$9)</f>
        <v/>
      </c>
      <c r="H14" s="544">
        <f>IF('Final Calculation Sheet'!$K$10="","",'Final Calculation Sheet'!$K$10)</f>
        <v/>
      </c>
      <c r="I14" s="679">
        <f>IF('Final Calculation Sheet'!$K$11="","",'Final Calculation Sheet'!$K$11)</f>
        <v/>
      </c>
      <c r="J14" s="544">
        <f>IF('Final Calculation Sheet'!$K$12="","",'Final Calculation Sheet'!$K$12)</f>
        <v/>
      </c>
      <c r="K14" s="679">
        <f>IF('Final Calculation Sheet'!$K$13="","",'Final Calculation Sheet'!$K$13)</f>
        <v/>
      </c>
      <c r="L14" s="544">
        <f>IF('Final Calculation Sheet'!$K$14="","",'Final Calculation Sheet'!$K$14)</f>
        <v/>
      </c>
      <c r="M14" s="679">
        <f>IF('Final Calculation Sheet'!$K$15="","",'Final Calculation Sheet'!$K$15)</f>
        <v/>
      </c>
      <c r="N14" s="544">
        <f>IF('Final Calculation Sheet'!$K$16="","",'Final Calculation Sheet'!$K$16)</f>
        <v/>
      </c>
      <c r="O14" s="679">
        <f>IF('Final Calculation Sheet'!$K$17="","",'Final Calculation Sheet'!$K$17)</f>
        <v/>
      </c>
      <c r="P14" s="544">
        <f>IF('Final Calculation Sheet'!$K$18="","",'Final Calculation Sheet'!$K$18)</f>
        <v/>
      </c>
      <c r="Q14" s="679">
        <f>IF('Final Calculation Sheet'!$K$19="","",'Final Calculation Sheet'!$K$19)</f>
        <v/>
      </c>
      <c r="R14" s="544">
        <f>IF('Final Calculation Sheet'!$K$20="","",'Final Calculation Sheet'!$K$20)</f>
        <v/>
      </c>
      <c r="S14" s="679">
        <f>IF('Final Calculation Sheet'!$K$21="","",'Final Calculation Sheet'!$K$21)</f>
        <v/>
      </c>
      <c r="T14" s="544">
        <f>IF('Final Calculation Sheet'!$K$22="","",'Final Calculation Sheet'!$K$22)</f>
        <v/>
      </c>
      <c r="U14" s="679">
        <f>IF('Final Calculation Sheet'!$K$23="","",'Final Calculation Sheet'!$K$23)</f>
        <v/>
      </c>
      <c r="V14" s="544">
        <f>IF('Final Calculation Sheet'!$K$24="","",'Final Calculation Sheet'!$K$24)</f>
        <v/>
      </c>
      <c r="W14" s="679">
        <f>IF('Final Calculation Sheet'!$K$25="","",'Final Calculation Sheet'!$K$25)</f>
        <v/>
      </c>
      <c r="X14" s="544">
        <f>IF('Final Calculation Sheet'!$K$26="","",'Final Calculation Sheet'!$K$26)</f>
        <v/>
      </c>
      <c r="Y14" s="679">
        <f>IF('Final Calculation Sheet'!$K$27="","",'Final Calculation Sheet'!$K$27)</f>
        <v/>
      </c>
      <c r="Z14" s="544">
        <f>IF('Final Calculation Sheet'!$K$28="","",'Final Calculation Sheet'!$K$28)</f>
        <v/>
      </c>
      <c r="AA14" s="679">
        <f>IF('Final Calculation Sheet'!$K$29="","",'Final Calculation Sheet'!$K$29)</f>
        <v/>
      </c>
      <c r="AB14" s="544">
        <f>IF('Final Calculation Sheet'!$K$30="","",'Final Calculation Sheet'!$K$30)</f>
        <v/>
      </c>
      <c r="AC14" s="679">
        <f>IF('Final Calculation Sheet'!$K$31="","",'Final Calculation Sheet'!$K$31)</f>
        <v/>
      </c>
      <c r="AD14" s="544">
        <f>IF('Final Calculation Sheet'!$K$32="","",'Final Calculation Sheet'!$K$32)</f>
        <v/>
      </c>
      <c r="AE14" s="679">
        <f>IF('Final Calculation Sheet'!$K$33="","",'Final Calculation Sheet'!$K$33)</f>
        <v/>
      </c>
      <c r="AF14" s="544">
        <f>IF('Final Calculation Sheet'!$K$34="","",'Final Calculation Sheet'!$K$34)</f>
        <v/>
      </c>
      <c r="AG14" s="679">
        <f>IF('Final Calculation Sheet'!$K$35="","",'Final Calculation Sheet'!$K$35)</f>
        <v/>
      </c>
      <c r="AH14" s="544">
        <f>IF('Final Calculation Sheet'!$K$36="","",'Final Calculation Sheet'!$K$36)</f>
        <v/>
      </c>
      <c r="AI14" s="679">
        <f>IF('Final Calculation Sheet'!$K$37="","",'Final Calculation Sheet'!$K$37)</f>
        <v/>
      </c>
      <c r="AJ14" s="544">
        <f>IF('Final Calculation Sheet'!$K$38="","",'Final Calculation Sheet'!$K$38)</f>
        <v/>
      </c>
      <c r="AK14" s="679">
        <f>IF('Final Calculation Sheet'!$K$39="","",'Final Calculation Sheet'!$K$39)</f>
        <v/>
      </c>
      <c r="AL14" s="544">
        <f>IF('Final Calculation Sheet'!$K$40="","",'Final Calculation Sheet'!$K$40)</f>
        <v/>
      </c>
      <c r="AM14" s="680">
        <f>IF('Final Calculation Sheet'!$K$41="","",'Final Calculation Sheet'!$K$41)</f>
        <v/>
      </c>
    </row>
    <row r="15" ht="15" customHeight="1">
      <c r="A15" s="678" t="inlineStr">
        <is>
          <t>TDS u/s 194(O)</t>
        </is>
      </c>
      <c r="B15" s="544">
        <f>IF('Final Calculation Sheet'!$L$4="","",'Final Calculation Sheet'!$L$4)</f>
        <v/>
      </c>
      <c r="C15" s="679">
        <f>IF('Final Calculation Sheet'!$L$5="","",'Final Calculation Sheet'!$L$5)</f>
        <v/>
      </c>
      <c r="D15" s="544">
        <f>IF('Final Calculation Sheet'!$L$6="","",'Final Calculation Sheet'!$L$6)</f>
        <v/>
      </c>
      <c r="E15" s="679">
        <f>IF('Final Calculation Sheet'!$L$7="","",'Final Calculation Sheet'!$L$7)</f>
        <v/>
      </c>
      <c r="F15" s="544">
        <f>IF('Final Calculation Sheet'!$L$8="","",'Final Calculation Sheet'!$L$8)</f>
        <v/>
      </c>
      <c r="G15" s="679">
        <f>IF('Final Calculation Sheet'!$L$9="","",'Final Calculation Sheet'!$L$9)</f>
        <v/>
      </c>
      <c r="H15" s="544">
        <f>IF('Final Calculation Sheet'!$L$10="","",'Final Calculation Sheet'!$L$10)</f>
        <v/>
      </c>
      <c r="I15" s="679">
        <f>IF('Final Calculation Sheet'!$L$11="","",'Final Calculation Sheet'!$L$11)</f>
        <v/>
      </c>
      <c r="J15" s="544">
        <f>IF('Final Calculation Sheet'!$L$12="","",'Final Calculation Sheet'!$L$12)</f>
        <v/>
      </c>
      <c r="K15" s="679">
        <f>IF('Final Calculation Sheet'!$L$13="","",'Final Calculation Sheet'!$L$13)</f>
        <v/>
      </c>
      <c r="L15" s="544">
        <f>IF('Final Calculation Sheet'!$L$14="","",'Final Calculation Sheet'!$L$14)</f>
        <v/>
      </c>
      <c r="M15" s="679">
        <f>IF('Final Calculation Sheet'!$L$15="","",'Final Calculation Sheet'!$L$15)</f>
        <v/>
      </c>
      <c r="N15" s="544">
        <f>IF('Final Calculation Sheet'!$L$16="","",'Final Calculation Sheet'!$L$16)</f>
        <v/>
      </c>
      <c r="O15" s="679">
        <f>IF('Final Calculation Sheet'!$L$17="","",'Final Calculation Sheet'!$L$17)</f>
        <v/>
      </c>
      <c r="P15" s="544">
        <f>IF('Final Calculation Sheet'!$L$18="","",'Final Calculation Sheet'!$L$18)</f>
        <v/>
      </c>
      <c r="Q15" s="679">
        <f>IF('Final Calculation Sheet'!$L$19="","",'Final Calculation Sheet'!$L$19)</f>
        <v/>
      </c>
      <c r="R15" s="544">
        <f>IF('Final Calculation Sheet'!$L$20="","",'Final Calculation Sheet'!$L$20)</f>
        <v/>
      </c>
      <c r="S15" s="679">
        <f>IF('Final Calculation Sheet'!$L$21="","",'Final Calculation Sheet'!$L$21)</f>
        <v/>
      </c>
      <c r="T15" s="544">
        <f>IF('Final Calculation Sheet'!$L$22="","",'Final Calculation Sheet'!$L$22)</f>
        <v/>
      </c>
      <c r="U15" s="679">
        <f>IF('Final Calculation Sheet'!$L$23="","",'Final Calculation Sheet'!$L$23)</f>
        <v/>
      </c>
      <c r="V15" s="544">
        <f>IF('Final Calculation Sheet'!$L$24="","",'Final Calculation Sheet'!$L$24)</f>
        <v/>
      </c>
      <c r="W15" s="679">
        <f>IF('Final Calculation Sheet'!$L$25="","",'Final Calculation Sheet'!$L$25)</f>
        <v/>
      </c>
      <c r="X15" s="544">
        <f>IF('Final Calculation Sheet'!$L$26="","",'Final Calculation Sheet'!$L$26)</f>
        <v/>
      </c>
      <c r="Y15" s="679">
        <f>IF('Final Calculation Sheet'!$L$27="","",'Final Calculation Sheet'!$L$27)</f>
        <v/>
      </c>
      <c r="Z15" s="544">
        <f>IF('Final Calculation Sheet'!$L$28="","",'Final Calculation Sheet'!$L$28)</f>
        <v/>
      </c>
      <c r="AA15" s="679">
        <f>IF('Final Calculation Sheet'!$L$29="","",'Final Calculation Sheet'!$L$29)</f>
        <v/>
      </c>
      <c r="AB15" s="544">
        <f>IF('Final Calculation Sheet'!$L$30="","",'Final Calculation Sheet'!$L$30)</f>
        <v/>
      </c>
      <c r="AC15" s="679">
        <f>IF('Final Calculation Sheet'!$L$31="","",'Final Calculation Sheet'!$L$31)</f>
        <v/>
      </c>
      <c r="AD15" s="544">
        <f>IF('Final Calculation Sheet'!$L$32="","",'Final Calculation Sheet'!$L$32)</f>
        <v/>
      </c>
      <c r="AE15" s="679">
        <f>IF('Final Calculation Sheet'!$L$33="","",'Final Calculation Sheet'!$L$33)</f>
        <v/>
      </c>
      <c r="AF15" s="544">
        <f>IF('Final Calculation Sheet'!$L$34="","",'Final Calculation Sheet'!$L$34)</f>
        <v/>
      </c>
      <c r="AG15" s="679">
        <f>IF('Final Calculation Sheet'!$L$35="","",'Final Calculation Sheet'!$L$35)</f>
        <v/>
      </c>
      <c r="AH15" s="544">
        <f>IF('Final Calculation Sheet'!$L$36="","",'Final Calculation Sheet'!$L$36)</f>
        <v/>
      </c>
      <c r="AI15" s="679">
        <f>IF('Final Calculation Sheet'!$L$37="","",'Final Calculation Sheet'!$L$37)</f>
        <v/>
      </c>
      <c r="AJ15" s="544">
        <f>IF('Final Calculation Sheet'!$L$38="","",'Final Calculation Sheet'!$L$38)</f>
        <v/>
      </c>
      <c r="AK15" s="679">
        <f>IF('Final Calculation Sheet'!$L$39="","",'Final Calculation Sheet'!$L$39)</f>
        <v/>
      </c>
      <c r="AL15" s="544">
        <f>IF('Final Calculation Sheet'!$L$40="","",'Final Calculation Sheet'!$L$40)</f>
        <v/>
      </c>
      <c r="AM15" s="680">
        <f>IF('Final Calculation Sheet'!$L$41="","",'Final Calculation Sheet'!$L$41)</f>
        <v/>
      </c>
    </row>
    <row r="16" ht="15" customHeight="1">
      <c r="A16" s="675" t="inlineStr">
        <is>
          <t>Service Charge to MSTC</t>
        </is>
      </c>
      <c r="B16" s="544">
        <f>IF('Final Calculation Sheet'!$M$4="","",'Final Calculation Sheet'!$M$4)</f>
        <v/>
      </c>
      <c r="C16" s="679">
        <f>IF('Final Calculation Sheet'!$M$5="","",'Final Calculation Sheet'!$M$5)</f>
        <v/>
      </c>
      <c r="D16" s="544">
        <f>IF('Final Calculation Sheet'!$M$6="","",'Final Calculation Sheet'!$M$6)</f>
        <v/>
      </c>
      <c r="E16" s="679">
        <f>IF('Final Calculation Sheet'!$M$7="","",'Final Calculation Sheet'!$M$7)</f>
        <v/>
      </c>
      <c r="F16" s="544">
        <f>IF('Final Calculation Sheet'!$M$8="","",'Final Calculation Sheet'!$M$8)</f>
        <v/>
      </c>
      <c r="G16" s="679">
        <f>IF('Final Calculation Sheet'!$M$9="","",'Final Calculation Sheet'!$M$9)</f>
        <v/>
      </c>
      <c r="H16" s="544">
        <f>IF('Final Calculation Sheet'!$M$10="","",'Final Calculation Sheet'!$M$10)</f>
        <v/>
      </c>
      <c r="I16" s="679">
        <f>IF('Final Calculation Sheet'!$M$11="","",'Final Calculation Sheet'!$M$11)</f>
        <v/>
      </c>
      <c r="J16" s="544">
        <f>IF('Final Calculation Sheet'!$M$12="","",'Final Calculation Sheet'!$M$12)</f>
        <v/>
      </c>
      <c r="K16" s="679">
        <f>IF('Final Calculation Sheet'!$M$13="","",'Final Calculation Sheet'!$M$13)</f>
        <v/>
      </c>
      <c r="L16" s="544">
        <f>IF('Final Calculation Sheet'!$M$14="","",'Final Calculation Sheet'!$M$14)</f>
        <v/>
      </c>
      <c r="M16" s="679">
        <f>IF('Final Calculation Sheet'!$M$15="","",'Final Calculation Sheet'!$M$15)</f>
        <v/>
      </c>
      <c r="N16" s="544">
        <f>IF('Final Calculation Sheet'!$M$16="","",'Final Calculation Sheet'!$M$16)</f>
        <v/>
      </c>
      <c r="O16" s="679">
        <f>IF('Final Calculation Sheet'!$M$17="","",'Final Calculation Sheet'!$M$17)</f>
        <v/>
      </c>
      <c r="P16" s="544">
        <f>IF('Final Calculation Sheet'!$M$18="","",'Final Calculation Sheet'!$M$18)</f>
        <v/>
      </c>
      <c r="Q16" s="679">
        <f>IF('Final Calculation Sheet'!$M$19="","",'Final Calculation Sheet'!$M$19)</f>
        <v/>
      </c>
      <c r="R16" s="544">
        <f>IF('Final Calculation Sheet'!$M$20="","",'Final Calculation Sheet'!$M$20)</f>
        <v/>
      </c>
      <c r="S16" s="679">
        <f>IF('Final Calculation Sheet'!$M$21="","",'Final Calculation Sheet'!$M$21)</f>
        <v/>
      </c>
      <c r="T16" s="544">
        <f>IF('Final Calculation Sheet'!$M$22="","",'Final Calculation Sheet'!$M$22)</f>
        <v/>
      </c>
      <c r="U16" s="679">
        <f>IF('Final Calculation Sheet'!$M$23="","",'Final Calculation Sheet'!$M$23)</f>
        <v/>
      </c>
      <c r="V16" s="544">
        <f>IF('Final Calculation Sheet'!$M$24="","",'Final Calculation Sheet'!$M$24)</f>
        <v/>
      </c>
      <c r="W16" s="679">
        <f>IF('Final Calculation Sheet'!$M$25="","",'Final Calculation Sheet'!$M$25)</f>
        <v/>
      </c>
      <c r="X16" s="544">
        <f>IF('Final Calculation Sheet'!$M$26="","",'Final Calculation Sheet'!$M$26)</f>
        <v/>
      </c>
      <c r="Y16" s="679">
        <f>IF('Final Calculation Sheet'!$M$27="","",'Final Calculation Sheet'!$M$27)</f>
        <v/>
      </c>
      <c r="Z16" s="544">
        <f>IF('Final Calculation Sheet'!$M$28="","",'Final Calculation Sheet'!$M$28)</f>
        <v/>
      </c>
      <c r="AA16" s="679">
        <f>IF('Final Calculation Sheet'!$M$29="","",'Final Calculation Sheet'!$M$29)</f>
        <v/>
      </c>
      <c r="AB16" s="544">
        <f>IF('Final Calculation Sheet'!$M$30="","",'Final Calculation Sheet'!$M$30)</f>
        <v/>
      </c>
      <c r="AC16" s="679">
        <f>IF('Final Calculation Sheet'!$M$31="","",'Final Calculation Sheet'!$M$31)</f>
        <v/>
      </c>
      <c r="AD16" s="544">
        <f>IF('Final Calculation Sheet'!$M$32="","",'Final Calculation Sheet'!$M$32)</f>
        <v/>
      </c>
      <c r="AE16" s="679">
        <f>IF('Final Calculation Sheet'!$M$33="","",'Final Calculation Sheet'!$M$33)</f>
        <v/>
      </c>
      <c r="AF16" s="544">
        <f>IF('Final Calculation Sheet'!$M$34="","",'Final Calculation Sheet'!$M$34)</f>
        <v/>
      </c>
      <c r="AG16" s="679">
        <f>IF('Final Calculation Sheet'!$M$35="","",'Final Calculation Sheet'!$M$35)</f>
        <v/>
      </c>
      <c r="AH16" s="544">
        <f>IF('Final Calculation Sheet'!$M$36="","",'Final Calculation Sheet'!$M$36)</f>
        <v/>
      </c>
      <c r="AI16" s="679">
        <f>IF('Final Calculation Sheet'!$M$37="","",'Final Calculation Sheet'!$M$37)</f>
        <v/>
      </c>
      <c r="AJ16" s="544">
        <f>IF('Final Calculation Sheet'!$M$38="","",'Final Calculation Sheet'!$M$38)</f>
        <v/>
      </c>
      <c r="AK16" s="679">
        <f>IF('Final Calculation Sheet'!$M$39="","",'Final Calculation Sheet'!$M$39)</f>
        <v/>
      </c>
      <c r="AL16" s="544">
        <f>IF('Final Calculation Sheet'!$M$40="","",'Final Calculation Sheet'!$M$40)</f>
        <v/>
      </c>
      <c r="AM16" s="680">
        <f>IF('Final Calculation Sheet'!$M$41="","",'Final Calculation Sheet'!$M$41)</f>
        <v/>
      </c>
    </row>
    <row r="17" ht="15" customHeight="1">
      <c r="A17" s="678" t="inlineStr">
        <is>
          <t>TDS u/s 194(H)</t>
        </is>
      </c>
      <c r="B17" s="547">
        <f>IF('Final Calculation Sheet'!$N$4="","",'Final Calculation Sheet'!$N$4)</f>
        <v/>
      </c>
      <c r="C17" s="681">
        <f>IF('Final Calculation Sheet'!$N$5="","",'Final Calculation Sheet'!$N$5)</f>
        <v/>
      </c>
      <c r="D17" s="547">
        <f>IF('Final Calculation Sheet'!$N$6="","",'Final Calculation Sheet'!$N$6)</f>
        <v/>
      </c>
      <c r="E17" s="681">
        <f>IF('Final Calculation Sheet'!$N$7="","",'Final Calculation Sheet'!$N$7)</f>
        <v/>
      </c>
      <c r="F17" s="547">
        <f>IF('Final Calculation Sheet'!$N$8="","",'Final Calculation Sheet'!$N$8)</f>
        <v/>
      </c>
      <c r="G17" s="681">
        <f>IF('Final Calculation Sheet'!$N$9="","",'Final Calculation Sheet'!$N$9)</f>
        <v/>
      </c>
      <c r="H17" s="547">
        <f>IF('Final Calculation Sheet'!$N$10="","",'Final Calculation Sheet'!$N$10)</f>
        <v/>
      </c>
      <c r="I17" s="681">
        <f>IF('Final Calculation Sheet'!$N$11="","",'Final Calculation Sheet'!$N$11)</f>
        <v/>
      </c>
      <c r="J17" s="547">
        <f>IF('Final Calculation Sheet'!$N$12="","",'Final Calculation Sheet'!$N$12)</f>
        <v/>
      </c>
      <c r="K17" s="681">
        <f>IF('Final Calculation Sheet'!$N$13="","",'Final Calculation Sheet'!$N$13)</f>
        <v/>
      </c>
      <c r="L17" s="547">
        <f>IF('Final Calculation Sheet'!$N$14="","",'Final Calculation Sheet'!$N$14)</f>
        <v/>
      </c>
      <c r="M17" s="681">
        <f>IF('Final Calculation Sheet'!$N$15="","",'Final Calculation Sheet'!$N$15)</f>
        <v/>
      </c>
      <c r="N17" s="547">
        <f>IF('Final Calculation Sheet'!$N$16="","",'Final Calculation Sheet'!$N$16)</f>
        <v/>
      </c>
      <c r="O17" s="681">
        <f>IF('Final Calculation Sheet'!$N$17="","",'Final Calculation Sheet'!$N$17)</f>
        <v/>
      </c>
      <c r="P17" s="547">
        <f>IF('Final Calculation Sheet'!$N$18="","",'Final Calculation Sheet'!$N$18)</f>
        <v/>
      </c>
      <c r="Q17" s="681">
        <f>IF('Final Calculation Sheet'!$N$19="","",'Final Calculation Sheet'!$N$19)</f>
        <v/>
      </c>
      <c r="R17" s="547">
        <f>IF('Final Calculation Sheet'!$N$20="","",'Final Calculation Sheet'!$N$20)</f>
        <v/>
      </c>
      <c r="S17" s="681">
        <f>IF('Final Calculation Sheet'!$N$21="","",'Final Calculation Sheet'!$N$21)</f>
        <v/>
      </c>
      <c r="T17" s="547">
        <f>IF('Final Calculation Sheet'!$N$22="","",'Final Calculation Sheet'!$N$22)</f>
        <v/>
      </c>
      <c r="U17" s="681">
        <f>IF('Final Calculation Sheet'!$N$23="","",'Final Calculation Sheet'!$N$23)</f>
        <v/>
      </c>
      <c r="V17" s="547">
        <f>IF('Final Calculation Sheet'!$N$24="","",'Final Calculation Sheet'!$N$24)</f>
        <v/>
      </c>
      <c r="W17" s="681">
        <f>IF('Final Calculation Sheet'!$N$25="","",'Final Calculation Sheet'!$N$25)</f>
        <v/>
      </c>
      <c r="X17" s="547">
        <f>IF('Final Calculation Sheet'!$N$26="","",'Final Calculation Sheet'!$N$26)</f>
        <v/>
      </c>
      <c r="Y17" s="681">
        <f>IF('Final Calculation Sheet'!$N$27="","",'Final Calculation Sheet'!$N$27)</f>
        <v/>
      </c>
      <c r="Z17" s="547">
        <f>IF('Final Calculation Sheet'!$N$28="","",'Final Calculation Sheet'!$N$28)</f>
        <v/>
      </c>
      <c r="AA17" s="681">
        <f>IF('Final Calculation Sheet'!$N$29="","",'Final Calculation Sheet'!$N$29)</f>
        <v/>
      </c>
      <c r="AB17" s="547">
        <f>IF('Final Calculation Sheet'!$N$30="","",'Final Calculation Sheet'!$N$30)</f>
        <v/>
      </c>
      <c r="AC17" s="681">
        <f>IF('Final Calculation Sheet'!$N$31="","",'Final Calculation Sheet'!$N$31)</f>
        <v/>
      </c>
      <c r="AD17" s="547">
        <f>IF('Final Calculation Sheet'!$N$32="","",'Final Calculation Sheet'!$N$32)</f>
        <v/>
      </c>
      <c r="AE17" s="681">
        <f>IF('Final Calculation Sheet'!$N$33="","",'Final Calculation Sheet'!$N$33)</f>
        <v/>
      </c>
      <c r="AF17" s="547">
        <f>IF('Final Calculation Sheet'!$N$34="","",'Final Calculation Sheet'!$N$34)</f>
        <v/>
      </c>
      <c r="AG17" s="681">
        <f>IF('Final Calculation Sheet'!$N$35="","",'Final Calculation Sheet'!$N$35)</f>
        <v/>
      </c>
      <c r="AH17" s="547">
        <f>IF('Final Calculation Sheet'!$N$36="","",'Final Calculation Sheet'!$N$36)</f>
        <v/>
      </c>
      <c r="AI17" s="681">
        <f>IF('Final Calculation Sheet'!$N$37="","",'Final Calculation Sheet'!$N$37)</f>
        <v/>
      </c>
      <c r="AJ17" s="547">
        <f>IF('Final Calculation Sheet'!$N$38="","",'Final Calculation Sheet'!$N$38)</f>
        <v/>
      </c>
      <c r="AK17" s="681">
        <f>IF('Final Calculation Sheet'!$N$39="","",'Final Calculation Sheet'!$N$39)</f>
        <v/>
      </c>
      <c r="AL17" s="547">
        <f>IF('Final Calculation Sheet'!$N$40="","",'Final Calculation Sheet'!$N$40)</f>
        <v/>
      </c>
      <c r="AM17" s="682">
        <f>IF('Final Calculation Sheet'!$N$41="","",'Final Calculation Sheet'!$N$41)</f>
        <v/>
      </c>
    </row>
    <row r="18" ht="15" customHeight="1">
      <c r="A18" s="675" t="inlineStr">
        <is>
          <t>Net Service Charge (post TDS 194H)</t>
        </is>
      </c>
      <c r="B18" s="544">
        <f>IF('Final Calculation Sheet'!$O$4="","",'Final Calculation Sheet'!$O$4)</f>
        <v/>
      </c>
      <c r="C18" s="679">
        <f>IF('Final Calculation Sheet'!$O$5="","",'Final Calculation Sheet'!$O$5)</f>
        <v/>
      </c>
      <c r="D18" s="544">
        <f>IF('Final Calculation Sheet'!$O$6="","",'Final Calculation Sheet'!$O$6)</f>
        <v/>
      </c>
      <c r="E18" s="679">
        <f>IF('Final Calculation Sheet'!$O$7="","",'Final Calculation Sheet'!$O$7)</f>
        <v/>
      </c>
      <c r="F18" s="544">
        <f>IF('Final Calculation Sheet'!$O$8="","",'Final Calculation Sheet'!$O$8)</f>
        <v/>
      </c>
      <c r="G18" s="679">
        <f>IF('Final Calculation Sheet'!$O$9="","",'Final Calculation Sheet'!$O$9)</f>
        <v/>
      </c>
      <c r="H18" s="544">
        <f>IF('Final Calculation Sheet'!$O$10="","",'Final Calculation Sheet'!$O$10)</f>
        <v/>
      </c>
      <c r="I18" s="679">
        <f>IF('Final Calculation Sheet'!$O$11="","",'Final Calculation Sheet'!$O$11)</f>
        <v/>
      </c>
      <c r="J18" s="544">
        <f>IF('Final Calculation Sheet'!$O$12="","",'Final Calculation Sheet'!$O$12)</f>
        <v/>
      </c>
      <c r="K18" s="679">
        <f>IF('Final Calculation Sheet'!$O$13="","",'Final Calculation Sheet'!$O$13)</f>
        <v/>
      </c>
      <c r="L18" s="544">
        <f>IF('Final Calculation Sheet'!$O$14="","",'Final Calculation Sheet'!$O$14)</f>
        <v/>
      </c>
      <c r="M18" s="679">
        <f>IF('Final Calculation Sheet'!$O$15="","",'Final Calculation Sheet'!$O$15)</f>
        <v/>
      </c>
      <c r="N18" s="544">
        <f>IF('Final Calculation Sheet'!$O$16="","",'Final Calculation Sheet'!$O$16)</f>
        <v/>
      </c>
      <c r="O18" s="679">
        <f>IF('Final Calculation Sheet'!$O$17="","",'Final Calculation Sheet'!$O$17)</f>
        <v/>
      </c>
      <c r="P18" s="544">
        <f>IF('Final Calculation Sheet'!$O$18="","",'Final Calculation Sheet'!$O$18)</f>
        <v/>
      </c>
      <c r="Q18" s="679">
        <f>IF('Final Calculation Sheet'!$O$19="","",'Final Calculation Sheet'!$O$19)</f>
        <v/>
      </c>
      <c r="R18" s="544">
        <f>IF('Final Calculation Sheet'!$O$20="","",'Final Calculation Sheet'!$O$20)</f>
        <v/>
      </c>
      <c r="S18" s="679">
        <f>IF('Final Calculation Sheet'!$O$21="","",'Final Calculation Sheet'!$O$21)</f>
        <v/>
      </c>
      <c r="T18" s="544">
        <f>IF('Final Calculation Sheet'!$O$22="","",'Final Calculation Sheet'!$O$22)</f>
        <v/>
      </c>
      <c r="U18" s="679">
        <f>IF('Final Calculation Sheet'!$O$23="","",'Final Calculation Sheet'!$O$23)</f>
        <v/>
      </c>
      <c r="V18" s="544">
        <f>IF('Final Calculation Sheet'!$O$24="","",'Final Calculation Sheet'!$O$24)</f>
        <v/>
      </c>
      <c r="W18" s="679">
        <f>IF('Final Calculation Sheet'!$O$25="","",'Final Calculation Sheet'!$O$25)</f>
        <v/>
      </c>
      <c r="X18" s="544">
        <f>IF('Final Calculation Sheet'!$O$26="","",'Final Calculation Sheet'!$O$26)</f>
        <v/>
      </c>
      <c r="Y18" s="679">
        <f>IF('Final Calculation Sheet'!$O$27="","",'Final Calculation Sheet'!$O$27)</f>
        <v/>
      </c>
      <c r="Z18" s="544">
        <f>IF('Final Calculation Sheet'!$O$28="","",'Final Calculation Sheet'!$O$28)</f>
        <v/>
      </c>
      <c r="AA18" s="679">
        <f>IF('Final Calculation Sheet'!$O$29="","",'Final Calculation Sheet'!$O$29)</f>
        <v/>
      </c>
      <c r="AB18" s="544">
        <f>IF('Final Calculation Sheet'!$O$30="","",'Final Calculation Sheet'!$O$30)</f>
        <v/>
      </c>
      <c r="AC18" s="679">
        <f>IF('Final Calculation Sheet'!$O$31="","",'Final Calculation Sheet'!$O$31)</f>
        <v/>
      </c>
      <c r="AD18" s="544">
        <f>IF('Final Calculation Sheet'!$O$32="","",'Final Calculation Sheet'!$O$32)</f>
        <v/>
      </c>
      <c r="AE18" s="679">
        <f>IF('Final Calculation Sheet'!$O$33="","",'Final Calculation Sheet'!$O$33)</f>
        <v/>
      </c>
      <c r="AF18" s="544">
        <f>IF('Final Calculation Sheet'!$O$34="","",'Final Calculation Sheet'!$O$34)</f>
        <v/>
      </c>
      <c r="AG18" s="679">
        <f>IF('Final Calculation Sheet'!$O$35="","",'Final Calculation Sheet'!$O$35)</f>
        <v/>
      </c>
      <c r="AH18" s="544">
        <f>IF('Final Calculation Sheet'!$O$36="","",'Final Calculation Sheet'!$O$36)</f>
        <v/>
      </c>
      <c r="AI18" s="679">
        <f>IF('Final Calculation Sheet'!$O$37="","",'Final Calculation Sheet'!$O$37)</f>
        <v/>
      </c>
      <c r="AJ18" s="544">
        <f>IF('Final Calculation Sheet'!$O$38="","",'Final Calculation Sheet'!$O$38)</f>
        <v/>
      </c>
      <c r="AK18" s="679">
        <f>IF('Final Calculation Sheet'!$O$39="","",'Final Calculation Sheet'!$O$39)</f>
        <v/>
      </c>
      <c r="AL18" s="544">
        <f>IF('Final Calculation Sheet'!$O$40="","",'Final Calculation Sheet'!$O$40)</f>
        <v/>
      </c>
      <c r="AM18" s="680">
        <f>IF('Final Calculation Sheet'!$O$41="","",'Final Calculation Sheet'!$O$41)</f>
        <v/>
      </c>
    </row>
    <row r="19" ht="15" customHeight="1">
      <c r="A19" s="678" t="inlineStr">
        <is>
          <t>Service charge to MSTC</t>
        </is>
      </c>
      <c r="B19" s="544">
        <f>IF('Final Calculation Sheet'!$P$4="","",'Final Calculation Sheet'!$P$4)</f>
        <v/>
      </c>
      <c r="C19" s="679">
        <f>IF('Final Calculation Sheet'!$P$5="","",'Final Calculation Sheet'!$P$5)</f>
        <v/>
      </c>
      <c r="D19" s="544">
        <f>IF('Final Calculation Sheet'!$P$6="","",'Final Calculation Sheet'!$P$6)</f>
        <v/>
      </c>
      <c r="E19" s="679">
        <f>IF('Final Calculation Sheet'!$P$7="","",'Final Calculation Sheet'!$P$7)</f>
        <v/>
      </c>
      <c r="F19" s="544">
        <f>IF('Final Calculation Sheet'!$P$8="","",'Final Calculation Sheet'!$P$8)</f>
        <v/>
      </c>
      <c r="G19" s="679">
        <f>IF('Final Calculation Sheet'!$P$9="","",'Final Calculation Sheet'!$P$9)</f>
        <v/>
      </c>
      <c r="H19" s="544">
        <f>IF('Final Calculation Sheet'!$P$10="","",'Final Calculation Sheet'!$P$10)</f>
        <v/>
      </c>
      <c r="I19" s="679">
        <f>IF('Final Calculation Sheet'!$P$11="","",'Final Calculation Sheet'!$P$11)</f>
        <v/>
      </c>
      <c r="J19" s="544">
        <f>IF('Final Calculation Sheet'!$P$12="","",'Final Calculation Sheet'!$P$12)</f>
        <v/>
      </c>
      <c r="K19" s="679">
        <f>IF('Final Calculation Sheet'!$P$13="","",'Final Calculation Sheet'!$P$13)</f>
        <v/>
      </c>
      <c r="L19" s="544">
        <f>IF('Final Calculation Sheet'!$P$14="","",'Final Calculation Sheet'!$P$14)</f>
        <v/>
      </c>
      <c r="M19" s="679">
        <f>IF('Final Calculation Sheet'!$P$15="","",'Final Calculation Sheet'!$P$15)</f>
        <v/>
      </c>
      <c r="N19" s="544">
        <f>IF('Final Calculation Sheet'!$P$16="","",'Final Calculation Sheet'!$P$16)</f>
        <v/>
      </c>
      <c r="O19" s="679">
        <f>IF('Final Calculation Sheet'!$P$17="","",'Final Calculation Sheet'!$P$17)</f>
        <v/>
      </c>
      <c r="P19" s="544">
        <f>IF('Final Calculation Sheet'!$P$18="","",'Final Calculation Sheet'!$P$18)</f>
        <v/>
      </c>
      <c r="Q19" s="679">
        <f>IF('Final Calculation Sheet'!$P$19="","",'Final Calculation Sheet'!$P$19)</f>
        <v/>
      </c>
      <c r="R19" s="544">
        <f>IF('Final Calculation Sheet'!$P$20="","",'Final Calculation Sheet'!$P$20)</f>
        <v/>
      </c>
      <c r="S19" s="679">
        <f>IF('Final Calculation Sheet'!$P$21="","",'Final Calculation Sheet'!$P$21)</f>
        <v/>
      </c>
      <c r="T19" s="544">
        <f>IF('Final Calculation Sheet'!$P$22="","",'Final Calculation Sheet'!$P$22)</f>
        <v/>
      </c>
      <c r="U19" s="679">
        <f>IF('Final Calculation Sheet'!$P$23="","",'Final Calculation Sheet'!$P$23)</f>
        <v/>
      </c>
      <c r="V19" s="544">
        <f>IF('Final Calculation Sheet'!$P$24="","",'Final Calculation Sheet'!$P$24)</f>
        <v/>
      </c>
      <c r="W19" s="679">
        <f>IF('Final Calculation Sheet'!$P$25="","",'Final Calculation Sheet'!$P$25)</f>
        <v/>
      </c>
      <c r="X19" s="544">
        <f>IF('Final Calculation Sheet'!$P$26="","",'Final Calculation Sheet'!$P$26)</f>
        <v/>
      </c>
      <c r="Y19" s="679">
        <f>IF('Final Calculation Sheet'!$P$27="","",'Final Calculation Sheet'!$P$27)</f>
        <v/>
      </c>
      <c r="Z19" s="544">
        <f>IF('Final Calculation Sheet'!$P$28="","",'Final Calculation Sheet'!$P$28)</f>
        <v/>
      </c>
      <c r="AA19" s="679">
        <f>IF('Final Calculation Sheet'!$P$29="","",'Final Calculation Sheet'!$P$29)</f>
        <v/>
      </c>
      <c r="AB19" s="544">
        <f>IF('Final Calculation Sheet'!$P$30="","",'Final Calculation Sheet'!$P$30)</f>
        <v/>
      </c>
      <c r="AC19" s="679">
        <f>IF('Final Calculation Sheet'!$P$31="","",'Final Calculation Sheet'!$P$31)</f>
        <v/>
      </c>
      <c r="AD19" s="544">
        <f>IF('Final Calculation Sheet'!$P$32="","",'Final Calculation Sheet'!$P$32)</f>
        <v/>
      </c>
      <c r="AE19" s="679">
        <f>IF('Final Calculation Sheet'!$P$33="","",'Final Calculation Sheet'!$P$33)</f>
        <v/>
      </c>
      <c r="AF19" s="544">
        <f>IF('Final Calculation Sheet'!$P$34="","",'Final Calculation Sheet'!$P$34)</f>
        <v/>
      </c>
      <c r="AG19" s="679">
        <f>IF('Final Calculation Sheet'!$P$35="","",'Final Calculation Sheet'!$P$35)</f>
        <v/>
      </c>
      <c r="AH19" s="544">
        <f>IF('Final Calculation Sheet'!$P$36="","",'Final Calculation Sheet'!$P$36)</f>
        <v/>
      </c>
      <c r="AI19" s="679">
        <f>IF('Final Calculation Sheet'!$P$37="","",'Final Calculation Sheet'!$P$37)</f>
        <v/>
      </c>
      <c r="AJ19" s="544">
        <f>IF('Final Calculation Sheet'!$P$38="","",'Final Calculation Sheet'!$P$38)</f>
        <v/>
      </c>
      <c r="AK19" s="679">
        <f>IF('Final Calculation Sheet'!$P$39="","",'Final Calculation Sheet'!$P$39)</f>
        <v/>
      </c>
      <c r="AL19" s="544">
        <f>IF('Final Calculation Sheet'!$P$40="","",'Final Calculation Sheet'!$P$40)</f>
        <v/>
      </c>
      <c r="AM19" s="680">
        <f>IF('Final Calculation Sheet'!$P$41="","",'Final Calculation Sheet'!$P$41)</f>
        <v/>
      </c>
    </row>
    <row r="20" ht="15" customHeight="1">
      <c r="A20" s="675" t="inlineStr">
        <is>
          <t>GST TDS Rate</t>
        </is>
      </c>
      <c r="B20" s="549">
        <f>IF('Final Calculation Sheet'!$Q$4="","",'Final Calculation Sheet'!$Q$4)</f>
        <v/>
      </c>
      <c r="C20" s="683">
        <f>IF('Final Calculation Sheet'!$Q$5="","",'Final Calculation Sheet'!$Q$5)</f>
        <v/>
      </c>
      <c r="D20" s="549">
        <f>IF('Final Calculation Sheet'!$Q$6="","",'Final Calculation Sheet'!$Q$6)</f>
        <v/>
      </c>
      <c r="E20" s="683">
        <f>IF('Final Calculation Sheet'!$Q$7="","",'Final Calculation Sheet'!$Q$7)</f>
        <v/>
      </c>
      <c r="F20" s="549">
        <f>IF('Final Calculation Sheet'!$Q$8="","",'Final Calculation Sheet'!$Q$8)</f>
        <v/>
      </c>
      <c r="G20" s="683">
        <f>IF('Final Calculation Sheet'!$Q$9="","",'Final Calculation Sheet'!$Q$9)</f>
        <v/>
      </c>
      <c r="H20" s="549">
        <f>IF('Final Calculation Sheet'!$Q$10="","",'Final Calculation Sheet'!$Q$10)</f>
        <v/>
      </c>
      <c r="I20" s="683">
        <f>IF('Final Calculation Sheet'!$Q$11="","",'Final Calculation Sheet'!$Q$11)</f>
        <v/>
      </c>
      <c r="J20" s="549">
        <f>IF('Final Calculation Sheet'!$Q$12="","",'Final Calculation Sheet'!$Q$12)</f>
        <v/>
      </c>
      <c r="K20" s="683">
        <f>IF('Final Calculation Sheet'!$Q$13="","",'Final Calculation Sheet'!$Q$13)</f>
        <v/>
      </c>
      <c r="L20" s="549">
        <f>IF('Final Calculation Sheet'!$Q$14="","",'Final Calculation Sheet'!$Q$14)</f>
        <v/>
      </c>
      <c r="M20" s="683">
        <f>IF('Final Calculation Sheet'!$Q$15="","",'Final Calculation Sheet'!$Q$15)</f>
        <v/>
      </c>
      <c r="N20" s="549">
        <f>IF('Final Calculation Sheet'!$Q$16="","",'Final Calculation Sheet'!$Q$16)</f>
        <v/>
      </c>
      <c r="O20" s="683">
        <f>IF('Final Calculation Sheet'!$Q$17="","",'Final Calculation Sheet'!$Q$17)</f>
        <v/>
      </c>
      <c r="P20" s="549">
        <f>IF('Final Calculation Sheet'!$Q$18="","",'Final Calculation Sheet'!$Q$18)</f>
        <v/>
      </c>
      <c r="Q20" s="683">
        <f>IF('Final Calculation Sheet'!$Q$19="","",'Final Calculation Sheet'!$Q$19)</f>
        <v/>
      </c>
      <c r="R20" s="549">
        <f>IF('Final Calculation Sheet'!$Q$20="","",'Final Calculation Sheet'!$Q$20)</f>
        <v/>
      </c>
      <c r="S20" s="683">
        <f>IF('Final Calculation Sheet'!$Q$21="","",'Final Calculation Sheet'!$Q$21)</f>
        <v/>
      </c>
      <c r="T20" s="549">
        <f>IF('Final Calculation Sheet'!$Q$22="","",'Final Calculation Sheet'!$Q$22)</f>
        <v/>
      </c>
      <c r="U20" s="683">
        <f>IF('Final Calculation Sheet'!$Q$23="","",'Final Calculation Sheet'!$Q$23)</f>
        <v/>
      </c>
      <c r="V20" s="549">
        <f>IF('Final Calculation Sheet'!$Q$24="","",'Final Calculation Sheet'!$Q$24)</f>
        <v/>
      </c>
      <c r="W20" s="683">
        <f>IF('Final Calculation Sheet'!$Q$25="","",'Final Calculation Sheet'!$Q$25)</f>
        <v/>
      </c>
      <c r="X20" s="549">
        <f>IF('Final Calculation Sheet'!$Q$26="","",'Final Calculation Sheet'!$Q$26)</f>
        <v/>
      </c>
      <c r="Y20" s="683">
        <f>IF('Final Calculation Sheet'!$Q$27="","",'Final Calculation Sheet'!$Q$27)</f>
        <v/>
      </c>
      <c r="Z20" s="549">
        <f>IF('Final Calculation Sheet'!$Q$28="","",'Final Calculation Sheet'!$Q$28)</f>
        <v/>
      </c>
      <c r="AA20" s="683">
        <f>IF('Final Calculation Sheet'!$Q$29="","",'Final Calculation Sheet'!$Q$29)</f>
        <v/>
      </c>
      <c r="AB20" s="549">
        <f>IF('Final Calculation Sheet'!$Q$30="","",'Final Calculation Sheet'!$Q$30)</f>
        <v/>
      </c>
      <c r="AC20" s="683">
        <f>IF('Final Calculation Sheet'!$Q$31="","",'Final Calculation Sheet'!$Q$31)</f>
        <v/>
      </c>
      <c r="AD20" s="549">
        <f>IF('Final Calculation Sheet'!$Q$32="","",'Final Calculation Sheet'!$Q$32)</f>
        <v/>
      </c>
      <c r="AE20" s="683">
        <f>IF('Final Calculation Sheet'!$Q$33="","",'Final Calculation Sheet'!$Q$33)</f>
        <v/>
      </c>
      <c r="AF20" s="549">
        <f>IF('Final Calculation Sheet'!$Q$34="","",'Final Calculation Sheet'!$Q$34)</f>
        <v/>
      </c>
      <c r="AG20" s="683">
        <f>IF('Final Calculation Sheet'!$Q$35="","",'Final Calculation Sheet'!$Q$35)</f>
        <v/>
      </c>
      <c r="AH20" s="549">
        <f>IF('Final Calculation Sheet'!$Q$36="","",'Final Calculation Sheet'!$Q$36)</f>
        <v/>
      </c>
      <c r="AI20" s="683">
        <f>IF('Final Calculation Sheet'!$Q$37="","",'Final Calculation Sheet'!$Q$37)</f>
        <v/>
      </c>
      <c r="AJ20" s="549">
        <f>IF('Final Calculation Sheet'!$Q$38="","",'Final Calculation Sheet'!$Q$38)</f>
        <v/>
      </c>
      <c r="AK20" s="683">
        <f>IF('Final Calculation Sheet'!$Q$39="","",'Final Calculation Sheet'!$Q$39)</f>
        <v/>
      </c>
      <c r="AL20" s="549">
        <f>IF('Final Calculation Sheet'!$Q$40="","",'Final Calculation Sheet'!$Q$40)</f>
        <v/>
      </c>
      <c r="AM20" s="684">
        <f>IF('Final Calculation Sheet'!$Q$41="","",'Final Calculation Sheet'!$Q$41)</f>
        <v/>
      </c>
    </row>
    <row r="21" ht="15" customHeight="1">
      <c r="A21" s="678" t="inlineStr">
        <is>
          <t>GST TDS</t>
        </is>
      </c>
      <c r="B21" s="544">
        <f>IF('Final Calculation Sheet'!$R$4="","",'Final Calculation Sheet'!$R$4)</f>
        <v/>
      </c>
      <c r="C21" s="679">
        <f>IF('Final Calculation Sheet'!$R$5="","",'Final Calculation Sheet'!$R$5)</f>
        <v/>
      </c>
      <c r="D21" s="544">
        <f>IF('Final Calculation Sheet'!$R$6="","",'Final Calculation Sheet'!$R$6)</f>
        <v/>
      </c>
      <c r="E21" s="679">
        <f>IF('Final Calculation Sheet'!$R$7="","",'Final Calculation Sheet'!$R$7)</f>
        <v/>
      </c>
      <c r="F21" s="544">
        <f>IF('Final Calculation Sheet'!$R$8="","",'Final Calculation Sheet'!$R$8)</f>
        <v/>
      </c>
      <c r="G21" s="679">
        <f>IF('Final Calculation Sheet'!$R$9="","",'Final Calculation Sheet'!$R$9)</f>
        <v/>
      </c>
      <c r="H21" s="544">
        <f>IF('Final Calculation Sheet'!$R$10="","",'Final Calculation Sheet'!$R$10)</f>
        <v/>
      </c>
      <c r="I21" s="679">
        <f>IF('Final Calculation Sheet'!$R$11="","",'Final Calculation Sheet'!$R$11)</f>
        <v/>
      </c>
      <c r="J21" s="544">
        <f>IF('Final Calculation Sheet'!$R$12="","",'Final Calculation Sheet'!$R$12)</f>
        <v/>
      </c>
      <c r="K21" s="679">
        <f>IF('Final Calculation Sheet'!$R$13="","",'Final Calculation Sheet'!$R$13)</f>
        <v/>
      </c>
      <c r="L21" s="544">
        <f>IF('Final Calculation Sheet'!$R$14="","",'Final Calculation Sheet'!$R$14)</f>
        <v/>
      </c>
      <c r="M21" s="679">
        <f>IF('Final Calculation Sheet'!$R$15="","",'Final Calculation Sheet'!$R$15)</f>
        <v/>
      </c>
      <c r="N21" s="544">
        <f>IF('Final Calculation Sheet'!$R$16="","",'Final Calculation Sheet'!$R$16)</f>
        <v/>
      </c>
      <c r="O21" s="679">
        <f>IF('Final Calculation Sheet'!$R$17="","",'Final Calculation Sheet'!$R$17)</f>
        <v/>
      </c>
      <c r="P21" s="544">
        <f>IF('Final Calculation Sheet'!$R$18="","",'Final Calculation Sheet'!$R$18)</f>
        <v/>
      </c>
      <c r="Q21" s="679">
        <f>IF('Final Calculation Sheet'!$R$19="","",'Final Calculation Sheet'!$R$19)</f>
        <v/>
      </c>
      <c r="R21" s="544">
        <f>IF('Final Calculation Sheet'!$R$20="","",'Final Calculation Sheet'!$R$20)</f>
        <v/>
      </c>
      <c r="S21" s="679">
        <f>IF('Final Calculation Sheet'!$R$21="","",'Final Calculation Sheet'!$R$21)</f>
        <v/>
      </c>
      <c r="T21" s="544">
        <f>IF('Final Calculation Sheet'!$R$22="","",'Final Calculation Sheet'!$R$22)</f>
        <v/>
      </c>
      <c r="U21" s="679">
        <f>IF('Final Calculation Sheet'!$R$23="","",'Final Calculation Sheet'!$R$23)</f>
        <v/>
      </c>
      <c r="V21" s="544">
        <f>IF('Final Calculation Sheet'!$R$24="","",'Final Calculation Sheet'!$R$24)</f>
        <v/>
      </c>
      <c r="W21" s="679">
        <f>IF('Final Calculation Sheet'!$R$25="","",'Final Calculation Sheet'!$R$25)</f>
        <v/>
      </c>
      <c r="X21" s="544">
        <f>IF('Final Calculation Sheet'!$R$26="","",'Final Calculation Sheet'!$R$26)</f>
        <v/>
      </c>
      <c r="Y21" s="679">
        <f>IF('Final Calculation Sheet'!$R$27="","",'Final Calculation Sheet'!$R$27)</f>
        <v/>
      </c>
      <c r="Z21" s="544">
        <f>IF('Final Calculation Sheet'!$R$28="","",'Final Calculation Sheet'!$R$28)</f>
        <v/>
      </c>
      <c r="AA21" s="679">
        <f>IF('Final Calculation Sheet'!$R$29="","",'Final Calculation Sheet'!$R$29)</f>
        <v/>
      </c>
      <c r="AB21" s="544">
        <f>IF('Final Calculation Sheet'!$R$30="","",'Final Calculation Sheet'!$R$30)</f>
        <v/>
      </c>
      <c r="AC21" s="679">
        <f>IF('Final Calculation Sheet'!$R$31="","",'Final Calculation Sheet'!$R$31)</f>
        <v/>
      </c>
      <c r="AD21" s="544">
        <f>IF('Final Calculation Sheet'!$R$32="","",'Final Calculation Sheet'!$R$32)</f>
        <v/>
      </c>
      <c r="AE21" s="679">
        <f>IF('Final Calculation Sheet'!$R$33="","",'Final Calculation Sheet'!$R$33)</f>
        <v/>
      </c>
      <c r="AF21" s="544">
        <f>IF('Final Calculation Sheet'!$R$34="","",'Final Calculation Sheet'!$R$34)</f>
        <v/>
      </c>
      <c r="AG21" s="679">
        <f>IF('Final Calculation Sheet'!$R$35="","",'Final Calculation Sheet'!$R$35)</f>
        <v/>
      </c>
      <c r="AH21" s="544">
        <f>IF('Final Calculation Sheet'!$R$36="","",'Final Calculation Sheet'!$R$36)</f>
        <v/>
      </c>
      <c r="AI21" s="679">
        <f>IF('Final Calculation Sheet'!$R$37="","",'Final Calculation Sheet'!$R$37)</f>
        <v/>
      </c>
      <c r="AJ21" s="544">
        <f>IF('Final Calculation Sheet'!$R$38="","",'Final Calculation Sheet'!$R$38)</f>
        <v/>
      </c>
      <c r="AK21" s="679">
        <f>IF('Final Calculation Sheet'!$R$39="","",'Final Calculation Sheet'!$R$39)</f>
        <v/>
      </c>
      <c r="AL21" s="544">
        <f>IF('Final Calculation Sheet'!$R$40="","",'Final Calculation Sheet'!$R$40)</f>
        <v/>
      </c>
      <c r="AM21" s="680">
        <f>IF('Final Calculation Sheet'!$R$41="","",'Final Calculation Sheet'!$R$41)</f>
        <v/>
      </c>
    </row>
    <row r="22" ht="15" customHeight="1">
      <c r="A22" s="675" t="inlineStr">
        <is>
          <t>Total Receivables in Cash</t>
        </is>
      </c>
      <c r="B22" s="544">
        <f>IF('Final Calculation Sheet'!$S$4="","",'Final Calculation Sheet'!$S$4)</f>
        <v/>
      </c>
      <c r="C22" s="679">
        <f>IF('Final Calculation Sheet'!$S$5="","",'Final Calculation Sheet'!$S$5)</f>
        <v/>
      </c>
      <c r="D22" s="544">
        <f>IF('Final Calculation Sheet'!$S$6="","",'Final Calculation Sheet'!$S$6)</f>
        <v/>
      </c>
      <c r="E22" s="679">
        <f>IF('Final Calculation Sheet'!$S$7="","",'Final Calculation Sheet'!$S$7)</f>
        <v/>
      </c>
      <c r="F22" s="544">
        <f>IF('Final Calculation Sheet'!$S$8="","",'Final Calculation Sheet'!$S$8)</f>
        <v/>
      </c>
      <c r="G22" s="679">
        <f>IF('Final Calculation Sheet'!$S$9="","",'Final Calculation Sheet'!$S$9)</f>
        <v/>
      </c>
      <c r="H22" s="544">
        <f>IF('Final Calculation Sheet'!$S$10="","",'Final Calculation Sheet'!$S$10)</f>
        <v/>
      </c>
      <c r="I22" s="679">
        <f>IF('Final Calculation Sheet'!$S$11="","",'Final Calculation Sheet'!$S$11)</f>
        <v/>
      </c>
      <c r="J22" s="544">
        <f>IF('Final Calculation Sheet'!$S$12="","",'Final Calculation Sheet'!$S$12)</f>
        <v/>
      </c>
      <c r="K22" s="679">
        <f>IF('Final Calculation Sheet'!$S$13="","",'Final Calculation Sheet'!$S$13)</f>
        <v/>
      </c>
      <c r="L22" s="544">
        <f>IF('Final Calculation Sheet'!$S$14="","",'Final Calculation Sheet'!$S$14)</f>
        <v/>
      </c>
      <c r="M22" s="679">
        <f>IF('Final Calculation Sheet'!$S$15="","",'Final Calculation Sheet'!$S$15)</f>
        <v/>
      </c>
      <c r="N22" s="544">
        <f>IF('Final Calculation Sheet'!$S$16="","",'Final Calculation Sheet'!$S$16)</f>
        <v/>
      </c>
      <c r="O22" s="679">
        <f>IF('Final Calculation Sheet'!$S$17="","",'Final Calculation Sheet'!$S$17)</f>
        <v/>
      </c>
      <c r="P22" s="544">
        <f>IF('Final Calculation Sheet'!$S$18="","",'Final Calculation Sheet'!$S$18)</f>
        <v/>
      </c>
      <c r="Q22" s="679">
        <f>IF('Final Calculation Sheet'!$S$19="","",'Final Calculation Sheet'!$S$19)</f>
        <v/>
      </c>
      <c r="R22" s="544">
        <f>IF('Final Calculation Sheet'!$S$20="","",'Final Calculation Sheet'!$S$20)</f>
        <v/>
      </c>
      <c r="S22" s="679">
        <f>IF('Final Calculation Sheet'!$S$21="","",'Final Calculation Sheet'!$S$21)</f>
        <v/>
      </c>
      <c r="T22" s="544">
        <f>IF('Final Calculation Sheet'!$S$22="","",'Final Calculation Sheet'!$S$22)</f>
        <v/>
      </c>
      <c r="U22" s="679">
        <f>IF('Final Calculation Sheet'!$S$23="","",'Final Calculation Sheet'!$S$23)</f>
        <v/>
      </c>
      <c r="V22" s="544">
        <f>IF('Final Calculation Sheet'!$S$24="","",'Final Calculation Sheet'!$S$24)</f>
        <v/>
      </c>
      <c r="W22" s="679">
        <f>IF('Final Calculation Sheet'!$S$25="","",'Final Calculation Sheet'!$S$25)</f>
        <v/>
      </c>
      <c r="X22" s="544">
        <f>IF('Final Calculation Sheet'!$S$26="","",'Final Calculation Sheet'!$S$26)</f>
        <v/>
      </c>
      <c r="Y22" s="679">
        <f>IF('Final Calculation Sheet'!$S$27="","",'Final Calculation Sheet'!$S$27)</f>
        <v/>
      </c>
      <c r="Z22" s="544">
        <f>IF('Final Calculation Sheet'!$S$28="","",'Final Calculation Sheet'!$S$28)</f>
        <v/>
      </c>
      <c r="AA22" s="679">
        <f>IF('Final Calculation Sheet'!$S$29="","",'Final Calculation Sheet'!$S$29)</f>
        <v/>
      </c>
      <c r="AB22" s="544">
        <f>IF('Final Calculation Sheet'!$S$30="","",'Final Calculation Sheet'!$S$30)</f>
        <v/>
      </c>
      <c r="AC22" s="679">
        <f>IF('Final Calculation Sheet'!$S$31="","",'Final Calculation Sheet'!$S$31)</f>
        <v/>
      </c>
      <c r="AD22" s="544">
        <f>IF('Final Calculation Sheet'!$S$32="","",'Final Calculation Sheet'!$S$32)</f>
        <v/>
      </c>
      <c r="AE22" s="679">
        <f>IF('Final Calculation Sheet'!$S$33="","",'Final Calculation Sheet'!$S$33)</f>
        <v/>
      </c>
      <c r="AF22" s="544">
        <f>IF('Final Calculation Sheet'!$S$34="","",'Final Calculation Sheet'!$S$34)</f>
        <v/>
      </c>
      <c r="AG22" s="679">
        <f>IF('Final Calculation Sheet'!$S$35="","",'Final Calculation Sheet'!$S$35)</f>
        <v/>
      </c>
      <c r="AH22" s="544">
        <f>IF('Final Calculation Sheet'!$S$36="","",'Final Calculation Sheet'!$S$36)</f>
        <v/>
      </c>
      <c r="AI22" s="679">
        <f>IF('Final Calculation Sheet'!$S$37="","",'Final Calculation Sheet'!$S$37)</f>
        <v/>
      </c>
      <c r="AJ22" s="544">
        <f>IF('Final Calculation Sheet'!$S$38="","",'Final Calculation Sheet'!$S$38)</f>
        <v/>
      </c>
      <c r="AK22" s="679">
        <f>IF('Final Calculation Sheet'!$S$39="","",'Final Calculation Sheet'!$S$39)</f>
        <v/>
      </c>
      <c r="AL22" s="544">
        <f>IF('Final Calculation Sheet'!$S$40="","",'Final Calculation Sheet'!$S$40)</f>
        <v/>
      </c>
      <c r="AM22" s="680">
        <f>IF('Final Calculation Sheet'!$S$41="","",'Final Calculation Sheet'!$S$41)</f>
        <v/>
      </c>
    </row>
    <row r="23" ht="15" customHeight="1">
      <c r="A23" s="678" t="inlineStr">
        <is>
          <t>Security Deposit (Expected)</t>
        </is>
      </c>
      <c r="B23" s="544">
        <f>IF('Final Calculation Sheet'!$T$4="","",'Final Calculation Sheet'!$T$4)</f>
        <v/>
      </c>
      <c r="C23" s="679">
        <f>IF('Final Calculation Sheet'!$T$5="","",'Final Calculation Sheet'!$T$5)</f>
        <v/>
      </c>
      <c r="D23" s="544">
        <f>IF('Final Calculation Sheet'!$T$6="","",'Final Calculation Sheet'!$T$6)</f>
        <v/>
      </c>
      <c r="E23" s="679">
        <f>IF('Final Calculation Sheet'!$T$7="","",'Final Calculation Sheet'!$T$7)</f>
        <v/>
      </c>
      <c r="F23" s="544">
        <f>IF('Final Calculation Sheet'!$T$8="","",'Final Calculation Sheet'!$T$8)</f>
        <v/>
      </c>
      <c r="G23" s="679">
        <f>IF('Final Calculation Sheet'!$T$9="","",'Final Calculation Sheet'!$T$9)</f>
        <v/>
      </c>
      <c r="H23" s="544">
        <f>IF('Final Calculation Sheet'!$T$10="","",'Final Calculation Sheet'!$T$10)</f>
        <v/>
      </c>
      <c r="I23" s="679">
        <f>IF('Final Calculation Sheet'!$T$11="","",'Final Calculation Sheet'!$T$11)</f>
        <v/>
      </c>
      <c r="J23" s="544">
        <f>IF('Final Calculation Sheet'!$T$12="","",'Final Calculation Sheet'!$T$12)</f>
        <v/>
      </c>
      <c r="K23" s="679">
        <f>IF('Final Calculation Sheet'!$T$13="","",'Final Calculation Sheet'!$T$13)</f>
        <v/>
      </c>
      <c r="L23" s="544">
        <f>IF('Final Calculation Sheet'!$T$14="","",'Final Calculation Sheet'!$T$14)</f>
        <v/>
      </c>
      <c r="M23" s="679">
        <f>IF('Final Calculation Sheet'!$T$15="","",'Final Calculation Sheet'!$T$15)</f>
        <v/>
      </c>
      <c r="N23" s="544">
        <f>IF('Final Calculation Sheet'!$T$16="","",'Final Calculation Sheet'!$T$16)</f>
        <v/>
      </c>
      <c r="O23" s="679">
        <f>IF('Final Calculation Sheet'!$T$17="","",'Final Calculation Sheet'!$T$17)</f>
        <v/>
      </c>
      <c r="P23" s="544">
        <f>IF('Final Calculation Sheet'!$T$18="","",'Final Calculation Sheet'!$T$18)</f>
        <v/>
      </c>
      <c r="Q23" s="679">
        <f>IF('Final Calculation Sheet'!$T$19="","",'Final Calculation Sheet'!$T$19)</f>
        <v/>
      </c>
      <c r="R23" s="544">
        <f>IF('Final Calculation Sheet'!$T$20="","",'Final Calculation Sheet'!$T$20)</f>
        <v/>
      </c>
      <c r="S23" s="679">
        <f>IF('Final Calculation Sheet'!$T$21="","",'Final Calculation Sheet'!$T$21)</f>
        <v/>
      </c>
      <c r="T23" s="544">
        <f>IF('Final Calculation Sheet'!$T$22="","",'Final Calculation Sheet'!$T$22)</f>
        <v/>
      </c>
      <c r="U23" s="679">
        <f>IF('Final Calculation Sheet'!$T$23="","",'Final Calculation Sheet'!$T$23)</f>
        <v/>
      </c>
      <c r="V23" s="544">
        <f>IF('Final Calculation Sheet'!$T$24="","",'Final Calculation Sheet'!$T$24)</f>
        <v/>
      </c>
      <c r="W23" s="679">
        <f>IF('Final Calculation Sheet'!$T$25="","",'Final Calculation Sheet'!$T$25)</f>
        <v/>
      </c>
      <c r="X23" s="544">
        <f>IF('Final Calculation Sheet'!$T$26="","",'Final Calculation Sheet'!$T$26)</f>
        <v/>
      </c>
      <c r="Y23" s="679">
        <f>IF('Final Calculation Sheet'!$T$27="","",'Final Calculation Sheet'!$T$27)</f>
        <v/>
      </c>
      <c r="Z23" s="544">
        <f>IF('Final Calculation Sheet'!$T$28="","",'Final Calculation Sheet'!$T$28)</f>
        <v/>
      </c>
      <c r="AA23" s="679">
        <f>IF('Final Calculation Sheet'!$T$29="","",'Final Calculation Sheet'!$T$29)</f>
        <v/>
      </c>
      <c r="AB23" s="544">
        <f>IF('Final Calculation Sheet'!$T$30="","",'Final Calculation Sheet'!$T$30)</f>
        <v/>
      </c>
      <c r="AC23" s="679">
        <f>IF('Final Calculation Sheet'!$T$31="","",'Final Calculation Sheet'!$T$31)</f>
        <v/>
      </c>
      <c r="AD23" s="544">
        <f>IF('Final Calculation Sheet'!$T$32="","",'Final Calculation Sheet'!$T$32)</f>
        <v/>
      </c>
      <c r="AE23" s="679">
        <f>IF('Final Calculation Sheet'!$T$33="","",'Final Calculation Sheet'!$T$33)</f>
        <v/>
      </c>
      <c r="AF23" s="544">
        <f>IF('Final Calculation Sheet'!$T$34="","",'Final Calculation Sheet'!$T$34)</f>
        <v/>
      </c>
      <c r="AG23" s="679">
        <f>IF('Final Calculation Sheet'!$T$35="","",'Final Calculation Sheet'!$T$35)</f>
        <v/>
      </c>
      <c r="AH23" s="544">
        <f>IF('Final Calculation Sheet'!$T$36="","",'Final Calculation Sheet'!$T$36)</f>
        <v/>
      </c>
      <c r="AI23" s="679">
        <f>IF('Final Calculation Sheet'!$T$37="","",'Final Calculation Sheet'!$T$37)</f>
        <v/>
      </c>
      <c r="AJ23" s="544">
        <f>IF('Final Calculation Sheet'!$T$38="","",'Final Calculation Sheet'!$T$38)</f>
        <v/>
      </c>
      <c r="AK23" s="679">
        <f>IF('Final Calculation Sheet'!$T$39="","",'Final Calculation Sheet'!$T$39)</f>
        <v/>
      </c>
      <c r="AL23" s="544">
        <f>IF('Final Calculation Sheet'!$T$40="","",'Final Calculation Sheet'!$T$40)</f>
        <v/>
      </c>
      <c r="AM23" s="680">
        <f>IF('Final Calculation Sheet'!$T$41="","",'Final Calculation Sheet'!$T$41)</f>
        <v/>
      </c>
    </row>
    <row r="24" ht="15" customHeight="1">
      <c r="A24" s="675" t="inlineStr">
        <is>
          <t>Security Deposit (Received)</t>
        </is>
      </c>
      <c r="B24" s="552">
        <f>IF('Final Calculation Sheet'!$U$4="","",'Final Calculation Sheet'!$U$4)</f>
        <v/>
      </c>
      <c r="C24" s="685">
        <f>IF('Final Calculation Sheet'!$U$5="","",'Final Calculation Sheet'!$U$5)</f>
        <v/>
      </c>
      <c r="D24" s="552">
        <f>IF('Final Calculation Sheet'!$U$6="","",'Final Calculation Sheet'!$U$6)</f>
        <v/>
      </c>
      <c r="E24" s="685">
        <f>IF('Final Calculation Sheet'!$U$7="","",'Final Calculation Sheet'!$U$7)</f>
        <v/>
      </c>
      <c r="F24" s="552">
        <f>IF('Final Calculation Sheet'!$U$8="","",'Final Calculation Sheet'!$U$8)</f>
        <v/>
      </c>
      <c r="G24" s="685">
        <f>IF('Final Calculation Sheet'!$U$9="","",'Final Calculation Sheet'!$U$9)</f>
        <v/>
      </c>
      <c r="H24" s="552">
        <f>IF('Final Calculation Sheet'!$U$10="","",'Final Calculation Sheet'!$U$10)</f>
        <v/>
      </c>
      <c r="I24" s="685">
        <f>IF('Final Calculation Sheet'!$U$11="","",'Final Calculation Sheet'!$U$11)</f>
        <v/>
      </c>
      <c r="J24" s="552">
        <f>IF('Final Calculation Sheet'!$U$12="","",'Final Calculation Sheet'!$U$12)</f>
        <v/>
      </c>
      <c r="K24" s="685">
        <f>IF('Final Calculation Sheet'!$U$13="","",'Final Calculation Sheet'!$U$13)</f>
        <v/>
      </c>
      <c r="L24" s="552">
        <f>IF('Final Calculation Sheet'!$U$14="","",'Final Calculation Sheet'!$U$14)</f>
        <v/>
      </c>
      <c r="M24" s="685">
        <f>IF('Final Calculation Sheet'!$U$15="","",'Final Calculation Sheet'!$U$15)</f>
        <v/>
      </c>
      <c r="N24" s="552">
        <f>IF('Final Calculation Sheet'!$U$16="","",'Final Calculation Sheet'!$U$16)</f>
        <v/>
      </c>
      <c r="O24" s="685">
        <f>IF('Final Calculation Sheet'!$U$17="","",'Final Calculation Sheet'!$U$17)</f>
        <v/>
      </c>
      <c r="P24" s="552">
        <f>IF('Final Calculation Sheet'!$U$18="","",'Final Calculation Sheet'!$U$18)</f>
        <v/>
      </c>
      <c r="Q24" s="685">
        <f>IF('Final Calculation Sheet'!$U$19="","",'Final Calculation Sheet'!$U$19)</f>
        <v/>
      </c>
      <c r="R24" s="552">
        <f>IF('Final Calculation Sheet'!$U$20="","",'Final Calculation Sheet'!$U$20)</f>
        <v/>
      </c>
      <c r="S24" s="685">
        <f>IF('Final Calculation Sheet'!$U$21="","",'Final Calculation Sheet'!$U$21)</f>
        <v/>
      </c>
      <c r="T24" s="552">
        <f>IF('Final Calculation Sheet'!$U$22="","",'Final Calculation Sheet'!$U$22)</f>
        <v/>
      </c>
      <c r="U24" s="685">
        <f>IF('Final Calculation Sheet'!$U$23="","",'Final Calculation Sheet'!$U$23)</f>
        <v/>
      </c>
      <c r="V24" s="552">
        <f>IF('Final Calculation Sheet'!$U$24="","",'Final Calculation Sheet'!$U$24)</f>
        <v/>
      </c>
      <c r="W24" s="685">
        <f>IF('Final Calculation Sheet'!$U$25="","",'Final Calculation Sheet'!$U$25)</f>
        <v/>
      </c>
      <c r="X24" s="552">
        <f>IF('Final Calculation Sheet'!$U$26="","",'Final Calculation Sheet'!$U$26)</f>
        <v/>
      </c>
      <c r="Y24" s="685">
        <f>IF('Final Calculation Sheet'!$U$27="","",'Final Calculation Sheet'!$U$27)</f>
        <v/>
      </c>
      <c r="Z24" s="552">
        <f>IF('Final Calculation Sheet'!$U$28="","",'Final Calculation Sheet'!$U$28)</f>
        <v/>
      </c>
      <c r="AA24" s="685">
        <f>IF('Final Calculation Sheet'!$U$29="","",'Final Calculation Sheet'!$U$29)</f>
        <v/>
      </c>
      <c r="AB24" s="552">
        <f>IF('Final Calculation Sheet'!$U$30="","",'Final Calculation Sheet'!$U$30)</f>
        <v/>
      </c>
      <c r="AC24" s="685">
        <f>IF('Final Calculation Sheet'!$U$31="","",'Final Calculation Sheet'!$U$31)</f>
        <v/>
      </c>
      <c r="AD24" s="552">
        <f>IF('Final Calculation Sheet'!$U$32="","",'Final Calculation Sheet'!$U$32)</f>
        <v/>
      </c>
      <c r="AE24" s="685">
        <f>IF('Final Calculation Sheet'!$U$33="","",'Final Calculation Sheet'!$U$33)</f>
        <v/>
      </c>
      <c r="AF24" s="552">
        <f>IF('Final Calculation Sheet'!$U$34="","",'Final Calculation Sheet'!$U$34)</f>
        <v/>
      </c>
      <c r="AG24" s="685">
        <f>IF('Final Calculation Sheet'!$U$35="","",'Final Calculation Sheet'!$U$35)</f>
        <v/>
      </c>
      <c r="AH24" s="552">
        <f>IF('Final Calculation Sheet'!$U$36="","",'Final Calculation Sheet'!$U$36)</f>
        <v/>
      </c>
      <c r="AI24" s="685">
        <f>IF('Final Calculation Sheet'!$U$37="","",'Final Calculation Sheet'!$U$37)</f>
        <v/>
      </c>
      <c r="AJ24" s="552">
        <f>IF('Final Calculation Sheet'!$U$38="","",'Final Calculation Sheet'!$U$38)</f>
        <v/>
      </c>
      <c r="AK24" s="685">
        <f>IF('Final Calculation Sheet'!$U$39="","",'Final Calculation Sheet'!$U$39)</f>
        <v/>
      </c>
      <c r="AL24" s="552">
        <f>IF('Final Calculation Sheet'!$U$40="","",'Final Calculation Sheet'!$U$40)</f>
        <v/>
      </c>
      <c r="AM24" s="686">
        <f>IF('Final Calculation Sheet'!$U$41="","",'Final Calculation Sheet'!$U$41)</f>
        <v/>
      </c>
    </row>
    <row r="25" ht="15" customHeight="1">
      <c r="A25" s="678" t="inlineStr">
        <is>
          <t>Date of Receipt (col V)</t>
        </is>
      </c>
      <c r="B25" s="544">
        <f>IF('Final Calculation Sheet'!$V$4="","",'Final Calculation Sheet'!$V$4)</f>
        <v/>
      </c>
      <c r="C25" s="679">
        <f>IF('Final Calculation Sheet'!$V$5="","",'Final Calculation Sheet'!$V$5)</f>
        <v/>
      </c>
      <c r="D25" s="544">
        <f>IF('Final Calculation Sheet'!$V$6="","",'Final Calculation Sheet'!$V$6)</f>
        <v/>
      </c>
      <c r="E25" s="679">
        <f>IF('Final Calculation Sheet'!$V$7="","",'Final Calculation Sheet'!$V$7)</f>
        <v/>
      </c>
      <c r="F25" s="544">
        <f>IF('Final Calculation Sheet'!$V$8="","",'Final Calculation Sheet'!$V$8)</f>
        <v/>
      </c>
      <c r="G25" s="679">
        <f>IF('Final Calculation Sheet'!$V$9="","",'Final Calculation Sheet'!$V$9)</f>
        <v/>
      </c>
      <c r="H25" s="544">
        <f>IF('Final Calculation Sheet'!$V$10="","",'Final Calculation Sheet'!$V$10)</f>
        <v/>
      </c>
      <c r="I25" s="679">
        <f>IF('Final Calculation Sheet'!$V$11="","",'Final Calculation Sheet'!$V$11)</f>
        <v/>
      </c>
      <c r="J25" s="544">
        <f>IF('Final Calculation Sheet'!$V$12="","",'Final Calculation Sheet'!$V$12)</f>
        <v/>
      </c>
      <c r="K25" s="679">
        <f>IF('Final Calculation Sheet'!$V$13="","",'Final Calculation Sheet'!$V$13)</f>
        <v/>
      </c>
      <c r="L25" s="544">
        <f>IF('Final Calculation Sheet'!$V$14="","",'Final Calculation Sheet'!$V$14)</f>
        <v/>
      </c>
      <c r="M25" s="679">
        <f>IF('Final Calculation Sheet'!$V$15="","",'Final Calculation Sheet'!$V$15)</f>
        <v/>
      </c>
      <c r="N25" s="544">
        <f>IF('Final Calculation Sheet'!$V$16="","",'Final Calculation Sheet'!$V$16)</f>
        <v/>
      </c>
      <c r="O25" s="679">
        <f>IF('Final Calculation Sheet'!$V$17="","",'Final Calculation Sheet'!$V$17)</f>
        <v/>
      </c>
      <c r="P25" s="544">
        <f>IF('Final Calculation Sheet'!$V$18="","",'Final Calculation Sheet'!$V$18)</f>
        <v/>
      </c>
      <c r="Q25" s="679">
        <f>IF('Final Calculation Sheet'!$V$19="","",'Final Calculation Sheet'!$V$19)</f>
        <v/>
      </c>
      <c r="R25" s="544">
        <f>IF('Final Calculation Sheet'!$V$20="","",'Final Calculation Sheet'!$V$20)</f>
        <v/>
      </c>
      <c r="S25" s="679">
        <f>IF('Final Calculation Sheet'!$V$21="","",'Final Calculation Sheet'!$V$21)</f>
        <v/>
      </c>
      <c r="T25" s="544">
        <f>IF('Final Calculation Sheet'!$V$22="","",'Final Calculation Sheet'!$V$22)</f>
        <v/>
      </c>
      <c r="U25" s="679">
        <f>IF('Final Calculation Sheet'!$V$23="","",'Final Calculation Sheet'!$V$23)</f>
        <v/>
      </c>
      <c r="V25" s="544">
        <f>IF('Final Calculation Sheet'!$V$24="","",'Final Calculation Sheet'!$V$24)</f>
        <v/>
      </c>
      <c r="W25" s="679">
        <f>IF('Final Calculation Sheet'!$V$25="","",'Final Calculation Sheet'!$V$25)</f>
        <v/>
      </c>
      <c r="X25" s="544">
        <f>IF('Final Calculation Sheet'!$V$26="","",'Final Calculation Sheet'!$V$26)</f>
        <v/>
      </c>
      <c r="Y25" s="679">
        <f>IF('Final Calculation Sheet'!$V$27="","",'Final Calculation Sheet'!$V$27)</f>
        <v/>
      </c>
      <c r="Z25" s="544">
        <f>IF('Final Calculation Sheet'!$V$28="","",'Final Calculation Sheet'!$V$28)</f>
        <v/>
      </c>
      <c r="AA25" s="679">
        <f>IF('Final Calculation Sheet'!$V$29="","",'Final Calculation Sheet'!$V$29)</f>
        <v/>
      </c>
      <c r="AB25" s="544">
        <f>IF('Final Calculation Sheet'!$V$30="","",'Final Calculation Sheet'!$V$30)</f>
        <v/>
      </c>
      <c r="AC25" s="679">
        <f>IF('Final Calculation Sheet'!$V$31="","",'Final Calculation Sheet'!$V$31)</f>
        <v/>
      </c>
      <c r="AD25" s="544">
        <f>IF('Final Calculation Sheet'!$V$32="","",'Final Calculation Sheet'!$V$32)</f>
        <v/>
      </c>
      <c r="AE25" s="679">
        <f>IF('Final Calculation Sheet'!$V$33="","",'Final Calculation Sheet'!$V$33)</f>
        <v/>
      </c>
      <c r="AF25" s="544">
        <f>IF('Final Calculation Sheet'!$V$34="","",'Final Calculation Sheet'!$V$34)</f>
        <v/>
      </c>
      <c r="AG25" s="679">
        <f>IF('Final Calculation Sheet'!$V$35="","",'Final Calculation Sheet'!$V$35)</f>
        <v/>
      </c>
      <c r="AH25" s="544">
        <f>IF('Final Calculation Sheet'!$V$36="","",'Final Calculation Sheet'!$V$36)</f>
        <v/>
      </c>
      <c r="AI25" s="679">
        <f>IF('Final Calculation Sheet'!$V$37="","",'Final Calculation Sheet'!$V$37)</f>
        <v/>
      </c>
      <c r="AJ25" s="544">
        <f>IF('Final Calculation Sheet'!$V$38="","",'Final Calculation Sheet'!$V$38)</f>
        <v/>
      </c>
      <c r="AK25" s="679">
        <f>IF('Final Calculation Sheet'!$V$39="","",'Final Calculation Sheet'!$V$39)</f>
        <v/>
      </c>
      <c r="AL25" s="544">
        <f>IF('Final Calculation Sheet'!$V$40="","",'Final Calculation Sheet'!$V$40)</f>
        <v/>
      </c>
      <c r="AM25" s="680">
        <f>IF('Final Calculation Sheet'!$V$41="","",'Final Calculation Sheet'!$V$41)</f>
        <v/>
      </c>
    </row>
    <row r="26" ht="15" customHeight="1">
      <c r="A26" s="675" t="inlineStr">
        <is>
          <t>Final Payment (Expected)</t>
        </is>
      </c>
      <c r="B26" s="544">
        <f>IF('Final Calculation Sheet'!$W$4="","",'Final Calculation Sheet'!$W$4)</f>
        <v/>
      </c>
      <c r="C26" s="679">
        <f>IF('Final Calculation Sheet'!$W$5="","",'Final Calculation Sheet'!$W$5)</f>
        <v/>
      </c>
      <c r="D26" s="544">
        <f>IF('Final Calculation Sheet'!$W$6="","",'Final Calculation Sheet'!$W$6)</f>
        <v/>
      </c>
      <c r="E26" s="679">
        <f>IF('Final Calculation Sheet'!$W$7="","",'Final Calculation Sheet'!$W$7)</f>
        <v/>
      </c>
      <c r="F26" s="544">
        <f>IF('Final Calculation Sheet'!$W$8="","",'Final Calculation Sheet'!$W$8)</f>
        <v/>
      </c>
      <c r="G26" s="679">
        <f>IF('Final Calculation Sheet'!$W$9="","",'Final Calculation Sheet'!$W$9)</f>
        <v/>
      </c>
      <c r="H26" s="544">
        <f>IF('Final Calculation Sheet'!$W$10="","",'Final Calculation Sheet'!$W$10)</f>
        <v/>
      </c>
      <c r="I26" s="679">
        <f>IF('Final Calculation Sheet'!$W$11="","",'Final Calculation Sheet'!$W$11)</f>
        <v/>
      </c>
      <c r="J26" s="544">
        <f>IF('Final Calculation Sheet'!$W$12="","",'Final Calculation Sheet'!$W$12)</f>
        <v/>
      </c>
      <c r="K26" s="679">
        <f>IF('Final Calculation Sheet'!$W$13="","",'Final Calculation Sheet'!$W$13)</f>
        <v/>
      </c>
      <c r="L26" s="544">
        <f>IF('Final Calculation Sheet'!$W$14="","",'Final Calculation Sheet'!$W$14)</f>
        <v/>
      </c>
      <c r="M26" s="679">
        <f>IF('Final Calculation Sheet'!$W$15="","",'Final Calculation Sheet'!$W$15)</f>
        <v/>
      </c>
      <c r="N26" s="544">
        <f>IF('Final Calculation Sheet'!$W$16="","",'Final Calculation Sheet'!$W$16)</f>
        <v/>
      </c>
      <c r="O26" s="679">
        <f>IF('Final Calculation Sheet'!$W$17="","",'Final Calculation Sheet'!$W$17)</f>
        <v/>
      </c>
      <c r="P26" s="544">
        <f>IF('Final Calculation Sheet'!$W$18="","",'Final Calculation Sheet'!$W$18)</f>
        <v/>
      </c>
      <c r="Q26" s="679">
        <f>IF('Final Calculation Sheet'!$W$19="","",'Final Calculation Sheet'!$W$19)</f>
        <v/>
      </c>
      <c r="R26" s="544">
        <f>IF('Final Calculation Sheet'!$W$20="","",'Final Calculation Sheet'!$W$20)</f>
        <v/>
      </c>
      <c r="S26" s="679">
        <f>IF('Final Calculation Sheet'!$W$21="","",'Final Calculation Sheet'!$W$21)</f>
        <v/>
      </c>
      <c r="T26" s="544">
        <f>IF('Final Calculation Sheet'!$W$22="","",'Final Calculation Sheet'!$W$22)</f>
        <v/>
      </c>
      <c r="U26" s="679">
        <f>IF('Final Calculation Sheet'!$W$23="","",'Final Calculation Sheet'!$W$23)</f>
        <v/>
      </c>
      <c r="V26" s="544">
        <f>IF('Final Calculation Sheet'!$W$24="","",'Final Calculation Sheet'!$W$24)</f>
        <v/>
      </c>
      <c r="W26" s="679">
        <f>IF('Final Calculation Sheet'!$W$25="","",'Final Calculation Sheet'!$W$25)</f>
        <v/>
      </c>
      <c r="X26" s="544">
        <f>IF('Final Calculation Sheet'!$W$26="","",'Final Calculation Sheet'!$W$26)</f>
        <v/>
      </c>
      <c r="Y26" s="679">
        <f>IF('Final Calculation Sheet'!$W$27="","",'Final Calculation Sheet'!$W$27)</f>
        <v/>
      </c>
      <c r="Z26" s="544">
        <f>IF('Final Calculation Sheet'!$W$28="","",'Final Calculation Sheet'!$W$28)</f>
        <v/>
      </c>
      <c r="AA26" s="679">
        <f>IF('Final Calculation Sheet'!$W$29="","",'Final Calculation Sheet'!$W$29)</f>
        <v/>
      </c>
      <c r="AB26" s="544">
        <f>IF('Final Calculation Sheet'!$W$30="","",'Final Calculation Sheet'!$W$30)</f>
        <v/>
      </c>
      <c r="AC26" s="679">
        <f>IF('Final Calculation Sheet'!$W$31="","",'Final Calculation Sheet'!$W$31)</f>
        <v/>
      </c>
      <c r="AD26" s="544">
        <f>IF('Final Calculation Sheet'!$W$32="","",'Final Calculation Sheet'!$W$32)</f>
        <v/>
      </c>
      <c r="AE26" s="679">
        <f>IF('Final Calculation Sheet'!$W$33="","",'Final Calculation Sheet'!$W$33)</f>
        <v/>
      </c>
      <c r="AF26" s="544">
        <f>IF('Final Calculation Sheet'!$W$34="","",'Final Calculation Sheet'!$W$34)</f>
        <v/>
      </c>
      <c r="AG26" s="679">
        <f>IF('Final Calculation Sheet'!$W$35="","",'Final Calculation Sheet'!$W$35)</f>
        <v/>
      </c>
      <c r="AH26" s="544">
        <f>IF('Final Calculation Sheet'!$W$36="","",'Final Calculation Sheet'!$W$36)</f>
        <v/>
      </c>
      <c r="AI26" s="679">
        <f>IF('Final Calculation Sheet'!$W$37="","",'Final Calculation Sheet'!$W$37)</f>
        <v/>
      </c>
      <c r="AJ26" s="544">
        <f>IF('Final Calculation Sheet'!$W$38="","",'Final Calculation Sheet'!$W$38)</f>
        <v/>
      </c>
      <c r="AK26" s="679">
        <f>IF('Final Calculation Sheet'!$W$39="","",'Final Calculation Sheet'!$W$39)</f>
        <v/>
      </c>
      <c r="AL26" s="544">
        <f>IF('Final Calculation Sheet'!$W$40="","",'Final Calculation Sheet'!$W$40)</f>
        <v/>
      </c>
      <c r="AM26" s="680">
        <f>IF('Final Calculation Sheet'!$W$41="","",'Final Calculation Sheet'!$W$41)</f>
        <v/>
      </c>
    </row>
    <row r="27" ht="15" customHeight="1">
      <c r="A27" s="678" t="inlineStr">
        <is>
          <t>Final Payment (Received)</t>
        </is>
      </c>
      <c r="B27" s="544">
        <f>IF('Final Calculation Sheet'!$X$4="","",'Final Calculation Sheet'!$X$4)</f>
        <v/>
      </c>
      <c r="C27" s="679">
        <f>IF('Final Calculation Sheet'!$X$5="","",'Final Calculation Sheet'!$X$5)</f>
        <v/>
      </c>
      <c r="D27" s="544">
        <f>IF('Final Calculation Sheet'!$X$6="","",'Final Calculation Sheet'!$X$6)</f>
        <v/>
      </c>
      <c r="E27" s="679">
        <f>IF('Final Calculation Sheet'!$X$7="","",'Final Calculation Sheet'!$X$7)</f>
        <v/>
      </c>
      <c r="F27" s="544">
        <f>IF('Final Calculation Sheet'!$X$8="","",'Final Calculation Sheet'!$X$8)</f>
        <v/>
      </c>
      <c r="G27" s="679">
        <f>IF('Final Calculation Sheet'!$X$9="","",'Final Calculation Sheet'!$X$9)</f>
        <v/>
      </c>
      <c r="H27" s="544">
        <f>IF('Final Calculation Sheet'!$X$10="","",'Final Calculation Sheet'!$X$10)</f>
        <v/>
      </c>
      <c r="I27" s="679">
        <f>IF('Final Calculation Sheet'!$X$11="","",'Final Calculation Sheet'!$X$11)</f>
        <v/>
      </c>
      <c r="J27" s="544">
        <f>IF('Final Calculation Sheet'!$X$12="","",'Final Calculation Sheet'!$X$12)</f>
        <v/>
      </c>
      <c r="K27" s="679">
        <f>IF('Final Calculation Sheet'!$X$13="","",'Final Calculation Sheet'!$X$13)</f>
        <v/>
      </c>
      <c r="L27" s="544">
        <f>IF('Final Calculation Sheet'!$X$14="","",'Final Calculation Sheet'!$X$14)</f>
        <v/>
      </c>
      <c r="M27" s="679">
        <f>IF('Final Calculation Sheet'!$X$15="","",'Final Calculation Sheet'!$X$15)</f>
        <v/>
      </c>
      <c r="N27" s="544">
        <f>IF('Final Calculation Sheet'!$X$16="","",'Final Calculation Sheet'!$X$16)</f>
        <v/>
      </c>
      <c r="O27" s="679">
        <f>IF('Final Calculation Sheet'!$X$17="","",'Final Calculation Sheet'!$X$17)</f>
        <v/>
      </c>
      <c r="P27" s="544">
        <f>IF('Final Calculation Sheet'!$X$18="","",'Final Calculation Sheet'!$X$18)</f>
        <v/>
      </c>
      <c r="Q27" s="679">
        <f>IF('Final Calculation Sheet'!$X$19="","",'Final Calculation Sheet'!$X$19)</f>
        <v/>
      </c>
      <c r="R27" s="544">
        <f>IF('Final Calculation Sheet'!$X$20="","",'Final Calculation Sheet'!$X$20)</f>
        <v/>
      </c>
      <c r="S27" s="679">
        <f>IF('Final Calculation Sheet'!$X$21="","",'Final Calculation Sheet'!$X$21)</f>
        <v/>
      </c>
      <c r="T27" s="544">
        <f>IF('Final Calculation Sheet'!$X$22="","",'Final Calculation Sheet'!$X$22)</f>
        <v/>
      </c>
      <c r="U27" s="679">
        <f>IF('Final Calculation Sheet'!$X$23="","",'Final Calculation Sheet'!$X$23)</f>
        <v/>
      </c>
      <c r="V27" s="544">
        <f>IF('Final Calculation Sheet'!$X$24="","",'Final Calculation Sheet'!$X$24)</f>
        <v/>
      </c>
      <c r="W27" s="679">
        <f>IF('Final Calculation Sheet'!$X$25="","",'Final Calculation Sheet'!$X$25)</f>
        <v/>
      </c>
      <c r="X27" s="544">
        <f>IF('Final Calculation Sheet'!$X$26="","",'Final Calculation Sheet'!$X$26)</f>
        <v/>
      </c>
      <c r="Y27" s="679">
        <f>IF('Final Calculation Sheet'!$X$27="","",'Final Calculation Sheet'!$X$27)</f>
        <v/>
      </c>
      <c r="Z27" s="544">
        <f>IF('Final Calculation Sheet'!$X$28="","",'Final Calculation Sheet'!$X$28)</f>
        <v/>
      </c>
      <c r="AA27" s="679">
        <f>IF('Final Calculation Sheet'!$X$29="","",'Final Calculation Sheet'!$X$29)</f>
        <v/>
      </c>
      <c r="AB27" s="544">
        <f>IF('Final Calculation Sheet'!$X$30="","",'Final Calculation Sheet'!$X$30)</f>
        <v/>
      </c>
      <c r="AC27" s="679">
        <f>IF('Final Calculation Sheet'!$X$31="","",'Final Calculation Sheet'!$X$31)</f>
        <v/>
      </c>
      <c r="AD27" s="544">
        <f>IF('Final Calculation Sheet'!$X$32="","",'Final Calculation Sheet'!$X$32)</f>
        <v/>
      </c>
      <c r="AE27" s="679">
        <f>IF('Final Calculation Sheet'!$X$33="","",'Final Calculation Sheet'!$X$33)</f>
        <v/>
      </c>
      <c r="AF27" s="544">
        <f>IF('Final Calculation Sheet'!$X$34="","",'Final Calculation Sheet'!$X$34)</f>
        <v/>
      </c>
      <c r="AG27" s="679">
        <f>IF('Final Calculation Sheet'!$X$35="","",'Final Calculation Sheet'!$X$35)</f>
        <v/>
      </c>
      <c r="AH27" s="544">
        <f>IF('Final Calculation Sheet'!$X$36="","",'Final Calculation Sheet'!$X$36)</f>
        <v/>
      </c>
      <c r="AI27" s="679">
        <f>IF('Final Calculation Sheet'!$X$37="","",'Final Calculation Sheet'!$X$37)</f>
        <v/>
      </c>
      <c r="AJ27" s="544">
        <f>IF('Final Calculation Sheet'!$X$38="","",'Final Calculation Sheet'!$X$38)</f>
        <v/>
      </c>
      <c r="AK27" s="679">
        <f>IF('Final Calculation Sheet'!$X$39="","",'Final Calculation Sheet'!$X$39)</f>
        <v/>
      </c>
      <c r="AL27" s="544">
        <f>IF('Final Calculation Sheet'!$X$40="","",'Final Calculation Sheet'!$X$40)</f>
        <v/>
      </c>
      <c r="AM27" s="680">
        <f>IF('Final Calculation Sheet'!$X$41="","",'Final Calculation Sheet'!$X$41)</f>
        <v/>
      </c>
    </row>
    <row r="28" ht="15" customHeight="1">
      <c r="A28" s="675" t="inlineStr">
        <is>
          <t>Date of Receipt (col Y)</t>
        </is>
      </c>
      <c r="B28" s="544">
        <f>IF('Final Calculation Sheet'!$Y$4="","",'Final Calculation Sheet'!$Y$4)</f>
        <v/>
      </c>
      <c r="C28" s="679">
        <f>IF('Final Calculation Sheet'!$Y$5="","",'Final Calculation Sheet'!$Y$5)</f>
        <v/>
      </c>
      <c r="D28" s="544">
        <f>IF('Final Calculation Sheet'!$Y$6="","",'Final Calculation Sheet'!$Y$6)</f>
        <v/>
      </c>
      <c r="E28" s="679">
        <f>IF('Final Calculation Sheet'!$Y$7="","",'Final Calculation Sheet'!$Y$7)</f>
        <v/>
      </c>
      <c r="F28" s="544">
        <f>IF('Final Calculation Sheet'!$Y$8="","",'Final Calculation Sheet'!$Y$8)</f>
        <v/>
      </c>
      <c r="G28" s="679">
        <f>IF('Final Calculation Sheet'!$Y$9="","",'Final Calculation Sheet'!$Y$9)</f>
        <v/>
      </c>
      <c r="H28" s="544">
        <f>IF('Final Calculation Sheet'!$Y$10="","",'Final Calculation Sheet'!$Y$10)</f>
        <v/>
      </c>
      <c r="I28" s="679">
        <f>IF('Final Calculation Sheet'!$Y$11="","",'Final Calculation Sheet'!$Y$11)</f>
        <v/>
      </c>
      <c r="J28" s="544">
        <f>IF('Final Calculation Sheet'!$Y$12="","",'Final Calculation Sheet'!$Y$12)</f>
        <v/>
      </c>
      <c r="K28" s="679">
        <f>IF('Final Calculation Sheet'!$Y$13="","",'Final Calculation Sheet'!$Y$13)</f>
        <v/>
      </c>
      <c r="L28" s="544">
        <f>IF('Final Calculation Sheet'!$Y$14="","",'Final Calculation Sheet'!$Y$14)</f>
        <v/>
      </c>
      <c r="M28" s="679">
        <f>IF('Final Calculation Sheet'!$Y$15="","",'Final Calculation Sheet'!$Y$15)</f>
        <v/>
      </c>
      <c r="N28" s="544">
        <f>IF('Final Calculation Sheet'!$Y$16="","",'Final Calculation Sheet'!$Y$16)</f>
        <v/>
      </c>
      <c r="O28" s="679">
        <f>IF('Final Calculation Sheet'!$Y$17="","",'Final Calculation Sheet'!$Y$17)</f>
        <v/>
      </c>
      <c r="P28" s="544">
        <f>IF('Final Calculation Sheet'!$Y$18="","",'Final Calculation Sheet'!$Y$18)</f>
        <v/>
      </c>
      <c r="Q28" s="679">
        <f>IF('Final Calculation Sheet'!$Y$19="","",'Final Calculation Sheet'!$Y$19)</f>
        <v/>
      </c>
      <c r="R28" s="544">
        <f>IF('Final Calculation Sheet'!$Y$20="","",'Final Calculation Sheet'!$Y$20)</f>
        <v/>
      </c>
      <c r="S28" s="679">
        <f>IF('Final Calculation Sheet'!$Y$21="","",'Final Calculation Sheet'!$Y$21)</f>
        <v/>
      </c>
      <c r="T28" s="544">
        <f>IF('Final Calculation Sheet'!$Y$22="","",'Final Calculation Sheet'!$Y$22)</f>
        <v/>
      </c>
      <c r="U28" s="679">
        <f>IF('Final Calculation Sheet'!$Y$23="","",'Final Calculation Sheet'!$Y$23)</f>
        <v/>
      </c>
      <c r="V28" s="544">
        <f>IF('Final Calculation Sheet'!$Y$24="","",'Final Calculation Sheet'!$Y$24)</f>
        <v/>
      </c>
      <c r="W28" s="679">
        <f>IF('Final Calculation Sheet'!$Y$25="","",'Final Calculation Sheet'!$Y$25)</f>
        <v/>
      </c>
      <c r="X28" s="544">
        <f>IF('Final Calculation Sheet'!$Y$26="","",'Final Calculation Sheet'!$Y$26)</f>
        <v/>
      </c>
      <c r="Y28" s="679">
        <f>IF('Final Calculation Sheet'!$Y$27="","",'Final Calculation Sheet'!$Y$27)</f>
        <v/>
      </c>
      <c r="Z28" s="544">
        <f>IF('Final Calculation Sheet'!$Y$28="","",'Final Calculation Sheet'!$Y$28)</f>
        <v/>
      </c>
      <c r="AA28" s="679">
        <f>IF('Final Calculation Sheet'!$Y$29="","",'Final Calculation Sheet'!$Y$29)</f>
        <v/>
      </c>
      <c r="AB28" s="544">
        <f>IF('Final Calculation Sheet'!$Y$30="","",'Final Calculation Sheet'!$Y$30)</f>
        <v/>
      </c>
      <c r="AC28" s="679">
        <f>IF('Final Calculation Sheet'!$Y$31="","",'Final Calculation Sheet'!$Y$31)</f>
        <v/>
      </c>
      <c r="AD28" s="544">
        <f>IF('Final Calculation Sheet'!$Y$32="","",'Final Calculation Sheet'!$Y$32)</f>
        <v/>
      </c>
      <c r="AE28" s="679">
        <f>IF('Final Calculation Sheet'!$Y$33="","",'Final Calculation Sheet'!$Y$33)</f>
        <v/>
      </c>
      <c r="AF28" s="544">
        <f>IF('Final Calculation Sheet'!$Y$34="","",'Final Calculation Sheet'!$Y$34)</f>
        <v/>
      </c>
      <c r="AG28" s="679">
        <f>IF('Final Calculation Sheet'!$Y$35="","",'Final Calculation Sheet'!$Y$35)</f>
        <v/>
      </c>
      <c r="AH28" s="544">
        <f>IF('Final Calculation Sheet'!$Y$36="","",'Final Calculation Sheet'!$Y$36)</f>
        <v/>
      </c>
      <c r="AI28" s="679">
        <f>IF('Final Calculation Sheet'!$Y$37="","",'Final Calculation Sheet'!$Y$37)</f>
        <v/>
      </c>
      <c r="AJ28" s="544">
        <f>IF('Final Calculation Sheet'!$Y$38="","",'Final Calculation Sheet'!$Y$38)</f>
        <v/>
      </c>
      <c r="AK28" s="679">
        <f>IF('Final Calculation Sheet'!$Y$39="","",'Final Calculation Sheet'!$Y$39)</f>
        <v/>
      </c>
      <c r="AL28" s="544">
        <f>IF('Final Calculation Sheet'!$Y$40="","",'Final Calculation Sheet'!$Y$40)</f>
        <v/>
      </c>
      <c r="AM28" s="680">
        <f>IF('Final Calculation Sheet'!$Y$41="","",'Final Calculation Sheet'!$Y$41)</f>
        <v/>
      </c>
    </row>
    <row r="29" ht="15" customHeight="1">
      <c r="A29" s="678" t="inlineStr">
        <is>
          <t>LPP Expected</t>
        </is>
      </c>
      <c r="B29" s="544">
        <f>IF('Final Calculation Sheet'!$Z$4="","",'Final Calculation Sheet'!$Z$4)</f>
        <v/>
      </c>
      <c r="C29" s="679">
        <f>IF('Final Calculation Sheet'!$Z$5="","",'Final Calculation Sheet'!$Z$5)</f>
        <v/>
      </c>
      <c r="D29" s="544">
        <f>IF('Final Calculation Sheet'!$Z$6="","",'Final Calculation Sheet'!$Z$6)</f>
        <v/>
      </c>
      <c r="E29" s="679">
        <f>IF('Final Calculation Sheet'!$Z$7="","",'Final Calculation Sheet'!$Z$7)</f>
        <v/>
      </c>
      <c r="F29" s="544">
        <f>IF('Final Calculation Sheet'!$Z$8="","",'Final Calculation Sheet'!$Z$8)</f>
        <v/>
      </c>
      <c r="G29" s="679">
        <f>IF('Final Calculation Sheet'!$Z$9="","",'Final Calculation Sheet'!$Z$9)</f>
        <v/>
      </c>
      <c r="H29" s="544">
        <f>IF('Final Calculation Sheet'!$Z$10="","",'Final Calculation Sheet'!$Z$10)</f>
        <v/>
      </c>
      <c r="I29" s="679">
        <f>IF('Final Calculation Sheet'!$Z$11="","",'Final Calculation Sheet'!$Z$11)</f>
        <v/>
      </c>
      <c r="J29" s="544">
        <f>IF('Final Calculation Sheet'!$Z$12="","",'Final Calculation Sheet'!$Z$12)</f>
        <v/>
      </c>
      <c r="K29" s="679">
        <f>IF('Final Calculation Sheet'!$Z$13="","",'Final Calculation Sheet'!$Z$13)</f>
        <v/>
      </c>
      <c r="L29" s="544">
        <f>IF('Final Calculation Sheet'!$Z$14="","",'Final Calculation Sheet'!$Z$14)</f>
        <v/>
      </c>
      <c r="M29" s="679">
        <f>IF('Final Calculation Sheet'!$Z$15="","",'Final Calculation Sheet'!$Z$15)</f>
        <v/>
      </c>
      <c r="N29" s="544">
        <f>IF('Final Calculation Sheet'!$Z$16="","",'Final Calculation Sheet'!$Z$16)</f>
        <v/>
      </c>
      <c r="O29" s="679">
        <f>IF('Final Calculation Sheet'!$Z$17="","",'Final Calculation Sheet'!$Z$17)</f>
        <v/>
      </c>
      <c r="P29" s="544">
        <f>IF('Final Calculation Sheet'!$Z$18="","",'Final Calculation Sheet'!$Z$18)</f>
        <v/>
      </c>
      <c r="Q29" s="679">
        <f>IF('Final Calculation Sheet'!$Z$19="","",'Final Calculation Sheet'!$Z$19)</f>
        <v/>
      </c>
      <c r="R29" s="544">
        <f>IF('Final Calculation Sheet'!$Z$20="","",'Final Calculation Sheet'!$Z$20)</f>
        <v/>
      </c>
      <c r="S29" s="679">
        <f>IF('Final Calculation Sheet'!$Z$21="","",'Final Calculation Sheet'!$Z$21)</f>
        <v/>
      </c>
      <c r="T29" s="544">
        <f>IF('Final Calculation Sheet'!$Z$22="","",'Final Calculation Sheet'!$Z$22)</f>
        <v/>
      </c>
      <c r="U29" s="679">
        <f>IF('Final Calculation Sheet'!$Z$23="","",'Final Calculation Sheet'!$Z$23)</f>
        <v/>
      </c>
      <c r="V29" s="544">
        <f>IF('Final Calculation Sheet'!$Z$24="","",'Final Calculation Sheet'!$Z$24)</f>
        <v/>
      </c>
      <c r="W29" s="679">
        <f>IF('Final Calculation Sheet'!$Z$25="","",'Final Calculation Sheet'!$Z$25)</f>
        <v/>
      </c>
      <c r="X29" s="544">
        <f>IF('Final Calculation Sheet'!$Z$26="","",'Final Calculation Sheet'!$Z$26)</f>
        <v/>
      </c>
      <c r="Y29" s="679">
        <f>IF('Final Calculation Sheet'!$Z$27="","",'Final Calculation Sheet'!$Z$27)</f>
        <v/>
      </c>
      <c r="Z29" s="544">
        <f>IF('Final Calculation Sheet'!$Z$28="","",'Final Calculation Sheet'!$Z$28)</f>
        <v/>
      </c>
      <c r="AA29" s="679">
        <f>IF('Final Calculation Sheet'!$Z$29="","",'Final Calculation Sheet'!$Z$29)</f>
        <v/>
      </c>
      <c r="AB29" s="544">
        <f>IF('Final Calculation Sheet'!$Z$30="","",'Final Calculation Sheet'!$Z$30)</f>
        <v/>
      </c>
      <c r="AC29" s="679">
        <f>IF('Final Calculation Sheet'!$Z$31="","",'Final Calculation Sheet'!$Z$31)</f>
        <v/>
      </c>
      <c r="AD29" s="544">
        <f>IF('Final Calculation Sheet'!$Z$32="","",'Final Calculation Sheet'!$Z$32)</f>
        <v/>
      </c>
      <c r="AE29" s="679">
        <f>IF('Final Calculation Sheet'!$Z$33="","",'Final Calculation Sheet'!$Z$33)</f>
        <v/>
      </c>
      <c r="AF29" s="544">
        <f>IF('Final Calculation Sheet'!$Z$34="","",'Final Calculation Sheet'!$Z$34)</f>
        <v/>
      </c>
      <c r="AG29" s="679">
        <f>IF('Final Calculation Sheet'!$Z$35="","",'Final Calculation Sheet'!$Z$35)</f>
        <v/>
      </c>
      <c r="AH29" s="544">
        <f>IF('Final Calculation Sheet'!$Z$36="","",'Final Calculation Sheet'!$Z$36)</f>
        <v/>
      </c>
      <c r="AI29" s="679">
        <f>IF('Final Calculation Sheet'!$Z$37="","",'Final Calculation Sheet'!$Z$37)</f>
        <v/>
      </c>
      <c r="AJ29" s="544">
        <f>IF('Final Calculation Sheet'!$Z$38="","",'Final Calculation Sheet'!$Z$38)</f>
        <v/>
      </c>
      <c r="AK29" s="679">
        <f>IF('Final Calculation Sheet'!$Z$39="","",'Final Calculation Sheet'!$Z$39)</f>
        <v/>
      </c>
      <c r="AL29" s="544">
        <f>IF('Final Calculation Sheet'!$Z$40="","",'Final Calculation Sheet'!$Z$40)</f>
        <v/>
      </c>
      <c r="AM29" s="680">
        <f>IF('Final Calculation Sheet'!$Z$41="","",'Final Calculation Sheet'!$Z$41)</f>
        <v/>
      </c>
    </row>
    <row r="30" ht="15" customHeight="1">
      <c r="A30" s="675" t="inlineStr">
        <is>
          <t>LPP Received</t>
        </is>
      </c>
      <c r="B30" s="544">
        <f>IF('Final Calculation Sheet'!$AA$4="","",'Final Calculation Sheet'!$AA$4)</f>
        <v/>
      </c>
      <c r="C30" s="679">
        <f>IF('Final Calculation Sheet'!$AA$5="","",'Final Calculation Sheet'!$AA$5)</f>
        <v/>
      </c>
      <c r="D30" s="544">
        <f>IF('Final Calculation Sheet'!$AA$6="","",'Final Calculation Sheet'!$AA$6)</f>
        <v/>
      </c>
      <c r="E30" s="679">
        <f>IF('Final Calculation Sheet'!$AA$7="","",'Final Calculation Sheet'!$AA$7)</f>
        <v/>
      </c>
      <c r="F30" s="544">
        <f>IF('Final Calculation Sheet'!$AA$8="","",'Final Calculation Sheet'!$AA$8)</f>
        <v/>
      </c>
      <c r="G30" s="679">
        <f>IF('Final Calculation Sheet'!$AA$9="","",'Final Calculation Sheet'!$AA$9)</f>
        <v/>
      </c>
      <c r="H30" s="544">
        <f>IF('Final Calculation Sheet'!$AA$10="","",'Final Calculation Sheet'!$AA$10)</f>
        <v/>
      </c>
      <c r="I30" s="679">
        <f>IF('Final Calculation Sheet'!$AA$11="","",'Final Calculation Sheet'!$AA$11)</f>
        <v/>
      </c>
      <c r="J30" s="544">
        <f>IF('Final Calculation Sheet'!$AA$12="","",'Final Calculation Sheet'!$AA$12)</f>
        <v/>
      </c>
      <c r="K30" s="679">
        <f>IF('Final Calculation Sheet'!$AA$13="","",'Final Calculation Sheet'!$AA$13)</f>
        <v/>
      </c>
      <c r="L30" s="544">
        <f>IF('Final Calculation Sheet'!$AA$14="","",'Final Calculation Sheet'!$AA$14)</f>
        <v/>
      </c>
      <c r="M30" s="679">
        <f>IF('Final Calculation Sheet'!$AA$15="","",'Final Calculation Sheet'!$AA$15)</f>
        <v/>
      </c>
      <c r="N30" s="544">
        <f>IF('Final Calculation Sheet'!$AA$16="","",'Final Calculation Sheet'!$AA$16)</f>
        <v/>
      </c>
      <c r="O30" s="679">
        <f>IF('Final Calculation Sheet'!$AA$17="","",'Final Calculation Sheet'!$AA$17)</f>
        <v/>
      </c>
      <c r="P30" s="544">
        <f>IF('Final Calculation Sheet'!$AA$18="","",'Final Calculation Sheet'!$AA$18)</f>
        <v/>
      </c>
      <c r="Q30" s="679">
        <f>IF('Final Calculation Sheet'!$AA$19="","",'Final Calculation Sheet'!$AA$19)</f>
        <v/>
      </c>
      <c r="R30" s="544">
        <f>IF('Final Calculation Sheet'!$AA$20="","",'Final Calculation Sheet'!$AA$20)</f>
        <v/>
      </c>
      <c r="S30" s="679">
        <f>IF('Final Calculation Sheet'!$AA$21="","",'Final Calculation Sheet'!$AA$21)</f>
        <v/>
      </c>
      <c r="T30" s="544">
        <f>IF('Final Calculation Sheet'!$AA$22="","",'Final Calculation Sheet'!$AA$22)</f>
        <v/>
      </c>
      <c r="U30" s="679">
        <f>IF('Final Calculation Sheet'!$AA$23="","",'Final Calculation Sheet'!$AA$23)</f>
        <v/>
      </c>
      <c r="V30" s="544">
        <f>IF('Final Calculation Sheet'!$AA$24="","",'Final Calculation Sheet'!$AA$24)</f>
        <v/>
      </c>
      <c r="W30" s="679">
        <f>IF('Final Calculation Sheet'!$AA$25="","",'Final Calculation Sheet'!$AA$25)</f>
        <v/>
      </c>
      <c r="X30" s="544">
        <f>IF('Final Calculation Sheet'!$AA$26="","",'Final Calculation Sheet'!$AA$26)</f>
        <v/>
      </c>
      <c r="Y30" s="679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679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679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679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679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679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679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680">
        <f>IF('Final Calculation Sheet'!$AA$41="","",'Final Calculation Sheet'!$AA$41)</f>
        <v/>
      </c>
    </row>
    <row r="31" ht="15" customHeight="1">
      <c r="A31" s="678" t="inlineStr">
        <is>
          <t>Date of Recepit of LPP</t>
        </is>
      </c>
      <c r="B31" s="544">
        <f>IF('Final Calculation Sheet'!$AB$4="","",'Final Calculation Sheet'!$AB$4)</f>
        <v/>
      </c>
      <c r="C31" s="679">
        <f>IF('Final Calculation Sheet'!$AB$5="","",'Final Calculation Sheet'!$AB$5)</f>
        <v/>
      </c>
      <c r="D31" s="544">
        <f>IF('Final Calculation Sheet'!$AB$6="","",'Final Calculation Sheet'!$AB$6)</f>
        <v/>
      </c>
      <c r="E31" s="679">
        <f>IF('Final Calculation Sheet'!$AB$7="","",'Final Calculation Sheet'!$AB$7)</f>
        <v/>
      </c>
      <c r="F31" s="544">
        <f>IF('Final Calculation Sheet'!$AB$8="","",'Final Calculation Sheet'!$AB$8)</f>
        <v/>
      </c>
      <c r="G31" s="679">
        <f>IF('Final Calculation Sheet'!$AB$9="","",'Final Calculation Sheet'!$AB$9)</f>
        <v/>
      </c>
      <c r="H31" s="544">
        <f>IF('Final Calculation Sheet'!$AB$10="","",'Final Calculation Sheet'!$AB$10)</f>
        <v/>
      </c>
      <c r="I31" s="679">
        <f>IF('Final Calculation Sheet'!$AB$11="","",'Final Calculation Sheet'!$AB$11)</f>
        <v/>
      </c>
      <c r="J31" s="544">
        <f>IF('Final Calculation Sheet'!$AB$12="","",'Final Calculation Sheet'!$AB$12)</f>
        <v/>
      </c>
      <c r="K31" s="679">
        <f>IF('Final Calculation Sheet'!$AB$13="","",'Final Calculation Sheet'!$AB$13)</f>
        <v/>
      </c>
      <c r="L31" s="544">
        <f>IF('Final Calculation Sheet'!$AB$14="","",'Final Calculation Sheet'!$AB$14)</f>
        <v/>
      </c>
      <c r="M31" s="679">
        <f>IF('Final Calculation Sheet'!$AB$15="","",'Final Calculation Sheet'!$AB$15)</f>
        <v/>
      </c>
      <c r="N31" s="544">
        <f>IF('Final Calculation Sheet'!$AB$16="","",'Final Calculation Sheet'!$AB$16)</f>
        <v/>
      </c>
      <c r="O31" s="679">
        <f>IF('Final Calculation Sheet'!$AB$17="","",'Final Calculation Sheet'!$AB$17)</f>
        <v/>
      </c>
      <c r="P31" s="544">
        <f>IF('Final Calculation Sheet'!$AB$18="","",'Final Calculation Sheet'!$AB$18)</f>
        <v/>
      </c>
      <c r="Q31" s="679">
        <f>IF('Final Calculation Sheet'!$AB$19="","",'Final Calculation Sheet'!$AB$19)</f>
        <v/>
      </c>
      <c r="R31" s="544">
        <f>IF('Final Calculation Sheet'!$AB$20="","",'Final Calculation Sheet'!$AB$20)</f>
        <v/>
      </c>
      <c r="S31" s="679">
        <f>IF('Final Calculation Sheet'!$AB$21="","",'Final Calculation Sheet'!$AB$21)</f>
        <v/>
      </c>
      <c r="T31" s="544">
        <f>IF('Final Calculation Sheet'!$AB$22="","",'Final Calculation Sheet'!$AB$22)</f>
        <v/>
      </c>
      <c r="U31" s="679">
        <f>IF('Final Calculation Sheet'!$AB$23="","",'Final Calculation Sheet'!$AB$23)</f>
        <v/>
      </c>
      <c r="V31" s="544">
        <f>IF('Final Calculation Sheet'!$AB$24="","",'Final Calculation Sheet'!$AB$24)</f>
        <v/>
      </c>
      <c r="W31" s="679">
        <f>IF('Final Calculation Sheet'!$AB$25="","",'Final Calculation Sheet'!$AB$25)</f>
        <v/>
      </c>
      <c r="X31" s="544">
        <f>IF('Final Calculation Sheet'!$AB$26="","",'Final Calculation Sheet'!$AB$26)</f>
        <v/>
      </c>
      <c r="Y31" s="679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679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679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679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679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679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679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680">
        <f>IF('Final Calculation Sheet'!$AB$41="","",'Final Calculation Sheet'!$AB$41)</f>
        <v/>
      </c>
    </row>
    <row r="32" ht="15" customHeight="1">
      <c r="A32" s="675" t="inlineStr">
        <is>
          <t>Total Received</t>
        </is>
      </c>
      <c r="B32" s="544">
        <f>IF('Final Calculation Sheet'!$AC$4="","",'Final Calculation Sheet'!$AC$4)</f>
        <v/>
      </c>
      <c r="C32" s="679">
        <f>IF('Final Calculation Sheet'!$AC$5="","",'Final Calculation Sheet'!$AC$5)</f>
        <v/>
      </c>
      <c r="D32" s="544">
        <f>IF('Final Calculation Sheet'!$AC$6="","",'Final Calculation Sheet'!$AC$6)</f>
        <v/>
      </c>
      <c r="E32" s="679">
        <f>IF('Final Calculation Sheet'!$AC$7="","",'Final Calculation Sheet'!$AC$7)</f>
        <v/>
      </c>
      <c r="F32" s="544">
        <f>IF('Final Calculation Sheet'!$AC$8="","",'Final Calculation Sheet'!$AC$8)</f>
        <v/>
      </c>
      <c r="G32" s="679">
        <f>IF('Final Calculation Sheet'!$AC$9="","",'Final Calculation Sheet'!$AC$9)</f>
        <v/>
      </c>
      <c r="H32" s="544">
        <f>IF('Final Calculation Sheet'!$AC$10="","",'Final Calculation Sheet'!$AC$10)</f>
        <v/>
      </c>
      <c r="I32" s="679">
        <f>IF('Final Calculation Sheet'!$AC$11="","",'Final Calculation Sheet'!$AC$11)</f>
        <v/>
      </c>
      <c r="J32" s="544">
        <f>IF('Final Calculation Sheet'!$AC$12="","",'Final Calculation Sheet'!$AC$12)</f>
        <v/>
      </c>
      <c r="K32" s="679">
        <f>IF('Final Calculation Sheet'!$AC$13="","",'Final Calculation Sheet'!$AC$13)</f>
        <v/>
      </c>
      <c r="L32" s="544">
        <f>IF('Final Calculation Sheet'!$AC$14="","",'Final Calculation Sheet'!$AC$14)</f>
        <v/>
      </c>
      <c r="M32" s="679">
        <f>IF('Final Calculation Sheet'!$AC$15="","",'Final Calculation Sheet'!$AC$15)</f>
        <v/>
      </c>
      <c r="N32" s="544">
        <f>IF('Final Calculation Sheet'!$AC$16="","",'Final Calculation Sheet'!$AC$16)</f>
        <v/>
      </c>
      <c r="O32" s="679">
        <f>IF('Final Calculation Sheet'!$AC$17="","",'Final Calculation Sheet'!$AC$17)</f>
        <v/>
      </c>
      <c r="P32" s="544">
        <f>IF('Final Calculation Sheet'!$AC$18="","",'Final Calculation Sheet'!$AC$18)</f>
        <v/>
      </c>
      <c r="Q32" s="679">
        <f>IF('Final Calculation Sheet'!$AC$19="","",'Final Calculation Sheet'!$AC$19)</f>
        <v/>
      </c>
      <c r="R32" s="544">
        <f>IF('Final Calculation Sheet'!$AC$20="","",'Final Calculation Sheet'!$AC$20)</f>
        <v/>
      </c>
      <c r="S32" s="679">
        <f>IF('Final Calculation Sheet'!$AC$21="","",'Final Calculation Sheet'!$AC$21)</f>
        <v/>
      </c>
      <c r="T32" s="544">
        <f>IF('Final Calculation Sheet'!$AC$22="","",'Final Calculation Sheet'!$AC$22)</f>
        <v/>
      </c>
      <c r="U32" s="679">
        <f>IF('Final Calculation Sheet'!$AC$23="","",'Final Calculation Sheet'!$AC$23)</f>
        <v/>
      </c>
      <c r="V32" s="544">
        <f>IF('Final Calculation Sheet'!$AC$24="","",'Final Calculation Sheet'!$AC$24)</f>
        <v/>
      </c>
      <c r="W32" s="679">
        <f>IF('Final Calculation Sheet'!$AC$25="","",'Final Calculation Sheet'!$AC$25)</f>
        <v/>
      </c>
      <c r="X32" s="544">
        <f>IF('Final Calculation Sheet'!$AC$26="","",'Final Calculation Sheet'!$AC$26)</f>
        <v/>
      </c>
      <c r="Y32" s="679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679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679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679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679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679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679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680">
        <f>IF('Final Calculation Sheet'!$AC$41="","",'Final Calculation Sheet'!$AC$41)</f>
        <v/>
      </c>
    </row>
    <row r="33" ht="15" customHeight="1">
      <c r="A33" s="678" t="inlineStr">
        <is>
          <t>Outstanding</t>
        </is>
      </c>
      <c r="B33" s="544">
        <f>IF('Final Calculation Sheet'!$AD$4="","",'Final Calculation Sheet'!$AD$4)</f>
        <v/>
      </c>
      <c r="C33" s="679">
        <f>IF('Final Calculation Sheet'!$AD$5="","",'Final Calculation Sheet'!$AD$5)</f>
        <v/>
      </c>
      <c r="D33" s="544">
        <f>IF('Final Calculation Sheet'!$AD$6="","",'Final Calculation Sheet'!$AD$6)</f>
        <v/>
      </c>
      <c r="E33" s="679">
        <f>IF('Final Calculation Sheet'!$AD$7="","",'Final Calculation Sheet'!$AD$7)</f>
        <v/>
      </c>
      <c r="F33" s="544">
        <f>IF('Final Calculation Sheet'!$AD$8="","",'Final Calculation Sheet'!$AD$8)</f>
        <v/>
      </c>
      <c r="G33" s="679">
        <f>IF('Final Calculation Sheet'!$AD$9="","",'Final Calculation Sheet'!$AD$9)</f>
        <v/>
      </c>
      <c r="H33" s="544">
        <f>IF('Final Calculation Sheet'!$AD$10="","",'Final Calculation Sheet'!$AD$10)</f>
        <v/>
      </c>
      <c r="I33" s="679">
        <f>IF('Final Calculation Sheet'!$AD$11="","",'Final Calculation Sheet'!$AD$11)</f>
        <v/>
      </c>
      <c r="J33" s="544">
        <f>IF('Final Calculation Sheet'!$AD$12="","",'Final Calculation Sheet'!$AD$12)</f>
        <v/>
      </c>
      <c r="K33" s="679">
        <f>IF('Final Calculation Sheet'!$AD$13="","",'Final Calculation Sheet'!$AD$13)</f>
        <v/>
      </c>
      <c r="L33" s="544">
        <f>IF('Final Calculation Sheet'!$AD$14="","",'Final Calculation Sheet'!$AD$14)</f>
        <v/>
      </c>
      <c r="M33" s="679">
        <f>IF('Final Calculation Sheet'!$AD$15="","",'Final Calculation Sheet'!$AD$15)</f>
        <v/>
      </c>
      <c r="N33" s="544">
        <f>IF('Final Calculation Sheet'!$AD$16="","",'Final Calculation Sheet'!$AD$16)</f>
        <v/>
      </c>
      <c r="O33" s="679">
        <f>IF('Final Calculation Sheet'!$AD$17="","",'Final Calculation Sheet'!$AD$17)</f>
        <v/>
      </c>
      <c r="P33" s="544">
        <f>IF('Final Calculation Sheet'!$AD$18="","",'Final Calculation Sheet'!$AD$18)</f>
        <v/>
      </c>
      <c r="Q33" s="679">
        <f>IF('Final Calculation Sheet'!$AD$19="","",'Final Calculation Sheet'!$AD$19)</f>
        <v/>
      </c>
      <c r="R33" s="544">
        <f>IF('Final Calculation Sheet'!$AD$20="","",'Final Calculation Sheet'!$AD$20)</f>
        <v/>
      </c>
      <c r="S33" s="679">
        <f>IF('Final Calculation Sheet'!$AD$21="","",'Final Calculation Sheet'!$AD$21)</f>
        <v/>
      </c>
      <c r="T33" s="544">
        <f>IF('Final Calculation Sheet'!$AD$22="","",'Final Calculation Sheet'!$AD$22)</f>
        <v/>
      </c>
      <c r="U33" s="679">
        <f>IF('Final Calculation Sheet'!$AD$23="","",'Final Calculation Sheet'!$AD$23)</f>
        <v/>
      </c>
      <c r="V33" s="544">
        <f>IF('Final Calculation Sheet'!$AD$24="","",'Final Calculation Sheet'!$AD$24)</f>
        <v/>
      </c>
      <c r="W33" s="679">
        <f>IF('Final Calculation Sheet'!$AD$25="","",'Final Calculation Sheet'!$AD$25)</f>
        <v/>
      </c>
      <c r="X33" s="544">
        <f>IF('Final Calculation Sheet'!$AD$26="","",'Final Calculation Sheet'!$AD$26)</f>
        <v/>
      </c>
      <c r="Y33" s="679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679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679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679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679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679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679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680">
        <f>IF('Final Calculation Sheet'!$AD$41="","",'Final Calculation Sheet'!$AD$41)</f>
        <v/>
      </c>
    </row>
    <row r="34" ht="15" customHeight="1">
      <c r="A34" s="675" t="inlineStr">
        <is>
          <t>Invoice No.</t>
        </is>
      </c>
      <c r="B34" s="544">
        <f>IF('Final Calculation Sheet'!$AE$4="","",'Final Calculation Sheet'!$AE$4)</f>
        <v/>
      </c>
      <c r="C34" s="679">
        <f>IF('Final Calculation Sheet'!$AE$5="","",'Final Calculation Sheet'!$AE$5)</f>
        <v/>
      </c>
      <c r="D34" s="544">
        <f>IF('Final Calculation Sheet'!$AE$6="","",'Final Calculation Sheet'!$AE$6)</f>
        <v/>
      </c>
      <c r="E34" s="679">
        <f>IF('Final Calculation Sheet'!$AE$7="","",'Final Calculation Sheet'!$AE$7)</f>
        <v/>
      </c>
      <c r="F34" s="544">
        <f>IF('Final Calculation Sheet'!$AE$8="","",'Final Calculation Sheet'!$AE$8)</f>
        <v/>
      </c>
      <c r="G34" s="679">
        <f>IF('Final Calculation Sheet'!$AE$9="","",'Final Calculation Sheet'!$AE$9)</f>
        <v/>
      </c>
      <c r="H34" s="544">
        <f>IF('Final Calculation Sheet'!$AE$10="","",'Final Calculation Sheet'!$AE$10)</f>
        <v/>
      </c>
      <c r="I34" s="679">
        <f>IF('Final Calculation Sheet'!$AE$11="","",'Final Calculation Sheet'!$AE$11)</f>
        <v/>
      </c>
      <c r="J34" s="544">
        <f>IF('Final Calculation Sheet'!$AE$12="","",'Final Calculation Sheet'!$AE$12)</f>
        <v/>
      </c>
      <c r="K34" s="679">
        <f>IF('Final Calculation Sheet'!$AE$13="","",'Final Calculation Sheet'!$AE$13)</f>
        <v/>
      </c>
      <c r="L34" s="544">
        <f>IF('Final Calculation Sheet'!$AE$14="","",'Final Calculation Sheet'!$AE$14)</f>
        <v/>
      </c>
      <c r="M34" s="679">
        <f>IF('Final Calculation Sheet'!$AE$15="","",'Final Calculation Sheet'!$AE$15)</f>
        <v/>
      </c>
      <c r="N34" s="544">
        <f>IF('Final Calculation Sheet'!$AE$16="","",'Final Calculation Sheet'!$AE$16)</f>
        <v/>
      </c>
      <c r="O34" s="679">
        <f>IF('Final Calculation Sheet'!$AE$17="","",'Final Calculation Sheet'!$AE$17)</f>
        <v/>
      </c>
      <c r="P34" s="544">
        <f>IF('Final Calculation Sheet'!$AE$18="","",'Final Calculation Sheet'!$AE$18)</f>
        <v/>
      </c>
      <c r="Q34" s="679">
        <f>IF('Final Calculation Sheet'!$AE$19="","",'Final Calculation Sheet'!$AE$19)</f>
        <v/>
      </c>
      <c r="R34" s="544">
        <f>IF('Final Calculation Sheet'!$AE$20="","",'Final Calculation Sheet'!$AE$20)</f>
        <v/>
      </c>
      <c r="S34" s="679">
        <f>IF('Final Calculation Sheet'!$AE$21="","",'Final Calculation Sheet'!$AE$21)</f>
        <v/>
      </c>
      <c r="T34" s="544">
        <f>IF('Final Calculation Sheet'!$AE$22="","",'Final Calculation Sheet'!$AE$22)</f>
        <v/>
      </c>
      <c r="U34" s="679">
        <f>IF('Final Calculation Sheet'!$AE$23="","",'Final Calculation Sheet'!$AE$23)</f>
        <v/>
      </c>
      <c r="V34" s="544">
        <f>IF('Final Calculation Sheet'!$AE$24="","",'Final Calculation Sheet'!$AE$24)</f>
        <v/>
      </c>
      <c r="W34" s="679">
        <f>IF('Final Calculation Sheet'!$AE$25="","",'Final Calculation Sheet'!$AE$25)</f>
        <v/>
      </c>
      <c r="X34" s="544">
        <f>IF('Final Calculation Sheet'!$AE$26="","",'Final Calculation Sheet'!$AE$26)</f>
        <v/>
      </c>
      <c r="Y34" s="679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679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679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679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679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679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679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680">
        <f>IF('Final Calculation Sheet'!$AE$41="","",'Final Calculation Sheet'!$AE$41)</f>
        <v/>
      </c>
    </row>
    <row r="35" ht="15" customHeight="1">
      <c r="A35" s="678" t="inlineStr">
        <is>
          <t>SAP Document</t>
        </is>
      </c>
      <c r="B35" s="555">
        <f>IF('Final Calculation Sheet'!$AF$4="","",'Final Calculation Sheet'!$AF$4)</f>
        <v/>
      </c>
      <c r="C35" s="687">
        <f>IF('Final Calculation Sheet'!$AF$5="","",'Final Calculation Sheet'!$AF$5)</f>
        <v/>
      </c>
      <c r="D35" s="555">
        <f>IF('Final Calculation Sheet'!$AF$6="","",'Final Calculation Sheet'!$AF$6)</f>
        <v/>
      </c>
      <c r="E35" s="687">
        <f>IF('Final Calculation Sheet'!$AF$7="","",'Final Calculation Sheet'!$AF$7)</f>
        <v/>
      </c>
      <c r="F35" s="555">
        <f>IF('Final Calculation Sheet'!$AF$8="","",'Final Calculation Sheet'!$AF$8)</f>
        <v/>
      </c>
      <c r="G35" s="687">
        <f>IF('Final Calculation Sheet'!$AF$9="","",'Final Calculation Sheet'!$AF$9)</f>
        <v/>
      </c>
      <c r="H35" s="555">
        <f>IF('Final Calculation Sheet'!$AF$10="","",'Final Calculation Sheet'!$AF$10)</f>
        <v/>
      </c>
      <c r="I35" s="687">
        <f>IF('Final Calculation Sheet'!$AF$11="","",'Final Calculation Sheet'!$AF$11)</f>
        <v/>
      </c>
      <c r="J35" s="555">
        <f>IF('Final Calculation Sheet'!$AF$12="","",'Final Calculation Sheet'!$AF$12)</f>
        <v/>
      </c>
      <c r="K35" s="687">
        <f>IF('Final Calculation Sheet'!$AF$13="","",'Final Calculation Sheet'!$AF$13)</f>
        <v/>
      </c>
      <c r="L35" s="555">
        <f>IF('Final Calculation Sheet'!$AF$14="","",'Final Calculation Sheet'!$AF$14)</f>
        <v/>
      </c>
      <c r="M35" s="687">
        <f>IF('Final Calculation Sheet'!$AF$15="","",'Final Calculation Sheet'!$AF$15)</f>
        <v/>
      </c>
      <c r="N35" s="555">
        <f>IF('Final Calculation Sheet'!$AF$16="","",'Final Calculation Sheet'!$AF$16)</f>
        <v/>
      </c>
      <c r="O35" s="687">
        <f>IF('Final Calculation Sheet'!$AF$17="","",'Final Calculation Sheet'!$AF$17)</f>
        <v/>
      </c>
      <c r="P35" s="555">
        <f>IF('Final Calculation Sheet'!$AF$18="","",'Final Calculation Sheet'!$AF$18)</f>
        <v/>
      </c>
      <c r="Q35" s="687">
        <f>IF('Final Calculation Sheet'!$AF$19="","",'Final Calculation Sheet'!$AF$19)</f>
        <v/>
      </c>
      <c r="R35" s="555">
        <f>IF('Final Calculation Sheet'!$AF$20="","",'Final Calculation Sheet'!$AF$20)</f>
        <v/>
      </c>
      <c r="S35" s="687">
        <f>IF('Final Calculation Sheet'!$AF$21="","",'Final Calculation Sheet'!$AF$21)</f>
        <v/>
      </c>
      <c r="T35" s="555">
        <f>IF('Final Calculation Sheet'!$AF$22="","",'Final Calculation Sheet'!$AF$22)</f>
        <v/>
      </c>
      <c r="U35" s="687">
        <f>IF('Final Calculation Sheet'!$AF$23="","",'Final Calculation Sheet'!$AF$23)</f>
        <v/>
      </c>
      <c r="V35" s="555">
        <f>IF('Final Calculation Sheet'!$AF$24="","",'Final Calculation Sheet'!$AF$24)</f>
        <v/>
      </c>
      <c r="W35" s="687">
        <f>IF('Final Calculation Sheet'!$AF$25="","",'Final Calculation Sheet'!$AF$25)</f>
        <v/>
      </c>
      <c r="X35" s="555">
        <f>IF('Final Calculation Sheet'!$AF$26="","",'Final Calculation Sheet'!$AF$26)</f>
        <v/>
      </c>
      <c r="Y35" s="687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687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687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687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687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687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687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688">
        <f>IF('Final Calculation Sheet'!$AF$41="","",'Final Calculation Sheet'!$AF$41)</f>
        <v/>
      </c>
    </row>
    <row r="36" ht="15" customHeight="1">
      <c r="A36" s="675" t="inlineStr">
        <is>
          <t>Doc./Invoice Date</t>
        </is>
      </c>
      <c r="B36" s="544">
        <f>IF('Final Calculation Sheet'!$AG$4="","",'Final Calculation Sheet'!$AG$4)</f>
        <v/>
      </c>
      <c r="C36" s="679">
        <f>IF('Final Calculation Sheet'!$AG$5="","",'Final Calculation Sheet'!$AG$5)</f>
        <v/>
      </c>
      <c r="D36" s="544">
        <f>IF('Final Calculation Sheet'!$AG$6="","",'Final Calculation Sheet'!$AG$6)</f>
        <v/>
      </c>
      <c r="E36" s="679">
        <f>IF('Final Calculation Sheet'!$AG$7="","",'Final Calculation Sheet'!$AG$7)</f>
        <v/>
      </c>
      <c r="F36" s="544">
        <f>IF('Final Calculation Sheet'!$AG$8="","",'Final Calculation Sheet'!$AG$8)</f>
        <v/>
      </c>
      <c r="G36" s="679">
        <f>IF('Final Calculation Sheet'!$AG$9="","",'Final Calculation Sheet'!$AG$9)</f>
        <v/>
      </c>
      <c r="H36" s="544">
        <f>IF('Final Calculation Sheet'!$AG$10="","",'Final Calculation Sheet'!$AG$10)</f>
        <v/>
      </c>
      <c r="I36" s="679">
        <f>IF('Final Calculation Sheet'!$AG$11="","",'Final Calculation Sheet'!$AG$11)</f>
        <v/>
      </c>
      <c r="J36" s="544">
        <f>IF('Final Calculation Sheet'!$AG$12="","",'Final Calculation Sheet'!$AG$12)</f>
        <v/>
      </c>
      <c r="K36" s="679">
        <f>IF('Final Calculation Sheet'!$AG$13="","",'Final Calculation Sheet'!$AG$13)</f>
        <v/>
      </c>
      <c r="L36" s="544">
        <f>IF('Final Calculation Sheet'!$AG$14="","",'Final Calculation Sheet'!$AG$14)</f>
        <v/>
      </c>
      <c r="M36" s="679">
        <f>IF('Final Calculation Sheet'!$AG$15="","",'Final Calculation Sheet'!$AG$15)</f>
        <v/>
      </c>
      <c r="N36" s="544">
        <f>IF('Final Calculation Sheet'!$AG$16="","",'Final Calculation Sheet'!$AG$16)</f>
        <v/>
      </c>
      <c r="O36" s="679">
        <f>IF('Final Calculation Sheet'!$AG$17="","",'Final Calculation Sheet'!$AG$17)</f>
        <v/>
      </c>
      <c r="P36" s="544">
        <f>IF('Final Calculation Sheet'!$AG$18="","",'Final Calculation Sheet'!$AG$18)</f>
        <v/>
      </c>
      <c r="Q36" s="679">
        <f>IF('Final Calculation Sheet'!$AG$19="","",'Final Calculation Sheet'!$AG$19)</f>
        <v/>
      </c>
      <c r="R36" s="544">
        <f>IF('Final Calculation Sheet'!$AG$20="","",'Final Calculation Sheet'!$AG$20)</f>
        <v/>
      </c>
      <c r="S36" s="679">
        <f>IF('Final Calculation Sheet'!$AG$21="","",'Final Calculation Sheet'!$AG$21)</f>
        <v/>
      </c>
      <c r="T36" s="544">
        <f>IF('Final Calculation Sheet'!$AG$22="","",'Final Calculation Sheet'!$AG$22)</f>
        <v/>
      </c>
      <c r="U36" s="679">
        <f>IF('Final Calculation Sheet'!$AG$23="","",'Final Calculation Sheet'!$AG$23)</f>
        <v/>
      </c>
      <c r="V36" s="544">
        <f>IF('Final Calculation Sheet'!$AG$24="","",'Final Calculation Sheet'!$AG$24)</f>
        <v/>
      </c>
      <c r="W36" s="679">
        <f>IF('Final Calculation Sheet'!$AG$25="","",'Final Calculation Sheet'!$AG$25)</f>
        <v/>
      </c>
      <c r="X36" s="544">
        <f>IF('Final Calculation Sheet'!$AG$26="","",'Final Calculation Sheet'!$AG$26)</f>
        <v/>
      </c>
      <c r="Y36" s="679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679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679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679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679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679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679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680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22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658" t="inlineStr">
        <is>
          <t>MSTC LIMITED  •  FINAL CALCULATION SHEET, TRANSPOSED   (field labels ↓ rows  |  values → columns)</t>
        </is>
      </c>
    </row>
    <row r="2" ht="32" customHeight="1">
      <c r="A2" s="659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689" t="inlineStr">
        <is>
          <t>AUCTION  →</t>
        </is>
      </c>
      <c r="B3" s="690" t="inlineStr">
        <is>
          <t>AUCTION 21977</t>
        </is>
      </c>
      <c r="C3" s="691" t="n"/>
      <c r="D3" s="691" t="n"/>
      <c r="E3" s="691" t="n"/>
      <c r="F3" s="691" t="n"/>
      <c r="G3" s="691" t="n"/>
      <c r="H3" s="691" t="n"/>
      <c r="I3" s="691" t="n"/>
      <c r="J3" s="691" t="n"/>
      <c r="K3" s="691" t="n"/>
      <c r="L3" s="691" t="n"/>
      <c r="M3" s="691" t="n"/>
      <c r="N3" s="691" t="n"/>
      <c r="O3" s="691" t="n"/>
      <c r="P3" s="691" t="n"/>
      <c r="R3" s="692" t="inlineStr">
        <is>
          <t>AUCTION 21978</t>
        </is>
      </c>
      <c r="S3" s="693" t="n"/>
      <c r="T3" s="693" t="n"/>
      <c r="U3" s="693" t="n"/>
      <c r="V3" s="693" t="n"/>
      <c r="W3" s="693" t="n"/>
      <c r="X3" s="693" t="n"/>
      <c r="Y3" s="693" t="n"/>
      <c r="Z3" s="693" t="n"/>
      <c r="AA3" s="693" t="n"/>
      <c r="AB3" s="693" t="n"/>
      <c r="AC3" s="693" t="n"/>
      <c r="AD3" s="693" t="n"/>
      <c r="AE3" s="693" t="n"/>
      <c r="AF3" s="693" t="n"/>
      <c r="AG3" s="693" t="n"/>
      <c r="AH3" s="693" t="n"/>
      <c r="AI3" s="693" t="n"/>
      <c r="AK3" s="694" t="inlineStr">
        <is>
          <t>AUCTION 21979</t>
        </is>
      </c>
      <c r="AL3" s="695" t="n"/>
      <c r="AM3" s="695" t="n"/>
      <c r="AN3" s="695" t="n"/>
      <c r="AO3" s="695" t="n"/>
      <c r="AP3" s="695" t="n"/>
      <c r="AQ3" s="695" t="n"/>
      <c r="AS3" s="696" t="inlineStr">
        <is>
          <t>AUCTION 21980</t>
        </is>
      </c>
      <c r="AT3" s="697" t="n"/>
      <c r="AU3" s="697" t="n"/>
      <c r="AV3" s="697" t="n"/>
      <c r="AW3" s="697" t="n"/>
      <c r="AX3" s="697" t="n"/>
      <c r="AY3" s="697" t="n"/>
      <c r="AZ3" s="697" t="n"/>
      <c r="BA3" s="697" t="n"/>
      <c r="BB3" s="697" t="n"/>
      <c r="BC3" s="697" t="n"/>
      <c r="BD3" s="697" t="n"/>
      <c r="BE3" s="697" t="n"/>
      <c r="BF3" s="697" t="n"/>
    </row>
    <row r="4" ht="46" customHeight="1">
      <c r="A4" s="689" t="inlineStr">
        <is>
          <t>BUYER  →</t>
        </is>
      </c>
      <c r="B4" s="698" t="inlineStr">
        <is>
          <t>F R KHANS ENTERPRISES  (2)</t>
        </is>
      </c>
      <c r="C4" s="691" t="n"/>
      <c r="E4" s="699" t="inlineStr">
        <is>
          <t>HIND TRADERS</t>
        </is>
      </c>
      <c r="G4" s="700" t="inlineStr">
        <is>
          <t>NATIONAL ENTERPRISES  (4)</t>
        </is>
      </c>
      <c r="H4" s="695" t="n"/>
      <c r="I4" s="695" t="n"/>
      <c r="J4" s="695" t="n"/>
      <c r="L4" s="701" t="inlineStr">
        <is>
          <t>SHAR JAHAN TRADERS  (2)</t>
        </is>
      </c>
      <c r="M4" s="697" t="n"/>
      <c r="O4" s="702" t="inlineStr">
        <is>
          <t>STERLING ENTERPRISES  (2)</t>
        </is>
      </c>
      <c r="P4" s="703" t="n"/>
      <c r="R4" s="704" t="inlineStr">
        <is>
          <t>M I SCRAP TRADERS</t>
        </is>
      </c>
      <c r="T4" s="700" t="inlineStr">
        <is>
          <t>NATIONAL ENTERPRISES  (5)</t>
        </is>
      </c>
      <c r="U4" s="695" t="n"/>
      <c r="V4" s="695" t="n"/>
      <c r="W4" s="695" t="n"/>
      <c r="X4" s="695" t="n"/>
      <c r="Z4" s="705" t="inlineStr">
        <is>
          <t>NATIONAL SCRAP AND BUILDING MATERIAL SUPPLIER</t>
        </is>
      </c>
      <c r="AB4" s="706" t="inlineStr">
        <is>
          <t>OMKAR STEELS</t>
        </is>
      </c>
      <c r="AD4" s="702" t="inlineStr">
        <is>
          <t>STERLING ENTERPRISES  (3)</t>
        </is>
      </c>
      <c r="AE4" s="703" t="n"/>
      <c r="AF4" s="703" t="n"/>
      <c r="AH4" s="698" t="inlineStr">
        <is>
          <t>WATAN SCRAP TRADERS  (2)</t>
        </is>
      </c>
      <c r="AI4" s="691" t="n"/>
      <c r="AK4" s="700" t="inlineStr">
        <is>
          <t>NATIONAL ENTERPRISES  (3)</t>
        </is>
      </c>
      <c r="AL4" s="695" t="n"/>
      <c r="AM4" s="695" t="n"/>
      <c r="AO4" s="699" t="inlineStr">
        <is>
          <t>SAHARA ENTERPRISES</t>
        </is>
      </c>
      <c r="AQ4" s="702" t="inlineStr">
        <is>
          <t>STERLING ENTERPRISES</t>
        </is>
      </c>
      <c r="AS4" s="700" t="inlineStr">
        <is>
          <t>AL HAMD TRADE CORPORATION</t>
        </is>
      </c>
      <c r="AU4" s="701" t="inlineStr">
        <is>
          <t>KASHYAP TRADING CO</t>
        </is>
      </c>
      <c r="AW4" s="700" t="inlineStr">
        <is>
          <t>NATIONAL ENTERPRISES</t>
        </is>
      </c>
      <c r="AY4" s="706" t="inlineStr">
        <is>
          <t>OMKAR STEELS</t>
        </is>
      </c>
      <c r="BA4" s="702" t="inlineStr">
        <is>
          <t>S M ENTERPRISES  (2)</t>
        </is>
      </c>
      <c r="BB4" s="703" t="n"/>
      <c r="BD4" s="702" t="inlineStr">
        <is>
          <t>STERLING ENTERPRISES</t>
        </is>
      </c>
      <c r="BF4" s="698" t="inlineStr">
        <is>
          <t>WATAN SCRAP TRADERS</t>
        </is>
      </c>
    </row>
    <row r="5" ht="30" customHeight="1">
      <c r="A5" s="669" t="inlineStr">
        <is>
          <t>FIELD (row 3 of the source)  ▸  |  LOT →</t>
        </is>
      </c>
      <c r="B5" s="670">
        <f>IF('Final Calculation Sheet'!$F$6="","",'Final Calculation Sheet'!$F$6)</f>
        <v/>
      </c>
      <c r="C5" s="670">
        <f>IF('Final Calculation Sheet'!$F$7="","",'Final Calculation Sheet'!$F$7)</f>
        <v/>
      </c>
      <c r="D5" s="707" t="n"/>
      <c r="E5" s="670">
        <f>IF('Final Calculation Sheet'!$F$15="","",'Final Calculation Sheet'!$F$15)</f>
        <v/>
      </c>
      <c r="F5" s="707" t="n"/>
      <c r="G5" s="670">
        <f>IF('Final Calculation Sheet'!$F$5="","",'Final Calculation Sheet'!$F$5)</f>
        <v/>
      </c>
      <c r="H5" s="670">
        <f>IF('Final Calculation Sheet'!$F$10="","",'Final Calculation Sheet'!$F$10)</f>
        <v/>
      </c>
      <c r="I5" s="670">
        <f>IF('Final Calculation Sheet'!$F$11="","",'Final Calculation Sheet'!$F$11)</f>
        <v/>
      </c>
      <c r="J5" s="670">
        <f>IF('Final Calculation Sheet'!$F$12="","",'Final Calculation Sheet'!$F$12)</f>
        <v/>
      </c>
      <c r="K5" s="707" t="n"/>
      <c r="L5" s="670">
        <f>IF('Final Calculation Sheet'!$F$9="","",'Final Calculation Sheet'!$F$9)</f>
        <v/>
      </c>
      <c r="M5" s="670">
        <f>IF('Final Calculation Sheet'!$F$14="","",'Final Calculation Sheet'!$F$14)</f>
        <v/>
      </c>
      <c r="N5" s="707" t="n"/>
      <c r="O5" s="670">
        <f>IF('Final Calculation Sheet'!$F$13="","",'Final Calculation Sheet'!$F$13)</f>
        <v/>
      </c>
      <c r="P5" s="670">
        <f>IF('Final Calculation Sheet'!$F$16="","",'Final Calculation Sheet'!$F$16)</f>
        <v/>
      </c>
      <c r="Q5" s="707" t="n"/>
      <c r="R5" s="671">
        <f>IF('Final Calculation Sheet'!$F$27="","",'Final Calculation Sheet'!$F$27)</f>
        <v/>
      </c>
      <c r="S5" s="707" t="n"/>
      <c r="T5" s="671">
        <f>IF('Final Calculation Sheet'!$F$18="","",'Final Calculation Sheet'!$F$18)</f>
        <v/>
      </c>
      <c r="U5" s="671">
        <f>IF('Final Calculation Sheet'!$F$19="","",'Final Calculation Sheet'!$F$19)</f>
        <v/>
      </c>
      <c r="V5" s="671">
        <f>IF('Final Calculation Sheet'!$F$22="","",'Final Calculation Sheet'!$F$22)</f>
        <v/>
      </c>
      <c r="W5" s="671">
        <f>IF('Final Calculation Sheet'!$F$24="","",'Final Calculation Sheet'!$F$24)</f>
        <v/>
      </c>
      <c r="X5" s="671">
        <f>IF('Final Calculation Sheet'!$F$26="","",'Final Calculation Sheet'!$F$26)</f>
        <v/>
      </c>
      <c r="Y5" s="707" t="n"/>
      <c r="Z5" s="671">
        <f>IF('Final Calculation Sheet'!$F$21="","",'Final Calculation Sheet'!$F$21)</f>
        <v/>
      </c>
      <c r="AA5" s="707" t="n"/>
      <c r="AB5" s="671">
        <f>IF('Final Calculation Sheet'!$F$20="","",'Final Calculation Sheet'!$F$20)</f>
        <v/>
      </c>
      <c r="AC5" s="707" t="n"/>
      <c r="AD5" s="671">
        <f>IF('Final Calculation Sheet'!$F$17="","",'Final Calculation Sheet'!$F$17)</f>
        <v/>
      </c>
      <c r="AE5" s="671">
        <f>IF('Final Calculation Sheet'!$F$23="","",'Final Calculation Sheet'!$F$23)</f>
        <v/>
      </c>
      <c r="AF5" s="671">
        <f>IF('Final Calculation Sheet'!$F$29="","",'Final Calculation Sheet'!$F$29)</f>
        <v/>
      </c>
      <c r="AG5" s="707" t="n"/>
      <c r="AH5" s="671">
        <f>IF('Final Calculation Sheet'!$F$25="","",'Final Calculation Sheet'!$F$25)</f>
        <v/>
      </c>
      <c r="AI5" s="671">
        <f>IF('Final Calculation Sheet'!$F$28="","",'Final Calculation Sheet'!$F$28)</f>
        <v/>
      </c>
      <c r="AJ5" s="707" t="n"/>
      <c r="AK5" s="672">
        <f>IF('Final Calculation Sheet'!$F$30="","",'Final Calculation Sheet'!$F$30)</f>
        <v/>
      </c>
      <c r="AL5" s="672">
        <f>IF('Final Calculation Sheet'!$F$32="","",'Final Calculation Sheet'!$F$32)</f>
        <v/>
      </c>
      <c r="AM5" s="672">
        <f>IF('Final Calculation Sheet'!$F$33="","",'Final Calculation Sheet'!$F$33)</f>
        <v/>
      </c>
      <c r="AN5" s="707" t="n"/>
      <c r="AO5" s="672">
        <f>IF('Final Calculation Sheet'!$F$31="","",'Final Calculation Sheet'!$F$31)</f>
        <v/>
      </c>
      <c r="AP5" s="707" t="n"/>
      <c r="AQ5" s="672">
        <f>IF('Final Calculation Sheet'!$F$34="","",'Final Calculation Sheet'!$F$34)</f>
        <v/>
      </c>
      <c r="AR5" s="707" t="n"/>
      <c r="AS5" s="673">
        <f>IF('Final Calculation Sheet'!$F$4="","",'Final Calculation Sheet'!$F$4)</f>
        <v/>
      </c>
      <c r="AT5" s="707" t="n"/>
      <c r="AU5" s="673">
        <f>IF('Final Calculation Sheet'!$F$38="","",'Final Calculation Sheet'!$F$38)</f>
        <v/>
      </c>
      <c r="AV5" s="707" t="n"/>
      <c r="AW5" s="673">
        <f>IF('Final Calculation Sheet'!$F$37="","",'Final Calculation Sheet'!$F$37)</f>
        <v/>
      </c>
      <c r="AX5" s="707" t="n"/>
      <c r="AY5" s="673">
        <f>IF('Final Calculation Sheet'!$F$8="","",'Final Calculation Sheet'!$F$8)</f>
        <v/>
      </c>
      <c r="AZ5" s="707" t="n"/>
      <c r="BA5" s="673">
        <f>IF('Final Calculation Sheet'!$F$39="","",'Final Calculation Sheet'!$F$39)</f>
        <v/>
      </c>
      <c r="BB5" s="673">
        <f>IF('Final Calculation Sheet'!$F$40="","",'Final Calculation Sheet'!$F$40)</f>
        <v/>
      </c>
      <c r="BC5" s="707" t="n"/>
      <c r="BD5" s="673">
        <f>IF('Final Calculation Sheet'!$F$36="","",'Final Calculation Sheet'!$F$36)</f>
        <v/>
      </c>
      <c r="BE5" s="707" t="n"/>
      <c r="BF5" s="673">
        <f>IF('Final Calculation Sheet'!$F$35="","",'Final Calculation Sheet'!$F$35)</f>
        <v/>
      </c>
      <c r="BG5" s="674" t="inlineStr">
        <is>
          <t>TOTAL (src row 41)</t>
        </is>
      </c>
    </row>
    <row r="6" ht="15" customHeight="1">
      <c r="A6" s="675" t="inlineStr">
        <is>
          <t>Quantity</t>
        </is>
      </c>
      <c r="B6" s="708">
        <f>IF('Final Calculation Sheet'!$A$6="","",'Final Calculation Sheet'!$A$6)</f>
        <v/>
      </c>
      <c r="C6" s="676">
        <f>IF('Final Calculation Sheet'!$A$7="","",'Final Calculation Sheet'!$A$7)</f>
        <v/>
      </c>
      <c r="E6" s="709">
        <f>IF('Final Calculation Sheet'!$A$15="","",'Final Calculation Sheet'!$A$15)</f>
        <v/>
      </c>
      <c r="G6" s="676">
        <f>IF('Final Calculation Sheet'!$A$5="","",'Final Calculation Sheet'!$A$5)</f>
        <v/>
      </c>
      <c r="H6" s="710">
        <f>IF('Final Calculation Sheet'!$A$10="","",'Final Calculation Sheet'!$A$10)</f>
        <v/>
      </c>
      <c r="I6" s="676">
        <f>IF('Final Calculation Sheet'!$A$11="","",'Final Calculation Sheet'!$A$11)</f>
        <v/>
      </c>
      <c r="J6" s="710">
        <f>IF('Final Calculation Sheet'!$A$12="","",'Final Calculation Sheet'!$A$12)</f>
        <v/>
      </c>
      <c r="L6" s="676">
        <f>IF('Final Calculation Sheet'!$A$9="","",'Final Calculation Sheet'!$A$9)</f>
        <v/>
      </c>
      <c r="M6" s="711">
        <f>IF('Final Calculation Sheet'!$A$14="","",'Final Calculation Sheet'!$A$14)</f>
        <v/>
      </c>
      <c r="O6" s="676">
        <f>IF('Final Calculation Sheet'!$A$13="","",'Final Calculation Sheet'!$A$13)</f>
        <v/>
      </c>
      <c r="P6" s="712">
        <f>IF('Final Calculation Sheet'!$A$16="","",'Final Calculation Sheet'!$A$16)</f>
        <v/>
      </c>
      <c r="R6" s="676">
        <f>IF('Final Calculation Sheet'!$A$27="","",'Final Calculation Sheet'!$A$27)</f>
        <v/>
      </c>
      <c r="T6" s="710">
        <f>IF('Final Calculation Sheet'!$A$18="","",'Final Calculation Sheet'!$A$18)</f>
        <v/>
      </c>
      <c r="U6" s="676">
        <f>IF('Final Calculation Sheet'!$A$19="","",'Final Calculation Sheet'!$A$19)</f>
        <v/>
      </c>
      <c r="V6" s="710">
        <f>IF('Final Calculation Sheet'!$A$22="","",'Final Calculation Sheet'!$A$22)</f>
        <v/>
      </c>
      <c r="W6" s="676">
        <f>IF('Final Calculation Sheet'!$A$24="","",'Final Calculation Sheet'!$A$24)</f>
        <v/>
      </c>
      <c r="X6" s="710">
        <f>IF('Final Calculation Sheet'!$A$26="","",'Final Calculation Sheet'!$A$26)</f>
        <v/>
      </c>
      <c r="Z6" s="676">
        <f>IF('Final Calculation Sheet'!$A$21="","",'Final Calculation Sheet'!$A$21)</f>
        <v/>
      </c>
      <c r="AB6" s="713">
        <f>IF('Final Calculation Sheet'!$A$20="","",'Final Calculation Sheet'!$A$20)</f>
        <v/>
      </c>
      <c r="AD6" s="676">
        <f>IF('Final Calculation Sheet'!$A$17="","",'Final Calculation Sheet'!$A$17)</f>
        <v/>
      </c>
      <c r="AE6" s="712">
        <f>IF('Final Calculation Sheet'!$A$23="","",'Final Calculation Sheet'!$A$23)</f>
        <v/>
      </c>
      <c r="AF6" s="676">
        <f>IF('Final Calculation Sheet'!$A$29="","",'Final Calculation Sheet'!$A$29)</f>
        <v/>
      </c>
      <c r="AH6" s="708">
        <f>IF('Final Calculation Sheet'!$A$25="","",'Final Calculation Sheet'!$A$25)</f>
        <v/>
      </c>
      <c r="AI6" s="676">
        <f>IF('Final Calculation Sheet'!$A$28="","",'Final Calculation Sheet'!$A$28)</f>
        <v/>
      </c>
      <c r="AK6" s="710">
        <f>IF('Final Calculation Sheet'!$A$30="","",'Final Calculation Sheet'!$A$30)</f>
        <v/>
      </c>
      <c r="AL6" s="676">
        <f>IF('Final Calculation Sheet'!$A$32="","",'Final Calculation Sheet'!$A$32)</f>
        <v/>
      </c>
      <c r="AM6" s="710">
        <f>IF('Final Calculation Sheet'!$A$33="","",'Final Calculation Sheet'!$A$33)</f>
        <v/>
      </c>
      <c r="AO6" s="676">
        <f>IF('Final Calculation Sheet'!$A$31="","",'Final Calculation Sheet'!$A$31)</f>
        <v/>
      </c>
      <c r="AQ6" s="712">
        <f>IF('Final Calculation Sheet'!$A$34="","",'Final Calculation Sheet'!$A$34)</f>
        <v/>
      </c>
      <c r="AS6" s="676">
        <f>IF('Final Calculation Sheet'!$A$4="","",'Final Calculation Sheet'!$A$4)</f>
        <v/>
      </c>
      <c r="AU6" s="711">
        <f>IF('Final Calculation Sheet'!$A$38="","",'Final Calculation Sheet'!$A$38)</f>
        <v/>
      </c>
      <c r="AW6" s="676">
        <f>IF('Final Calculation Sheet'!$A$37="","",'Final Calculation Sheet'!$A$37)</f>
        <v/>
      </c>
      <c r="AY6" s="713">
        <f>IF('Final Calculation Sheet'!$A$8="","",'Final Calculation Sheet'!$A$8)</f>
        <v/>
      </c>
      <c r="BA6" s="676">
        <f>IF('Final Calculation Sheet'!$A$39="","",'Final Calculation Sheet'!$A$39)</f>
        <v/>
      </c>
      <c r="BB6" s="712">
        <f>IF('Final Calculation Sheet'!$A$40="","",'Final Calculation Sheet'!$A$40)</f>
        <v/>
      </c>
      <c r="BD6" s="676">
        <f>IF('Final Calculation Sheet'!$A$36="","",'Final Calculation Sheet'!$A$36)</f>
        <v/>
      </c>
      <c r="BF6" s="708">
        <f>IF('Final Calculation Sheet'!$A$35="","",'Final Calculation Sheet'!$A$35)</f>
        <v/>
      </c>
      <c r="BG6" s="677">
        <f>IF('Final Calculation Sheet'!$A$41="","",'Final Calculation Sheet'!$A$41)</f>
        <v/>
      </c>
    </row>
    <row r="7" ht="15" customHeight="1">
      <c r="A7" s="678" t="inlineStr">
        <is>
          <t>Lot Name</t>
        </is>
      </c>
      <c r="B7" s="708">
        <f>IF('Final Calculation Sheet'!$B$6="","",'Final Calculation Sheet'!$B$6)</f>
        <v/>
      </c>
      <c r="C7" s="676">
        <f>IF('Final Calculation Sheet'!$B$7="","",'Final Calculation Sheet'!$B$7)</f>
        <v/>
      </c>
      <c r="E7" s="709">
        <f>IF('Final Calculation Sheet'!$B$15="","",'Final Calculation Sheet'!$B$15)</f>
        <v/>
      </c>
      <c r="G7" s="676">
        <f>IF('Final Calculation Sheet'!$B$5="","",'Final Calculation Sheet'!$B$5)</f>
        <v/>
      </c>
      <c r="H7" s="710">
        <f>IF('Final Calculation Sheet'!$B$10="","",'Final Calculation Sheet'!$B$10)</f>
        <v/>
      </c>
      <c r="I7" s="676">
        <f>IF('Final Calculation Sheet'!$B$11="","",'Final Calculation Sheet'!$B$11)</f>
        <v/>
      </c>
      <c r="J7" s="710">
        <f>IF('Final Calculation Sheet'!$B$12="","",'Final Calculation Sheet'!$B$12)</f>
        <v/>
      </c>
      <c r="L7" s="676">
        <f>IF('Final Calculation Sheet'!$B$9="","",'Final Calculation Sheet'!$B$9)</f>
        <v/>
      </c>
      <c r="M7" s="711">
        <f>IF('Final Calculation Sheet'!$B$14="","",'Final Calculation Sheet'!$B$14)</f>
        <v/>
      </c>
      <c r="O7" s="676">
        <f>IF('Final Calculation Sheet'!$B$13="","",'Final Calculation Sheet'!$B$13)</f>
        <v/>
      </c>
      <c r="P7" s="712">
        <f>IF('Final Calculation Sheet'!$B$16="","",'Final Calculation Sheet'!$B$16)</f>
        <v/>
      </c>
      <c r="R7" s="676">
        <f>IF('Final Calculation Sheet'!$B$27="","",'Final Calculation Sheet'!$B$27)</f>
        <v/>
      </c>
      <c r="T7" s="710">
        <f>IF('Final Calculation Sheet'!$B$18="","",'Final Calculation Sheet'!$B$18)</f>
        <v/>
      </c>
      <c r="U7" s="676">
        <f>IF('Final Calculation Sheet'!$B$19="","",'Final Calculation Sheet'!$B$19)</f>
        <v/>
      </c>
      <c r="V7" s="710">
        <f>IF('Final Calculation Sheet'!$B$22="","",'Final Calculation Sheet'!$B$22)</f>
        <v/>
      </c>
      <c r="W7" s="676">
        <f>IF('Final Calculation Sheet'!$B$24="","",'Final Calculation Sheet'!$B$24)</f>
        <v/>
      </c>
      <c r="X7" s="710">
        <f>IF('Final Calculation Sheet'!$B$26="","",'Final Calculation Sheet'!$B$26)</f>
        <v/>
      </c>
      <c r="Z7" s="676">
        <f>IF('Final Calculation Sheet'!$B$21="","",'Final Calculation Sheet'!$B$21)</f>
        <v/>
      </c>
      <c r="AB7" s="713">
        <f>IF('Final Calculation Sheet'!$B$20="","",'Final Calculation Sheet'!$B$20)</f>
        <v/>
      </c>
      <c r="AD7" s="676">
        <f>IF('Final Calculation Sheet'!$B$17="","",'Final Calculation Sheet'!$B$17)</f>
        <v/>
      </c>
      <c r="AE7" s="712">
        <f>IF('Final Calculation Sheet'!$B$23="","",'Final Calculation Sheet'!$B$23)</f>
        <v/>
      </c>
      <c r="AF7" s="676">
        <f>IF('Final Calculation Sheet'!$B$29="","",'Final Calculation Sheet'!$B$29)</f>
        <v/>
      </c>
      <c r="AH7" s="708">
        <f>IF('Final Calculation Sheet'!$B$25="","",'Final Calculation Sheet'!$B$25)</f>
        <v/>
      </c>
      <c r="AI7" s="676">
        <f>IF('Final Calculation Sheet'!$B$28="","",'Final Calculation Sheet'!$B$28)</f>
        <v/>
      </c>
      <c r="AK7" s="710">
        <f>IF('Final Calculation Sheet'!$B$30="","",'Final Calculation Sheet'!$B$30)</f>
        <v/>
      </c>
      <c r="AL7" s="676">
        <f>IF('Final Calculation Sheet'!$B$32="","",'Final Calculation Sheet'!$B$32)</f>
        <v/>
      </c>
      <c r="AM7" s="710">
        <f>IF('Final Calculation Sheet'!$B$33="","",'Final Calculation Sheet'!$B$33)</f>
        <v/>
      </c>
      <c r="AO7" s="676">
        <f>IF('Final Calculation Sheet'!$B$31="","",'Final Calculation Sheet'!$B$31)</f>
        <v/>
      </c>
      <c r="AQ7" s="712">
        <f>IF('Final Calculation Sheet'!$B$34="","",'Final Calculation Sheet'!$B$34)</f>
        <v/>
      </c>
      <c r="AS7" s="676">
        <f>IF('Final Calculation Sheet'!$B$4="","",'Final Calculation Sheet'!$B$4)</f>
        <v/>
      </c>
      <c r="AU7" s="711">
        <f>IF('Final Calculation Sheet'!$B$38="","",'Final Calculation Sheet'!$B$38)</f>
        <v/>
      </c>
      <c r="AW7" s="676">
        <f>IF('Final Calculation Sheet'!$B$37="","",'Final Calculation Sheet'!$B$37)</f>
        <v/>
      </c>
      <c r="AY7" s="713">
        <f>IF('Final Calculation Sheet'!$B$8="","",'Final Calculation Sheet'!$B$8)</f>
        <v/>
      </c>
      <c r="BA7" s="676">
        <f>IF('Final Calculation Sheet'!$B$39="","",'Final Calculation Sheet'!$B$39)</f>
        <v/>
      </c>
      <c r="BB7" s="712">
        <f>IF('Final Calculation Sheet'!$B$40="","",'Final Calculation Sheet'!$B$40)</f>
        <v/>
      </c>
      <c r="BD7" s="676">
        <f>IF('Final Calculation Sheet'!$B$36="","",'Final Calculation Sheet'!$B$36)</f>
        <v/>
      </c>
      <c r="BF7" s="708">
        <f>IF('Final Calculation Sheet'!$B$35="","",'Final Calculation Sheet'!$B$35)</f>
        <v/>
      </c>
      <c r="BG7" s="677">
        <f>IF('Final Calculation Sheet'!$B$41="","",'Final Calculation Sheet'!$B$41)</f>
        <v/>
      </c>
    </row>
    <row r="8" ht="15" customHeight="1">
      <c r="A8" s="675" t="inlineStr">
        <is>
          <t>Rate</t>
        </is>
      </c>
      <c r="B8" s="714">
        <f>IF('Final Calculation Sheet'!$C$6="","",'Final Calculation Sheet'!$C$6)</f>
        <v/>
      </c>
      <c r="C8" s="679">
        <f>IF('Final Calculation Sheet'!$C$7="","",'Final Calculation Sheet'!$C$7)</f>
        <v/>
      </c>
      <c r="E8" s="715">
        <f>IF('Final Calculation Sheet'!$C$15="","",'Final Calculation Sheet'!$C$15)</f>
        <v/>
      </c>
      <c r="G8" s="679">
        <f>IF('Final Calculation Sheet'!$C$5="","",'Final Calculation Sheet'!$C$5)</f>
        <v/>
      </c>
      <c r="H8" s="716">
        <f>IF('Final Calculation Sheet'!$C$10="","",'Final Calculation Sheet'!$C$10)</f>
        <v/>
      </c>
      <c r="I8" s="679">
        <f>IF('Final Calculation Sheet'!$C$11="","",'Final Calculation Sheet'!$C$11)</f>
        <v/>
      </c>
      <c r="J8" s="716">
        <f>IF('Final Calculation Sheet'!$C$12="","",'Final Calculation Sheet'!$C$12)</f>
        <v/>
      </c>
      <c r="L8" s="679">
        <f>IF('Final Calculation Sheet'!$C$9="","",'Final Calculation Sheet'!$C$9)</f>
        <v/>
      </c>
      <c r="M8" s="717">
        <f>IF('Final Calculation Sheet'!$C$14="","",'Final Calculation Sheet'!$C$14)</f>
        <v/>
      </c>
      <c r="O8" s="679">
        <f>IF('Final Calculation Sheet'!$C$13="","",'Final Calculation Sheet'!$C$13)</f>
        <v/>
      </c>
      <c r="P8" s="718">
        <f>IF('Final Calculation Sheet'!$C$16="","",'Final Calculation Sheet'!$C$16)</f>
        <v/>
      </c>
      <c r="R8" s="679">
        <f>IF('Final Calculation Sheet'!$C$27="","",'Final Calculation Sheet'!$C$27)</f>
        <v/>
      </c>
      <c r="T8" s="716">
        <f>IF('Final Calculation Sheet'!$C$18="","",'Final Calculation Sheet'!$C$18)</f>
        <v/>
      </c>
      <c r="U8" s="679">
        <f>IF('Final Calculation Sheet'!$C$19="","",'Final Calculation Sheet'!$C$19)</f>
        <v/>
      </c>
      <c r="V8" s="716">
        <f>IF('Final Calculation Sheet'!$C$22="","",'Final Calculation Sheet'!$C$22)</f>
        <v/>
      </c>
      <c r="W8" s="679">
        <f>IF('Final Calculation Sheet'!$C$24="","",'Final Calculation Sheet'!$C$24)</f>
        <v/>
      </c>
      <c r="X8" s="716">
        <f>IF('Final Calculation Sheet'!$C$26="","",'Final Calculation Sheet'!$C$26)</f>
        <v/>
      </c>
      <c r="Z8" s="679">
        <f>IF('Final Calculation Sheet'!$C$21="","",'Final Calculation Sheet'!$C$21)</f>
        <v/>
      </c>
      <c r="AB8" s="719">
        <f>IF('Final Calculation Sheet'!$C$20="","",'Final Calculation Sheet'!$C$20)</f>
        <v/>
      </c>
      <c r="AD8" s="679">
        <f>IF('Final Calculation Sheet'!$C$17="","",'Final Calculation Sheet'!$C$17)</f>
        <v/>
      </c>
      <c r="AE8" s="718">
        <f>IF('Final Calculation Sheet'!$C$23="","",'Final Calculation Sheet'!$C$23)</f>
        <v/>
      </c>
      <c r="AF8" s="679">
        <f>IF('Final Calculation Sheet'!$C$29="","",'Final Calculation Sheet'!$C$29)</f>
        <v/>
      </c>
      <c r="AH8" s="714">
        <f>IF('Final Calculation Sheet'!$C$25="","",'Final Calculation Sheet'!$C$25)</f>
        <v/>
      </c>
      <c r="AI8" s="679">
        <f>IF('Final Calculation Sheet'!$C$28="","",'Final Calculation Sheet'!$C$28)</f>
        <v/>
      </c>
      <c r="AK8" s="716">
        <f>IF('Final Calculation Sheet'!$C$30="","",'Final Calculation Sheet'!$C$30)</f>
        <v/>
      </c>
      <c r="AL8" s="679">
        <f>IF('Final Calculation Sheet'!$C$32="","",'Final Calculation Sheet'!$C$32)</f>
        <v/>
      </c>
      <c r="AM8" s="716">
        <f>IF('Final Calculation Sheet'!$C$33="","",'Final Calculation Sheet'!$C$33)</f>
        <v/>
      </c>
      <c r="AO8" s="679">
        <f>IF('Final Calculation Sheet'!$C$31="","",'Final Calculation Sheet'!$C$31)</f>
        <v/>
      </c>
      <c r="AQ8" s="718">
        <f>IF('Final Calculation Sheet'!$C$34="","",'Final Calculation Sheet'!$C$34)</f>
        <v/>
      </c>
      <c r="AS8" s="679">
        <f>IF('Final Calculation Sheet'!$C$4="","",'Final Calculation Sheet'!$C$4)</f>
        <v/>
      </c>
      <c r="AU8" s="717">
        <f>IF('Final Calculation Sheet'!$C$38="","",'Final Calculation Sheet'!$C$38)</f>
        <v/>
      </c>
      <c r="AW8" s="679">
        <f>IF('Final Calculation Sheet'!$C$37="","",'Final Calculation Sheet'!$C$37)</f>
        <v/>
      </c>
      <c r="AY8" s="719">
        <f>IF('Final Calculation Sheet'!$C$8="","",'Final Calculation Sheet'!$C$8)</f>
        <v/>
      </c>
      <c r="BA8" s="679">
        <f>IF('Final Calculation Sheet'!$C$39="","",'Final Calculation Sheet'!$C$39)</f>
        <v/>
      </c>
      <c r="BB8" s="718">
        <f>IF('Final Calculation Sheet'!$C$40="","",'Final Calculation Sheet'!$C$40)</f>
        <v/>
      </c>
      <c r="BD8" s="679">
        <f>IF('Final Calculation Sheet'!$C$36="","",'Final Calculation Sheet'!$C$36)</f>
        <v/>
      </c>
      <c r="BF8" s="714">
        <f>IF('Final Calculation Sheet'!$C$35="","",'Final Calculation Sheet'!$C$35)</f>
        <v/>
      </c>
      <c r="BG8" s="680">
        <f>IF('Final Calculation Sheet'!$C$41="","",'Final Calculation Sheet'!$C$41)</f>
        <v/>
      </c>
    </row>
    <row r="9" ht="15" customHeight="1">
      <c r="A9" s="678" t="inlineStr">
        <is>
          <t>Bid Sheet</t>
        </is>
      </c>
      <c r="B9" s="708">
        <f>IF('Final Calculation Sheet'!$D$6="","",'Final Calculation Sheet'!$D$6)</f>
        <v/>
      </c>
      <c r="C9" s="676">
        <f>IF('Final Calculation Sheet'!$D$7="","",'Final Calculation Sheet'!$D$7)</f>
        <v/>
      </c>
      <c r="E9" s="709">
        <f>IF('Final Calculation Sheet'!$D$15="","",'Final Calculation Sheet'!$D$15)</f>
        <v/>
      </c>
      <c r="G9" s="676">
        <f>IF('Final Calculation Sheet'!$D$5="","",'Final Calculation Sheet'!$D$5)</f>
        <v/>
      </c>
      <c r="H9" s="710">
        <f>IF('Final Calculation Sheet'!$D$10="","",'Final Calculation Sheet'!$D$10)</f>
        <v/>
      </c>
      <c r="I9" s="676">
        <f>IF('Final Calculation Sheet'!$D$11="","",'Final Calculation Sheet'!$D$11)</f>
        <v/>
      </c>
      <c r="J9" s="710">
        <f>IF('Final Calculation Sheet'!$D$12="","",'Final Calculation Sheet'!$D$12)</f>
        <v/>
      </c>
      <c r="L9" s="676">
        <f>IF('Final Calculation Sheet'!$D$9="","",'Final Calculation Sheet'!$D$9)</f>
        <v/>
      </c>
      <c r="M9" s="711">
        <f>IF('Final Calculation Sheet'!$D$14="","",'Final Calculation Sheet'!$D$14)</f>
        <v/>
      </c>
      <c r="O9" s="676">
        <f>IF('Final Calculation Sheet'!$D$13="","",'Final Calculation Sheet'!$D$13)</f>
        <v/>
      </c>
      <c r="P9" s="712">
        <f>IF('Final Calculation Sheet'!$D$16="","",'Final Calculation Sheet'!$D$16)</f>
        <v/>
      </c>
      <c r="R9" s="676">
        <f>IF('Final Calculation Sheet'!$D$27="","",'Final Calculation Sheet'!$D$27)</f>
        <v/>
      </c>
      <c r="T9" s="710">
        <f>IF('Final Calculation Sheet'!$D$18="","",'Final Calculation Sheet'!$D$18)</f>
        <v/>
      </c>
      <c r="U9" s="676">
        <f>IF('Final Calculation Sheet'!$D$19="","",'Final Calculation Sheet'!$D$19)</f>
        <v/>
      </c>
      <c r="V9" s="710">
        <f>IF('Final Calculation Sheet'!$D$22="","",'Final Calculation Sheet'!$D$22)</f>
        <v/>
      </c>
      <c r="W9" s="676">
        <f>IF('Final Calculation Sheet'!$D$24="","",'Final Calculation Sheet'!$D$24)</f>
        <v/>
      </c>
      <c r="X9" s="710">
        <f>IF('Final Calculation Sheet'!$D$26="","",'Final Calculation Sheet'!$D$26)</f>
        <v/>
      </c>
      <c r="Z9" s="676">
        <f>IF('Final Calculation Sheet'!$D$21="","",'Final Calculation Sheet'!$D$21)</f>
        <v/>
      </c>
      <c r="AB9" s="713">
        <f>IF('Final Calculation Sheet'!$D$20="","",'Final Calculation Sheet'!$D$20)</f>
        <v/>
      </c>
      <c r="AD9" s="676">
        <f>IF('Final Calculation Sheet'!$D$17="","",'Final Calculation Sheet'!$D$17)</f>
        <v/>
      </c>
      <c r="AE9" s="712">
        <f>IF('Final Calculation Sheet'!$D$23="","",'Final Calculation Sheet'!$D$23)</f>
        <v/>
      </c>
      <c r="AF9" s="676">
        <f>IF('Final Calculation Sheet'!$D$29="","",'Final Calculation Sheet'!$D$29)</f>
        <v/>
      </c>
      <c r="AH9" s="708">
        <f>IF('Final Calculation Sheet'!$D$25="","",'Final Calculation Sheet'!$D$25)</f>
        <v/>
      </c>
      <c r="AI9" s="676">
        <f>IF('Final Calculation Sheet'!$D$28="","",'Final Calculation Sheet'!$D$28)</f>
        <v/>
      </c>
      <c r="AK9" s="710">
        <f>IF('Final Calculation Sheet'!$D$30="","",'Final Calculation Sheet'!$D$30)</f>
        <v/>
      </c>
      <c r="AL9" s="676">
        <f>IF('Final Calculation Sheet'!$D$32="","",'Final Calculation Sheet'!$D$32)</f>
        <v/>
      </c>
      <c r="AM9" s="710">
        <f>IF('Final Calculation Sheet'!$D$33="","",'Final Calculation Sheet'!$D$33)</f>
        <v/>
      </c>
      <c r="AO9" s="676">
        <f>IF('Final Calculation Sheet'!$D$31="","",'Final Calculation Sheet'!$D$31)</f>
        <v/>
      </c>
      <c r="AQ9" s="712">
        <f>IF('Final Calculation Sheet'!$D$34="","",'Final Calculation Sheet'!$D$34)</f>
        <v/>
      </c>
      <c r="AS9" s="676">
        <f>IF('Final Calculation Sheet'!$D$4="","",'Final Calculation Sheet'!$D$4)</f>
        <v/>
      </c>
      <c r="AU9" s="711">
        <f>IF('Final Calculation Sheet'!$D$38="","",'Final Calculation Sheet'!$D$38)</f>
        <v/>
      </c>
      <c r="AW9" s="676">
        <f>IF('Final Calculation Sheet'!$D$37="","",'Final Calculation Sheet'!$D$37)</f>
        <v/>
      </c>
      <c r="AY9" s="713">
        <f>IF('Final Calculation Sheet'!$D$8="","",'Final Calculation Sheet'!$D$8)</f>
        <v/>
      </c>
      <c r="BA9" s="676">
        <f>IF('Final Calculation Sheet'!$D$39="","",'Final Calculation Sheet'!$D$39)</f>
        <v/>
      </c>
      <c r="BB9" s="712">
        <f>IF('Final Calculation Sheet'!$D$40="","",'Final Calculation Sheet'!$D$40)</f>
        <v/>
      </c>
      <c r="BD9" s="676">
        <f>IF('Final Calculation Sheet'!$D$36="","",'Final Calculation Sheet'!$D$36)</f>
        <v/>
      </c>
      <c r="BF9" s="708">
        <f>IF('Final Calculation Sheet'!$D$35="","",'Final Calculation Sheet'!$D$35)</f>
        <v/>
      </c>
      <c r="BG9" s="677">
        <f>IF('Final Calculation Sheet'!$D$41="","",'Final Calculation Sheet'!$D$41)</f>
        <v/>
      </c>
    </row>
    <row r="10" ht="15" customHeight="1">
      <c r="A10" s="675" t="inlineStr">
        <is>
          <t>Unit</t>
        </is>
      </c>
      <c r="B10" s="708">
        <f>IF('Final Calculation Sheet'!$E$6="","",'Final Calculation Sheet'!$E$6)</f>
        <v/>
      </c>
      <c r="C10" s="676">
        <f>IF('Final Calculation Sheet'!$E$7="","",'Final Calculation Sheet'!$E$7)</f>
        <v/>
      </c>
      <c r="E10" s="709">
        <f>IF('Final Calculation Sheet'!$E$15="","",'Final Calculation Sheet'!$E$15)</f>
        <v/>
      </c>
      <c r="G10" s="676">
        <f>IF('Final Calculation Sheet'!$E$5="","",'Final Calculation Sheet'!$E$5)</f>
        <v/>
      </c>
      <c r="H10" s="710">
        <f>IF('Final Calculation Sheet'!$E$10="","",'Final Calculation Sheet'!$E$10)</f>
        <v/>
      </c>
      <c r="I10" s="676">
        <f>IF('Final Calculation Sheet'!$E$11="","",'Final Calculation Sheet'!$E$11)</f>
        <v/>
      </c>
      <c r="J10" s="710">
        <f>IF('Final Calculation Sheet'!$E$12="","",'Final Calculation Sheet'!$E$12)</f>
        <v/>
      </c>
      <c r="L10" s="676">
        <f>IF('Final Calculation Sheet'!$E$9="","",'Final Calculation Sheet'!$E$9)</f>
        <v/>
      </c>
      <c r="M10" s="711">
        <f>IF('Final Calculation Sheet'!$E$14="","",'Final Calculation Sheet'!$E$14)</f>
        <v/>
      </c>
      <c r="O10" s="676">
        <f>IF('Final Calculation Sheet'!$E$13="","",'Final Calculation Sheet'!$E$13)</f>
        <v/>
      </c>
      <c r="P10" s="712">
        <f>IF('Final Calculation Sheet'!$E$16="","",'Final Calculation Sheet'!$E$16)</f>
        <v/>
      </c>
      <c r="R10" s="676">
        <f>IF('Final Calculation Sheet'!$E$27="","",'Final Calculation Sheet'!$E$27)</f>
        <v/>
      </c>
      <c r="T10" s="710">
        <f>IF('Final Calculation Sheet'!$E$18="","",'Final Calculation Sheet'!$E$18)</f>
        <v/>
      </c>
      <c r="U10" s="676">
        <f>IF('Final Calculation Sheet'!$E$19="","",'Final Calculation Sheet'!$E$19)</f>
        <v/>
      </c>
      <c r="V10" s="710">
        <f>IF('Final Calculation Sheet'!$E$22="","",'Final Calculation Sheet'!$E$22)</f>
        <v/>
      </c>
      <c r="W10" s="676">
        <f>IF('Final Calculation Sheet'!$E$24="","",'Final Calculation Sheet'!$E$24)</f>
        <v/>
      </c>
      <c r="X10" s="710">
        <f>IF('Final Calculation Sheet'!$E$26="","",'Final Calculation Sheet'!$E$26)</f>
        <v/>
      </c>
      <c r="Z10" s="676">
        <f>IF('Final Calculation Sheet'!$E$21="","",'Final Calculation Sheet'!$E$21)</f>
        <v/>
      </c>
      <c r="AB10" s="713">
        <f>IF('Final Calculation Sheet'!$E$20="","",'Final Calculation Sheet'!$E$20)</f>
        <v/>
      </c>
      <c r="AD10" s="676">
        <f>IF('Final Calculation Sheet'!$E$17="","",'Final Calculation Sheet'!$E$17)</f>
        <v/>
      </c>
      <c r="AE10" s="712">
        <f>IF('Final Calculation Sheet'!$E$23="","",'Final Calculation Sheet'!$E$23)</f>
        <v/>
      </c>
      <c r="AF10" s="676">
        <f>IF('Final Calculation Sheet'!$E$29="","",'Final Calculation Sheet'!$E$29)</f>
        <v/>
      </c>
      <c r="AH10" s="708">
        <f>IF('Final Calculation Sheet'!$E$25="","",'Final Calculation Sheet'!$E$25)</f>
        <v/>
      </c>
      <c r="AI10" s="676">
        <f>IF('Final Calculation Sheet'!$E$28="","",'Final Calculation Sheet'!$E$28)</f>
        <v/>
      </c>
      <c r="AK10" s="710">
        <f>IF('Final Calculation Sheet'!$E$30="","",'Final Calculation Sheet'!$E$30)</f>
        <v/>
      </c>
      <c r="AL10" s="676">
        <f>IF('Final Calculation Sheet'!$E$32="","",'Final Calculation Sheet'!$E$32)</f>
        <v/>
      </c>
      <c r="AM10" s="710">
        <f>IF('Final Calculation Sheet'!$E$33="","",'Final Calculation Sheet'!$E$33)</f>
        <v/>
      </c>
      <c r="AO10" s="676">
        <f>IF('Final Calculation Sheet'!$E$31="","",'Final Calculation Sheet'!$E$31)</f>
        <v/>
      </c>
      <c r="AQ10" s="712">
        <f>IF('Final Calculation Sheet'!$E$34="","",'Final Calculation Sheet'!$E$34)</f>
        <v/>
      </c>
      <c r="AS10" s="676">
        <f>IF('Final Calculation Sheet'!$E$4="","",'Final Calculation Sheet'!$E$4)</f>
        <v/>
      </c>
      <c r="AU10" s="711">
        <f>IF('Final Calculation Sheet'!$E$38="","",'Final Calculation Sheet'!$E$38)</f>
        <v/>
      </c>
      <c r="AW10" s="676">
        <f>IF('Final Calculation Sheet'!$E$37="","",'Final Calculation Sheet'!$E$37)</f>
        <v/>
      </c>
      <c r="AY10" s="713">
        <f>IF('Final Calculation Sheet'!$E$8="","",'Final Calculation Sheet'!$E$8)</f>
        <v/>
      </c>
      <c r="BA10" s="676">
        <f>IF('Final Calculation Sheet'!$E$39="","",'Final Calculation Sheet'!$E$39)</f>
        <v/>
      </c>
      <c r="BB10" s="712">
        <f>IF('Final Calculation Sheet'!$E$40="","",'Final Calculation Sheet'!$E$40)</f>
        <v/>
      </c>
      <c r="BD10" s="676">
        <f>IF('Final Calculation Sheet'!$E$36="","",'Final Calculation Sheet'!$E$36)</f>
        <v/>
      </c>
      <c r="BF10" s="708">
        <f>IF('Final Calculation Sheet'!$E$35="","",'Final Calculation Sheet'!$E$35)</f>
        <v/>
      </c>
      <c r="BG10" s="677">
        <f>IF('Final Calculation Sheet'!$E$41="","",'Final Calculation Sheet'!$E$41)</f>
        <v/>
      </c>
    </row>
    <row r="11" ht="15" customHeight="1">
      <c r="A11" s="678" t="inlineStr">
        <is>
          <t>Lot No.</t>
        </is>
      </c>
      <c r="B11" s="708">
        <f>IF('Final Calculation Sheet'!$F$6="","",'Final Calculation Sheet'!$F$6)</f>
        <v/>
      </c>
      <c r="C11" s="676">
        <f>IF('Final Calculation Sheet'!$F$7="","",'Final Calculation Sheet'!$F$7)</f>
        <v/>
      </c>
      <c r="E11" s="709">
        <f>IF('Final Calculation Sheet'!$F$15="","",'Final Calculation Sheet'!$F$15)</f>
        <v/>
      </c>
      <c r="G11" s="676">
        <f>IF('Final Calculation Sheet'!$F$5="","",'Final Calculation Sheet'!$F$5)</f>
        <v/>
      </c>
      <c r="H11" s="710">
        <f>IF('Final Calculation Sheet'!$F$10="","",'Final Calculation Sheet'!$F$10)</f>
        <v/>
      </c>
      <c r="I11" s="676">
        <f>IF('Final Calculation Sheet'!$F$11="","",'Final Calculation Sheet'!$F$11)</f>
        <v/>
      </c>
      <c r="J11" s="710">
        <f>IF('Final Calculation Sheet'!$F$12="","",'Final Calculation Sheet'!$F$12)</f>
        <v/>
      </c>
      <c r="L11" s="676">
        <f>IF('Final Calculation Sheet'!$F$9="","",'Final Calculation Sheet'!$F$9)</f>
        <v/>
      </c>
      <c r="M11" s="711">
        <f>IF('Final Calculation Sheet'!$F$14="","",'Final Calculation Sheet'!$F$14)</f>
        <v/>
      </c>
      <c r="O11" s="676">
        <f>IF('Final Calculation Sheet'!$F$13="","",'Final Calculation Sheet'!$F$13)</f>
        <v/>
      </c>
      <c r="P11" s="712">
        <f>IF('Final Calculation Sheet'!$F$16="","",'Final Calculation Sheet'!$F$16)</f>
        <v/>
      </c>
      <c r="R11" s="676">
        <f>IF('Final Calculation Sheet'!$F$27="","",'Final Calculation Sheet'!$F$27)</f>
        <v/>
      </c>
      <c r="T11" s="710">
        <f>IF('Final Calculation Sheet'!$F$18="","",'Final Calculation Sheet'!$F$18)</f>
        <v/>
      </c>
      <c r="U11" s="676">
        <f>IF('Final Calculation Sheet'!$F$19="","",'Final Calculation Sheet'!$F$19)</f>
        <v/>
      </c>
      <c r="V11" s="710">
        <f>IF('Final Calculation Sheet'!$F$22="","",'Final Calculation Sheet'!$F$22)</f>
        <v/>
      </c>
      <c r="W11" s="676">
        <f>IF('Final Calculation Sheet'!$F$24="","",'Final Calculation Sheet'!$F$24)</f>
        <v/>
      </c>
      <c r="X11" s="710">
        <f>IF('Final Calculation Sheet'!$F$26="","",'Final Calculation Sheet'!$F$26)</f>
        <v/>
      </c>
      <c r="Z11" s="676">
        <f>IF('Final Calculation Sheet'!$F$21="","",'Final Calculation Sheet'!$F$21)</f>
        <v/>
      </c>
      <c r="AB11" s="713">
        <f>IF('Final Calculation Sheet'!$F$20="","",'Final Calculation Sheet'!$F$20)</f>
        <v/>
      </c>
      <c r="AD11" s="676">
        <f>IF('Final Calculation Sheet'!$F$17="","",'Final Calculation Sheet'!$F$17)</f>
        <v/>
      </c>
      <c r="AE11" s="712">
        <f>IF('Final Calculation Sheet'!$F$23="","",'Final Calculation Sheet'!$F$23)</f>
        <v/>
      </c>
      <c r="AF11" s="676">
        <f>IF('Final Calculation Sheet'!$F$29="","",'Final Calculation Sheet'!$F$29)</f>
        <v/>
      </c>
      <c r="AH11" s="708">
        <f>IF('Final Calculation Sheet'!$F$25="","",'Final Calculation Sheet'!$F$25)</f>
        <v/>
      </c>
      <c r="AI11" s="676">
        <f>IF('Final Calculation Sheet'!$F$28="","",'Final Calculation Sheet'!$F$28)</f>
        <v/>
      </c>
      <c r="AK11" s="710">
        <f>IF('Final Calculation Sheet'!$F$30="","",'Final Calculation Sheet'!$F$30)</f>
        <v/>
      </c>
      <c r="AL11" s="676">
        <f>IF('Final Calculation Sheet'!$F$32="","",'Final Calculation Sheet'!$F$32)</f>
        <v/>
      </c>
      <c r="AM11" s="710">
        <f>IF('Final Calculation Sheet'!$F$33="","",'Final Calculation Sheet'!$F$33)</f>
        <v/>
      </c>
      <c r="AO11" s="676">
        <f>IF('Final Calculation Sheet'!$F$31="","",'Final Calculation Sheet'!$F$31)</f>
        <v/>
      </c>
      <c r="AQ11" s="712">
        <f>IF('Final Calculation Sheet'!$F$34="","",'Final Calculation Sheet'!$F$34)</f>
        <v/>
      </c>
      <c r="AS11" s="676">
        <f>IF('Final Calculation Sheet'!$F$4="","",'Final Calculation Sheet'!$F$4)</f>
        <v/>
      </c>
      <c r="AU11" s="711">
        <f>IF('Final Calculation Sheet'!$F$38="","",'Final Calculation Sheet'!$F$38)</f>
        <v/>
      </c>
      <c r="AW11" s="676">
        <f>IF('Final Calculation Sheet'!$F$37="","",'Final Calculation Sheet'!$F$37)</f>
        <v/>
      </c>
      <c r="AY11" s="713">
        <f>IF('Final Calculation Sheet'!$F$8="","",'Final Calculation Sheet'!$F$8)</f>
        <v/>
      </c>
      <c r="BA11" s="676">
        <f>IF('Final Calculation Sheet'!$F$39="","",'Final Calculation Sheet'!$F$39)</f>
        <v/>
      </c>
      <c r="BB11" s="712">
        <f>IF('Final Calculation Sheet'!$F$40="","",'Final Calculation Sheet'!$F$40)</f>
        <v/>
      </c>
      <c r="BD11" s="676">
        <f>IF('Final Calculation Sheet'!$F$36="","",'Final Calculation Sheet'!$F$36)</f>
        <v/>
      </c>
      <c r="BF11" s="708">
        <f>IF('Final Calculation Sheet'!$F$35="","",'Final Calculation Sheet'!$F$35)</f>
        <v/>
      </c>
      <c r="BG11" s="677">
        <f>IF('Final Calculation Sheet'!$F$41="","",'Final Calculation Sheet'!$F$41)</f>
        <v/>
      </c>
    </row>
    <row r="12" ht="15" customHeight="1">
      <c r="A12" s="675" t="inlineStr">
        <is>
          <t>Buyer</t>
        </is>
      </c>
      <c r="B12" s="708">
        <f>IF('Final Calculation Sheet'!$G$6="","",'Final Calculation Sheet'!$G$6)</f>
        <v/>
      </c>
      <c r="C12" s="676">
        <f>IF('Final Calculation Sheet'!$G$7="","",'Final Calculation Sheet'!$G$7)</f>
        <v/>
      </c>
      <c r="E12" s="709">
        <f>IF('Final Calculation Sheet'!$G$15="","",'Final Calculation Sheet'!$G$15)</f>
        <v/>
      </c>
      <c r="G12" s="676">
        <f>IF('Final Calculation Sheet'!$G$5="","",'Final Calculation Sheet'!$G$5)</f>
        <v/>
      </c>
      <c r="H12" s="710">
        <f>IF('Final Calculation Sheet'!$G$10="","",'Final Calculation Sheet'!$G$10)</f>
        <v/>
      </c>
      <c r="I12" s="676">
        <f>IF('Final Calculation Sheet'!$G$11="","",'Final Calculation Sheet'!$G$11)</f>
        <v/>
      </c>
      <c r="J12" s="710">
        <f>IF('Final Calculation Sheet'!$G$12="","",'Final Calculation Sheet'!$G$12)</f>
        <v/>
      </c>
      <c r="L12" s="676">
        <f>IF('Final Calculation Sheet'!$G$9="","",'Final Calculation Sheet'!$G$9)</f>
        <v/>
      </c>
      <c r="M12" s="711">
        <f>IF('Final Calculation Sheet'!$G$14="","",'Final Calculation Sheet'!$G$14)</f>
        <v/>
      </c>
      <c r="O12" s="676">
        <f>IF('Final Calculation Sheet'!$G$13="","",'Final Calculation Sheet'!$G$13)</f>
        <v/>
      </c>
      <c r="P12" s="712">
        <f>IF('Final Calculation Sheet'!$G$16="","",'Final Calculation Sheet'!$G$16)</f>
        <v/>
      </c>
      <c r="R12" s="676">
        <f>IF('Final Calculation Sheet'!$G$27="","",'Final Calculation Sheet'!$G$27)</f>
        <v/>
      </c>
      <c r="T12" s="710">
        <f>IF('Final Calculation Sheet'!$G$18="","",'Final Calculation Sheet'!$G$18)</f>
        <v/>
      </c>
      <c r="U12" s="676">
        <f>IF('Final Calculation Sheet'!$G$19="","",'Final Calculation Sheet'!$G$19)</f>
        <v/>
      </c>
      <c r="V12" s="710">
        <f>IF('Final Calculation Sheet'!$G$22="","",'Final Calculation Sheet'!$G$22)</f>
        <v/>
      </c>
      <c r="W12" s="676">
        <f>IF('Final Calculation Sheet'!$G$24="","",'Final Calculation Sheet'!$G$24)</f>
        <v/>
      </c>
      <c r="X12" s="710">
        <f>IF('Final Calculation Sheet'!$G$26="","",'Final Calculation Sheet'!$G$26)</f>
        <v/>
      </c>
      <c r="Z12" s="676">
        <f>IF('Final Calculation Sheet'!$G$21="","",'Final Calculation Sheet'!$G$21)</f>
        <v/>
      </c>
      <c r="AB12" s="713">
        <f>IF('Final Calculation Sheet'!$G$20="","",'Final Calculation Sheet'!$G$20)</f>
        <v/>
      </c>
      <c r="AD12" s="676">
        <f>IF('Final Calculation Sheet'!$G$17="","",'Final Calculation Sheet'!$G$17)</f>
        <v/>
      </c>
      <c r="AE12" s="712">
        <f>IF('Final Calculation Sheet'!$G$23="","",'Final Calculation Sheet'!$G$23)</f>
        <v/>
      </c>
      <c r="AF12" s="676">
        <f>IF('Final Calculation Sheet'!$G$29="","",'Final Calculation Sheet'!$G$29)</f>
        <v/>
      </c>
      <c r="AH12" s="708">
        <f>IF('Final Calculation Sheet'!$G$25="","",'Final Calculation Sheet'!$G$25)</f>
        <v/>
      </c>
      <c r="AI12" s="676">
        <f>IF('Final Calculation Sheet'!$G$28="","",'Final Calculation Sheet'!$G$28)</f>
        <v/>
      </c>
      <c r="AK12" s="710">
        <f>IF('Final Calculation Sheet'!$G$30="","",'Final Calculation Sheet'!$G$30)</f>
        <v/>
      </c>
      <c r="AL12" s="676">
        <f>IF('Final Calculation Sheet'!$G$32="","",'Final Calculation Sheet'!$G$32)</f>
        <v/>
      </c>
      <c r="AM12" s="710">
        <f>IF('Final Calculation Sheet'!$G$33="","",'Final Calculation Sheet'!$G$33)</f>
        <v/>
      </c>
      <c r="AO12" s="676">
        <f>IF('Final Calculation Sheet'!$G$31="","",'Final Calculation Sheet'!$G$31)</f>
        <v/>
      </c>
      <c r="AQ12" s="712">
        <f>IF('Final Calculation Sheet'!$G$34="","",'Final Calculation Sheet'!$G$34)</f>
        <v/>
      </c>
      <c r="AS12" s="676">
        <f>IF('Final Calculation Sheet'!$G$4="","",'Final Calculation Sheet'!$G$4)</f>
        <v/>
      </c>
      <c r="AU12" s="711">
        <f>IF('Final Calculation Sheet'!$G$38="","",'Final Calculation Sheet'!$G$38)</f>
        <v/>
      </c>
      <c r="AW12" s="676">
        <f>IF('Final Calculation Sheet'!$G$37="","",'Final Calculation Sheet'!$G$37)</f>
        <v/>
      </c>
      <c r="AY12" s="713">
        <f>IF('Final Calculation Sheet'!$G$8="","",'Final Calculation Sheet'!$G$8)</f>
        <v/>
      </c>
      <c r="BA12" s="676">
        <f>IF('Final Calculation Sheet'!$G$39="","",'Final Calculation Sheet'!$G$39)</f>
        <v/>
      </c>
      <c r="BB12" s="712">
        <f>IF('Final Calculation Sheet'!$G$40="","",'Final Calculation Sheet'!$G$40)</f>
        <v/>
      </c>
      <c r="BD12" s="676">
        <f>IF('Final Calculation Sheet'!$G$36="","",'Final Calculation Sheet'!$G$36)</f>
        <v/>
      </c>
      <c r="BF12" s="708">
        <f>IF('Final Calculation Sheet'!$G$35="","",'Final Calculation Sheet'!$G$35)</f>
        <v/>
      </c>
      <c r="BG12" s="677">
        <f>IF('Final Calculation Sheet'!$G$41="","",'Final Calculation Sheet'!$G$41)</f>
        <v/>
      </c>
    </row>
    <row r="13" ht="15" customHeight="1">
      <c r="A13" s="678" t="inlineStr">
        <is>
          <t>Mat. Value</t>
        </is>
      </c>
      <c r="B13" s="714">
        <f>IF('Final Calculation Sheet'!$H$6="","",'Final Calculation Sheet'!$H$6)</f>
        <v/>
      </c>
      <c r="C13" s="679">
        <f>IF('Final Calculation Sheet'!$H$7="","",'Final Calculation Sheet'!$H$7)</f>
        <v/>
      </c>
      <c r="E13" s="715">
        <f>IF('Final Calculation Sheet'!$H$15="","",'Final Calculation Sheet'!$H$15)</f>
        <v/>
      </c>
      <c r="G13" s="679">
        <f>IF('Final Calculation Sheet'!$H$5="","",'Final Calculation Sheet'!$H$5)</f>
        <v/>
      </c>
      <c r="H13" s="716">
        <f>IF('Final Calculation Sheet'!$H$10="","",'Final Calculation Sheet'!$H$10)</f>
        <v/>
      </c>
      <c r="I13" s="679">
        <f>IF('Final Calculation Sheet'!$H$11="","",'Final Calculation Sheet'!$H$11)</f>
        <v/>
      </c>
      <c r="J13" s="716">
        <f>IF('Final Calculation Sheet'!$H$12="","",'Final Calculation Sheet'!$H$12)</f>
        <v/>
      </c>
      <c r="L13" s="679">
        <f>IF('Final Calculation Sheet'!$H$9="","",'Final Calculation Sheet'!$H$9)</f>
        <v/>
      </c>
      <c r="M13" s="717">
        <f>IF('Final Calculation Sheet'!$H$14="","",'Final Calculation Sheet'!$H$14)</f>
        <v/>
      </c>
      <c r="O13" s="679">
        <f>IF('Final Calculation Sheet'!$H$13="","",'Final Calculation Sheet'!$H$13)</f>
        <v/>
      </c>
      <c r="P13" s="718">
        <f>IF('Final Calculation Sheet'!$H$16="","",'Final Calculation Sheet'!$H$16)</f>
        <v/>
      </c>
      <c r="R13" s="679">
        <f>IF('Final Calculation Sheet'!$H$27="","",'Final Calculation Sheet'!$H$27)</f>
        <v/>
      </c>
      <c r="T13" s="716">
        <f>IF('Final Calculation Sheet'!$H$18="","",'Final Calculation Sheet'!$H$18)</f>
        <v/>
      </c>
      <c r="U13" s="679">
        <f>IF('Final Calculation Sheet'!$H$19="","",'Final Calculation Sheet'!$H$19)</f>
        <v/>
      </c>
      <c r="V13" s="716">
        <f>IF('Final Calculation Sheet'!$H$22="","",'Final Calculation Sheet'!$H$22)</f>
        <v/>
      </c>
      <c r="W13" s="679">
        <f>IF('Final Calculation Sheet'!$H$24="","",'Final Calculation Sheet'!$H$24)</f>
        <v/>
      </c>
      <c r="X13" s="716">
        <f>IF('Final Calculation Sheet'!$H$26="","",'Final Calculation Sheet'!$H$26)</f>
        <v/>
      </c>
      <c r="Z13" s="679">
        <f>IF('Final Calculation Sheet'!$H$21="","",'Final Calculation Sheet'!$H$21)</f>
        <v/>
      </c>
      <c r="AB13" s="719">
        <f>IF('Final Calculation Sheet'!$H$20="","",'Final Calculation Sheet'!$H$20)</f>
        <v/>
      </c>
      <c r="AD13" s="679">
        <f>IF('Final Calculation Sheet'!$H$17="","",'Final Calculation Sheet'!$H$17)</f>
        <v/>
      </c>
      <c r="AE13" s="718">
        <f>IF('Final Calculation Sheet'!$H$23="","",'Final Calculation Sheet'!$H$23)</f>
        <v/>
      </c>
      <c r="AF13" s="679">
        <f>IF('Final Calculation Sheet'!$H$29="","",'Final Calculation Sheet'!$H$29)</f>
        <v/>
      </c>
      <c r="AH13" s="714">
        <f>IF('Final Calculation Sheet'!$H$25="","",'Final Calculation Sheet'!$H$25)</f>
        <v/>
      </c>
      <c r="AI13" s="679">
        <f>IF('Final Calculation Sheet'!$H$28="","",'Final Calculation Sheet'!$H$28)</f>
        <v/>
      </c>
      <c r="AK13" s="716">
        <f>IF('Final Calculation Sheet'!$H$30="","",'Final Calculation Sheet'!$H$30)</f>
        <v/>
      </c>
      <c r="AL13" s="679">
        <f>IF('Final Calculation Sheet'!$H$32="","",'Final Calculation Sheet'!$H$32)</f>
        <v/>
      </c>
      <c r="AM13" s="716">
        <f>IF('Final Calculation Sheet'!$H$33="","",'Final Calculation Sheet'!$H$33)</f>
        <v/>
      </c>
      <c r="AO13" s="679">
        <f>IF('Final Calculation Sheet'!$H$31="","",'Final Calculation Sheet'!$H$31)</f>
        <v/>
      </c>
      <c r="AQ13" s="718">
        <f>IF('Final Calculation Sheet'!$H$34="","",'Final Calculation Sheet'!$H$34)</f>
        <v/>
      </c>
      <c r="AS13" s="679">
        <f>IF('Final Calculation Sheet'!$H$4="","",'Final Calculation Sheet'!$H$4)</f>
        <v/>
      </c>
      <c r="AU13" s="717">
        <f>IF('Final Calculation Sheet'!$H$38="","",'Final Calculation Sheet'!$H$38)</f>
        <v/>
      </c>
      <c r="AW13" s="679">
        <f>IF('Final Calculation Sheet'!$H$37="","",'Final Calculation Sheet'!$H$37)</f>
        <v/>
      </c>
      <c r="AY13" s="719">
        <f>IF('Final Calculation Sheet'!$H$8="","",'Final Calculation Sheet'!$H$8)</f>
        <v/>
      </c>
      <c r="BA13" s="679">
        <f>IF('Final Calculation Sheet'!$H$39="","",'Final Calculation Sheet'!$H$39)</f>
        <v/>
      </c>
      <c r="BB13" s="718">
        <f>IF('Final Calculation Sheet'!$H$40="","",'Final Calculation Sheet'!$H$40)</f>
        <v/>
      </c>
      <c r="BD13" s="679">
        <f>IF('Final Calculation Sheet'!$H$36="","",'Final Calculation Sheet'!$H$36)</f>
        <v/>
      </c>
      <c r="BF13" s="714">
        <f>IF('Final Calculation Sheet'!$H$35="","",'Final Calculation Sheet'!$H$35)</f>
        <v/>
      </c>
      <c r="BG13" s="680">
        <f>IF('Final Calculation Sheet'!$H$41="","",'Final Calculation Sheet'!$H$41)</f>
        <v/>
      </c>
    </row>
    <row r="14" ht="15" customHeight="1">
      <c r="A14" s="675" t="inlineStr">
        <is>
          <t>GST</t>
        </is>
      </c>
      <c r="B14" s="714">
        <f>IF('Final Calculation Sheet'!$I$6="","",'Final Calculation Sheet'!$I$6)</f>
        <v/>
      </c>
      <c r="C14" s="679">
        <f>IF('Final Calculation Sheet'!$I$7="","",'Final Calculation Sheet'!$I$7)</f>
        <v/>
      </c>
      <c r="E14" s="715">
        <f>IF('Final Calculation Sheet'!$I$15="","",'Final Calculation Sheet'!$I$15)</f>
        <v/>
      </c>
      <c r="G14" s="679">
        <f>IF('Final Calculation Sheet'!$I$5="","",'Final Calculation Sheet'!$I$5)</f>
        <v/>
      </c>
      <c r="H14" s="716">
        <f>IF('Final Calculation Sheet'!$I$10="","",'Final Calculation Sheet'!$I$10)</f>
        <v/>
      </c>
      <c r="I14" s="679">
        <f>IF('Final Calculation Sheet'!$I$11="","",'Final Calculation Sheet'!$I$11)</f>
        <v/>
      </c>
      <c r="J14" s="716">
        <f>IF('Final Calculation Sheet'!$I$12="","",'Final Calculation Sheet'!$I$12)</f>
        <v/>
      </c>
      <c r="L14" s="679">
        <f>IF('Final Calculation Sheet'!$I$9="","",'Final Calculation Sheet'!$I$9)</f>
        <v/>
      </c>
      <c r="M14" s="717">
        <f>IF('Final Calculation Sheet'!$I$14="","",'Final Calculation Sheet'!$I$14)</f>
        <v/>
      </c>
      <c r="O14" s="679">
        <f>IF('Final Calculation Sheet'!$I$13="","",'Final Calculation Sheet'!$I$13)</f>
        <v/>
      </c>
      <c r="P14" s="718">
        <f>IF('Final Calculation Sheet'!$I$16="","",'Final Calculation Sheet'!$I$16)</f>
        <v/>
      </c>
      <c r="R14" s="679">
        <f>IF('Final Calculation Sheet'!$I$27="","",'Final Calculation Sheet'!$I$27)</f>
        <v/>
      </c>
      <c r="T14" s="716">
        <f>IF('Final Calculation Sheet'!$I$18="","",'Final Calculation Sheet'!$I$18)</f>
        <v/>
      </c>
      <c r="U14" s="679">
        <f>IF('Final Calculation Sheet'!$I$19="","",'Final Calculation Sheet'!$I$19)</f>
        <v/>
      </c>
      <c r="V14" s="716">
        <f>IF('Final Calculation Sheet'!$I$22="","",'Final Calculation Sheet'!$I$22)</f>
        <v/>
      </c>
      <c r="W14" s="679">
        <f>IF('Final Calculation Sheet'!$I$24="","",'Final Calculation Sheet'!$I$24)</f>
        <v/>
      </c>
      <c r="X14" s="716">
        <f>IF('Final Calculation Sheet'!$I$26="","",'Final Calculation Sheet'!$I$26)</f>
        <v/>
      </c>
      <c r="Z14" s="679">
        <f>IF('Final Calculation Sheet'!$I$21="","",'Final Calculation Sheet'!$I$21)</f>
        <v/>
      </c>
      <c r="AB14" s="719">
        <f>IF('Final Calculation Sheet'!$I$20="","",'Final Calculation Sheet'!$I$20)</f>
        <v/>
      </c>
      <c r="AD14" s="679">
        <f>IF('Final Calculation Sheet'!$I$17="","",'Final Calculation Sheet'!$I$17)</f>
        <v/>
      </c>
      <c r="AE14" s="718">
        <f>IF('Final Calculation Sheet'!$I$23="","",'Final Calculation Sheet'!$I$23)</f>
        <v/>
      </c>
      <c r="AF14" s="679">
        <f>IF('Final Calculation Sheet'!$I$29="","",'Final Calculation Sheet'!$I$29)</f>
        <v/>
      </c>
      <c r="AH14" s="714">
        <f>IF('Final Calculation Sheet'!$I$25="","",'Final Calculation Sheet'!$I$25)</f>
        <v/>
      </c>
      <c r="AI14" s="679">
        <f>IF('Final Calculation Sheet'!$I$28="","",'Final Calculation Sheet'!$I$28)</f>
        <v/>
      </c>
      <c r="AK14" s="716">
        <f>IF('Final Calculation Sheet'!$I$30="","",'Final Calculation Sheet'!$I$30)</f>
        <v/>
      </c>
      <c r="AL14" s="679">
        <f>IF('Final Calculation Sheet'!$I$32="","",'Final Calculation Sheet'!$I$32)</f>
        <v/>
      </c>
      <c r="AM14" s="716">
        <f>IF('Final Calculation Sheet'!$I$33="","",'Final Calculation Sheet'!$I$33)</f>
        <v/>
      </c>
      <c r="AO14" s="679">
        <f>IF('Final Calculation Sheet'!$I$31="","",'Final Calculation Sheet'!$I$31)</f>
        <v/>
      </c>
      <c r="AQ14" s="718">
        <f>IF('Final Calculation Sheet'!$I$34="","",'Final Calculation Sheet'!$I$34)</f>
        <v/>
      </c>
      <c r="AS14" s="679">
        <f>IF('Final Calculation Sheet'!$I$4="","",'Final Calculation Sheet'!$I$4)</f>
        <v/>
      </c>
      <c r="AU14" s="717">
        <f>IF('Final Calculation Sheet'!$I$38="","",'Final Calculation Sheet'!$I$38)</f>
        <v/>
      </c>
      <c r="AW14" s="679">
        <f>IF('Final Calculation Sheet'!$I$37="","",'Final Calculation Sheet'!$I$37)</f>
        <v/>
      </c>
      <c r="AY14" s="719">
        <f>IF('Final Calculation Sheet'!$I$8="","",'Final Calculation Sheet'!$I$8)</f>
        <v/>
      </c>
      <c r="BA14" s="679">
        <f>IF('Final Calculation Sheet'!$I$39="","",'Final Calculation Sheet'!$I$39)</f>
        <v/>
      </c>
      <c r="BB14" s="718">
        <f>IF('Final Calculation Sheet'!$I$40="","",'Final Calculation Sheet'!$I$40)</f>
        <v/>
      </c>
      <c r="BD14" s="679">
        <f>IF('Final Calculation Sheet'!$I$36="","",'Final Calculation Sheet'!$I$36)</f>
        <v/>
      </c>
      <c r="BF14" s="714">
        <f>IF('Final Calculation Sheet'!$I$35="","",'Final Calculation Sheet'!$I$35)</f>
        <v/>
      </c>
      <c r="BG14" s="680">
        <f>IF('Final Calculation Sheet'!$I$41="","",'Final Calculation Sheet'!$I$41)</f>
        <v/>
      </c>
    </row>
    <row r="15" ht="15" customHeight="1">
      <c r="A15" s="678" t="inlineStr">
        <is>
          <t>Mat. Value + GST</t>
        </is>
      </c>
      <c r="B15" s="714">
        <f>IF('Final Calculation Sheet'!$J$6="","",'Final Calculation Sheet'!$J$6)</f>
        <v/>
      </c>
      <c r="C15" s="679">
        <f>IF('Final Calculation Sheet'!$J$7="","",'Final Calculation Sheet'!$J$7)</f>
        <v/>
      </c>
      <c r="E15" s="715">
        <f>IF('Final Calculation Sheet'!$J$15="","",'Final Calculation Sheet'!$J$15)</f>
        <v/>
      </c>
      <c r="G15" s="679">
        <f>IF('Final Calculation Sheet'!$J$5="","",'Final Calculation Sheet'!$J$5)</f>
        <v/>
      </c>
      <c r="H15" s="716">
        <f>IF('Final Calculation Sheet'!$J$10="","",'Final Calculation Sheet'!$J$10)</f>
        <v/>
      </c>
      <c r="I15" s="679">
        <f>IF('Final Calculation Sheet'!$J$11="","",'Final Calculation Sheet'!$J$11)</f>
        <v/>
      </c>
      <c r="J15" s="716">
        <f>IF('Final Calculation Sheet'!$J$12="","",'Final Calculation Sheet'!$J$12)</f>
        <v/>
      </c>
      <c r="L15" s="679">
        <f>IF('Final Calculation Sheet'!$J$9="","",'Final Calculation Sheet'!$J$9)</f>
        <v/>
      </c>
      <c r="M15" s="717">
        <f>IF('Final Calculation Sheet'!$J$14="","",'Final Calculation Sheet'!$J$14)</f>
        <v/>
      </c>
      <c r="O15" s="679">
        <f>IF('Final Calculation Sheet'!$J$13="","",'Final Calculation Sheet'!$J$13)</f>
        <v/>
      </c>
      <c r="P15" s="718">
        <f>IF('Final Calculation Sheet'!$J$16="","",'Final Calculation Sheet'!$J$16)</f>
        <v/>
      </c>
      <c r="R15" s="679">
        <f>IF('Final Calculation Sheet'!$J$27="","",'Final Calculation Sheet'!$J$27)</f>
        <v/>
      </c>
      <c r="T15" s="716">
        <f>IF('Final Calculation Sheet'!$J$18="","",'Final Calculation Sheet'!$J$18)</f>
        <v/>
      </c>
      <c r="U15" s="679">
        <f>IF('Final Calculation Sheet'!$J$19="","",'Final Calculation Sheet'!$J$19)</f>
        <v/>
      </c>
      <c r="V15" s="716">
        <f>IF('Final Calculation Sheet'!$J$22="","",'Final Calculation Sheet'!$J$22)</f>
        <v/>
      </c>
      <c r="W15" s="679">
        <f>IF('Final Calculation Sheet'!$J$24="","",'Final Calculation Sheet'!$J$24)</f>
        <v/>
      </c>
      <c r="X15" s="716">
        <f>IF('Final Calculation Sheet'!$J$26="","",'Final Calculation Sheet'!$J$26)</f>
        <v/>
      </c>
      <c r="Z15" s="679">
        <f>IF('Final Calculation Sheet'!$J$21="","",'Final Calculation Sheet'!$J$21)</f>
        <v/>
      </c>
      <c r="AB15" s="719">
        <f>IF('Final Calculation Sheet'!$J$20="","",'Final Calculation Sheet'!$J$20)</f>
        <v/>
      </c>
      <c r="AD15" s="679">
        <f>IF('Final Calculation Sheet'!$J$17="","",'Final Calculation Sheet'!$J$17)</f>
        <v/>
      </c>
      <c r="AE15" s="718">
        <f>IF('Final Calculation Sheet'!$J$23="","",'Final Calculation Sheet'!$J$23)</f>
        <v/>
      </c>
      <c r="AF15" s="679">
        <f>IF('Final Calculation Sheet'!$J$29="","",'Final Calculation Sheet'!$J$29)</f>
        <v/>
      </c>
      <c r="AH15" s="714">
        <f>IF('Final Calculation Sheet'!$J$25="","",'Final Calculation Sheet'!$J$25)</f>
        <v/>
      </c>
      <c r="AI15" s="679">
        <f>IF('Final Calculation Sheet'!$J$28="","",'Final Calculation Sheet'!$J$28)</f>
        <v/>
      </c>
      <c r="AK15" s="716">
        <f>IF('Final Calculation Sheet'!$J$30="","",'Final Calculation Sheet'!$J$30)</f>
        <v/>
      </c>
      <c r="AL15" s="679">
        <f>IF('Final Calculation Sheet'!$J$32="","",'Final Calculation Sheet'!$J$32)</f>
        <v/>
      </c>
      <c r="AM15" s="716">
        <f>IF('Final Calculation Sheet'!$J$33="","",'Final Calculation Sheet'!$J$33)</f>
        <v/>
      </c>
      <c r="AO15" s="679">
        <f>IF('Final Calculation Sheet'!$J$31="","",'Final Calculation Sheet'!$J$31)</f>
        <v/>
      </c>
      <c r="AQ15" s="718">
        <f>IF('Final Calculation Sheet'!$J$34="","",'Final Calculation Sheet'!$J$34)</f>
        <v/>
      </c>
      <c r="AS15" s="679">
        <f>IF('Final Calculation Sheet'!$J$4="","",'Final Calculation Sheet'!$J$4)</f>
        <v/>
      </c>
      <c r="AU15" s="717">
        <f>IF('Final Calculation Sheet'!$J$38="","",'Final Calculation Sheet'!$J$38)</f>
        <v/>
      </c>
      <c r="AW15" s="679">
        <f>IF('Final Calculation Sheet'!$J$37="","",'Final Calculation Sheet'!$J$37)</f>
        <v/>
      </c>
      <c r="AY15" s="719">
        <f>IF('Final Calculation Sheet'!$J$8="","",'Final Calculation Sheet'!$J$8)</f>
        <v/>
      </c>
      <c r="BA15" s="679">
        <f>IF('Final Calculation Sheet'!$J$39="","",'Final Calculation Sheet'!$J$39)</f>
        <v/>
      </c>
      <c r="BB15" s="718">
        <f>IF('Final Calculation Sheet'!$J$40="","",'Final Calculation Sheet'!$J$40)</f>
        <v/>
      </c>
      <c r="BD15" s="679">
        <f>IF('Final Calculation Sheet'!$J$36="","",'Final Calculation Sheet'!$J$36)</f>
        <v/>
      </c>
      <c r="BF15" s="714">
        <f>IF('Final Calculation Sheet'!$J$35="","",'Final Calculation Sheet'!$J$35)</f>
        <v/>
      </c>
      <c r="BG15" s="680">
        <f>IF('Final Calculation Sheet'!$J$41="","",'Final Calculation Sheet'!$J$41)</f>
        <v/>
      </c>
    </row>
    <row r="16" ht="15" customHeight="1">
      <c r="A16" s="675" t="inlineStr">
        <is>
          <t>TCS</t>
        </is>
      </c>
      <c r="B16" s="714">
        <f>IF('Final Calculation Sheet'!$K$6="","",'Final Calculation Sheet'!$K$6)</f>
        <v/>
      </c>
      <c r="C16" s="679">
        <f>IF('Final Calculation Sheet'!$K$7="","",'Final Calculation Sheet'!$K$7)</f>
        <v/>
      </c>
      <c r="E16" s="715">
        <f>IF('Final Calculation Sheet'!$K$15="","",'Final Calculation Sheet'!$K$15)</f>
        <v/>
      </c>
      <c r="G16" s="679">
        <f>IF('Final Calculation Sheet'!$K$5="","",'Final Calculation Sheet'!$K$5)</f>
        <v/>
      </c>
      <c r="H16" s="716">
        <f>IF('Final Calculation Sheet'!$K$10="","",'Final Calculation Sheet'!$K$10)</f>
        <v/>
      </c>
      <c r="I16" s="679">
        <f>IF('Final Calculation Sheet'!$K$11="","",'Final Calculation Sheet'!$K$11)</f>
        <v/>
      </c>
      <c r="J16" s="716">
        <f>IF('Final Calculation Sheet'!$K$12="","",'Final Calculation Sheet'!$K$12)</f>
        <v/>
      </c>
      <c r="L16" s="679">
        <f>IF('Final Calculation Sheet'!$K$9="","",'Final Calculation Sheet'!$K$9)</f>
        <v/>
      </c>
      <c r="M16" s="717">
        <f>IF('Final Calculation Sheet'!$K$14="","",'Final Calculation Sheet'!$K$14)</f>
        <v/>
      </c>
      <c r="O16" s="679">
        <f>IF('Final Calculation Sheet'!$K$13="","",'Final Calculation Sheet'!$K$13)</f>
        <v/>
      </c>
      <c r="P16" s="718">
        <f>IF('Final Calculation Sheet'!$K$16="","",'Final Calculation Sheet'!$K$16)</f>
        <v/>
      </c>
      <c r="R16" s="679">
        <f>IF('Final Calculation Sheet'!$K$27="","",'Final Calculation Sheet'!$K$27)</f>
        <v/>
      </c>
      <c r="T16" s="716">
        <f>IF('Final Calculation Sheet'!$K$18="","",'Final Calculation Sheet'!$K$18)</f>
        <v/>
      </c>
      <c r="U16" s="679">
        <f>IF('Final Calculation Sheet'!$K$19="","",'Final Calculation Sheet'!$K$19)</f>
        <v/>
      </c>
      <c r="V16" s="716">
        <f>IF('Final Calculation Sheet'!$K$22="","",'Final Calculation Sheet'!$K$22)</f>
        <v/>
      </c>
      <c r="W16" s="679">
        <f>IF('Final Calculation Sheet'!$K$24="","",'Final Calculation Sheet'!$K$24)</f>
        <v/>
      </c>
      <c r="X16" s="716">
        <f>IF('Final Calculation Sheet'!$K$26="","",'Final Calculation Sheet'!$K$26)</f>
        <v/>
      </c>
      <c r="Z16" s="679">
        <f>IF('Final Calculation Sheet'!$K$21="","",'Final Calculation Sheet'!$K$21)</f>
        <v/>
      </c>
      <c r="AB16" s="719">
        <f>IF('Final Calculation Sheet'!$K$20="","",'Final Calculation Sheet'!$K$20)</f>
        <v/>
      </c>
      <c r="AD16" s="679">
        <f>IF('Final Calculation Sheet'!$K$17="","",'Final Calculation Sheet'!$K$17)</f>
        <v/>
      </c>
      <c r="AE16" s="718">
        <f>IF('Final Calculation Sheet'!$K$23="","",'Final Calculation Sheet'!$K$23)</f>
        <v/>
      </c>
      <c r="AF16" s="679">
        <f>IF('Final Calculation Sheet'!$K$29="","",'Final Calculation Sheet'!$K$29)</f>
        <v/>
      </c>
      <c r="AH16" s="714">
        <f>IF('Final Calculation Sheet'!$K$25="","",'Final Calculation Sheet'!$K$25)</f>
        <v/>
      </c>
      <c r="AI16" s="679">
        <f>IF('Final Calculation Sheet'!$K$28="","",'Final Calculation Sheet'!$K$28)</f>
        <v/>
      </c>
      <c r="AK16" s="716">
        <f>IF('Final Calculation Sheet'!$K$30="","",'Final Calculation Sheet'!$K$30)</f>
        <v/>
      </c>
      <c r="AL16" s="679">
        <f>IF('Final Calculation Sheet'!$K$32="","",'Final Calculation Sheet'!$K$32)</f>
        <v/>
      </c>
      <c r="AM16" s="716">
        <f>IF('Final Calculation Sheet'!$K$33="","",'Final Calculation Sheet'!$K$33)</f>
        <v/>
      </c>
      <c r="AO16" s="679">
        <f>IF('Final Calculation Sheet'!$K$31="","",'Final Calculation Sheet'!$K$31)</f>
        <v/>
      </c>
      <c r="AQ16" s="718">
        <f>IF('Final Calculation Sheet'!$K$34="","",'Final Calculation Sheet'!$K$34)</f>
        <v/>
      </c>
      <c r="AS16" s="679">
        <f>IF('Final Calculation Sheet'!$K$4="","",'Final Calculation Sheet'!$K$4)</f>
        <v/>
      </c>
      <c r="AU16" s="717">
        <f>IF('Final Calculation Sheet'!$K$38="","",'Final Calculation Sheet'!$K$38)</f>
        <v/>
      </c>
      <c r="AW16" s="679">
        <f>IF('Final Calculation Sheet'!$K$37="","",'Final Calculation Sheet'!$K$37)</f>
        <v/>
      </c>
      <c r="AY16" s="719">
        <f>IF('Final Calculation Sheet'!$K$8="","",'Final Calculation Sheet'!$K$8)</f>
        <v/>
      </c>
      <c r="BA16" s="679">
        <f>IF('Final Calculation Sheet'!$K$39="","",'Final Calculation Sheet'!$K$39)</f>
        <v/>
      </c>
      <c r="BB16" s="718">
        <f>IF('Final Calculation Sheet'!$K$40="","",'Final Calculation Sheet'!$K$40)</f>
        <v/>
      </c>
      <c r="BD16" s="679">
        <f>IF('Final Calculation Sheet'!$K$36="","",'Final Calculation Sheet'!$K$36)</f>
        <v/>
      </c>
      <c r="BF16" s="714">
        <f>IF('Final Calculation Sheet'!$K$35="","",'Final Calculation Sheet'!$K$35)</f>
        <v/>
      </c>
      <c r="BG16" s="680">
        <f>IF('Final Calculation Sheet'!$K$41="","",'Final Calculation Sheet'!$K$41)</f>
        <v/>
      </c>
    </row>
    <row r="17" ht="15" customHeight="1">
      <c r="A17" s="678" t="inlineStr">
        <is>
          <t>TDS u/s 194(O)</t>
        </is>
      </c>
      <c r="B17" s="714">
        <f>IF('Final Calculation Sheet'!$L$6="","",'Final Calculation Sheet'!$L$6)</f>
        <v/>
      </c>
      <c r="C17" s="679">
        <f>IF('Final Calculation Sheet'!$L$7="","",'Final Calculation Sheet'!$L$7)</f>
        <v/>
      </c>
      <c r="E17" s="715">
        <f>IF('Final Calculation Sheet'!$L$15="","",'Final Calculation Sheet'!$L$15)</f>
        <v/>
      </c>
      <c r="G17" s="679">
        <f>IF('Final Calculation Sheet'!$L$5="","",'Final Calculation Sheet'!$L$5)</f>
        <v/>
      </c>
      <c r="H17" s="716">
        <f>IF('Final Calculation Sheet'!$L$10="","",'Final Calculation Sheet'!$L$10)</f>
        <v/>
      </c>
      <c r="I17" s="679">
        <f>IF('Final Calculation Sheet'!$L$11="","",'Final Calculation Sheet'!$L$11)</f>
        <v/>
      </c>
      <c r="J17" s="716">
        <f>IF('Final Calculation Sheet'!$L$12="","",'Final Calculation Sheet'!$L$12)</f>
        <v/>
      </c>
      <c r="L17" s="679">
        <f>IF('Final Calculation Sheet'!$L$9="","",'Final Calculation Sheet'!$L$9)</f>
        <v/>
      </c>
      <c r="M17" s="717">
        <f>IF('Final Calculation Sheet'!$L$14="","",'Final Calculation Sheet'!$L$14)</f>
        <v/>
      </c>
      <c r="O17" s="679">
        <f>IF('Final Calculation Sheet'!$L$13="","",'Final Calculation Sheet'!$L$13)</f>
        <v/>
      </c>
      <c r="P17" s="718">
        <f>IF('Final Calculation Sheet'!$L$16="","",'Final Calculation Sheet'!$L$16)</f>
        <v/>
      </c>
      <c r="R17" s="679">
        <f>IF('Final Calculation Sheet'!$L$27="","",'Final Calculation Sheet'!$L$27)</f>
        <v/>
      </c>
      <c r="T17" s="716">
        <f>IF('Final Calculation Sheet'!$L$18="","",'Final Calculation Sheet'!$L$18)</f>
        <v/>
      </c>
      <c r="U17" s="679">
        <f>IF('Final Calculation Sheet'!$L$19="","",'Final Calculation Sheet'!$L$19)</f>
        <v/>
      </c>
      <c r="V17" s="716">
        <f>IF('Final Calculation Sheet'!$L$22="","",'Final Calculation Sheet'!$L$22)</f>
        <v/>
      </c>
      <c r="W17" s="679">
        <f>IF('Final Calculation Sheet'!$L$24="","",'Final Calculation Sheet'!$L$24)</f>
        <v/>
      </c>
      <c r="X17" s="716">
        <f>IF('Final Calculation Sheet'!$L$26="","",'Final Calculation Sheet'!$L$26)</f>
        <v/>
      </c>
      <c r="Z17" s="679">
        <f>IF('Final Calculation Sheet'!$L$21="","",'Final Calculation Sheet'!$L$21)</f>
        <v/>
      </c>
      <c r="AB17" s="719">
        <f>IF('Final Calculation Sheet'!$L$20="","",'Final Calculation Sheet'!$L$20)</f>
        <v/>
      </c>
      <c r="AD17" s="679">
        <f>IF('Final Calculation Sheet'!$L$17="","",'Final Calculation Sheet'!$L$17)</f>
        <v/>
      </c>
      <c r="AE17" s="718">
        <f>IF('Final Calculation Sheet'!$L$23="","",'Final Calculation Sheet'!$L$23)</f>
        <v/>
      </c>
      <c r="AF17" s="679">
        <f>IF('Final Calculation Sheet'!$L$29="","",'Final Calculation Sheet'!$L$29)</f>
        <v/>
      </c>
      <c r="AH17" s="714">
        <f>IF('Final Calculation Sheet'!$L$25="","",'Final Calculation Sheet'!$L$25)</f>
        <v/>
      </c>
      <c r="AI17" s="679">
        <f>IF('Final Calculation Sheet'!$L$28="","",'Final Calculation Sheet'!$L$28)</f>
        <v/>
      </c>
      <c r="AK17" s="716">
        <f>IF('Final Calculation Sheet'!$L$30="","",'Final Calculation Sheet'!$L$30)</f>
        <v/>
      </c>
      <c r="AL17" s="679">
        <f>IF('Final Calculation Sheet'!$L$32="","",'Final Calculation Sheet'!$L$32)</f>
        <v/>
      </c>
      <c r="AM17" s="716">
        <f>IF('Final Calculation Sheet'!$L$33="","",'Final Calculation Sheet'!$L$33)</f>
        <v/>
      </c>
      <c r="AO17" s="679">
        <f>IF('Final Calculation Sheet'!$L$31="","",'Final Calculation Sheet'!$L$31)</f>
        <v/>
      </c>
      <c r="AQ17" s="718">
        <f>IF('Final Calculation Sheet'!$L$34="","",'Final Calculation Sheet'!$L$34)</f>
        <v/>
      </c>
      <c r="AS17" s="679">
        <f>IF('Final Calculation Sheet'!$L$4="","",'Final Calculation Sheet'!$L$4)</f>
        <v/>
      </c>
      <c r="AU17" s="717">
        <f>IF('Final Calculation Sheet'!$L$38="","",'Final Calculation Sheet'!$L$38)</f>
        <v/>
      </c>
      <c r="AW17" s="679">
        <f>IF('Final Calculation Sheet'!$L$37="","",'Final Calculation Sheet'!$L$37)</f>
        <v/>
      </c>
      <c r="AY17" s="719">
        <f>IF('Final Calculation Sheet'!$L$8="","",'Final Calculation Sheet'!$L$8)</f>
        <v/>
      </c>
      <c r="BA17" s="679">
        <f>IF('Final Calculation Sheet'!$L$39="","",'Final Calculation Sheet'!$L$39)</f>
        <v/>
      </c>
      <c r="BB17" s="718">
        <f>IF('Final Calculation Sheet'!$L$40="","",'Final Calculation Sheet'!$L$40)</f>
        <v/>
      </c>
      <c r="BD17" s="679">
        <f>IF('Final Calculation Sheet'!$L$36="","",'Final Calculation Sheet'!$L$36)</f>
        <v/>
      </c>
      <c r="BF17" s="714">
        <f>IF('Final Calculation Sheet'!$L$35="","",'Final Calculation Sheet'!$L$35)</f>
        <v/>
      </c>
      <c r="BG17" s="680">
        <f>IF('Final Calculation Sheet'!$L$41="","",'Final Calculation Sheet'!$L$41)</f>
        <v/>
      </c>
    </row>
    <row r="18" ht="15" customHeight="1">
      <c r="A18" s="675" t="inlineStr">
        <is>
          <t>Service Charge to MSTC</t>
        </is>
      </c>
      <c r="B18" s="714">
        <f>IF('Final Calculation Sheet'!$M$6="","",'Final Calculation Sheet'!$M$6)</f>
        <v/>
      </c>
      <c r="C18" s="679">
        <f>IF('Final Calculation Sheet'!$M$7="","",'Final Calculation Sheet'!$M$7)</f>
        <v/>
      </c>
      <c r="E18" s="715">
        <f>IF('Final Calculation Sheet'!$M$15="","",'Final Calculation Sheet'!$M$15)</f>
        <v/>
      </c>
      <c r="G18" s="679">
        <f>IF('Final Calculation Sheet'!$M$5="","",'Final Calculation Sheet'!$M$5)</f>
        <v/>
      </c>
      <c r="H18" s="716">
        <f>IF('Final Calculation Sheet'!$M$10="","",'Final Calculation Sheet'!$M$10)</f>
        <v/>
      </c>
      <c r="I18" s="679">
        <f>IF('Final Calculation Sheet'!$M$11="","",'Final Calculation Sheet'!$M$11)</f>
        <v/>
      </c>
      <c r="J18" s="716">
        <f>IF('Final Calculation Sheet'!$M$12="","",'Final Calculation Sheet'!$M$12)</f>
        <v/>
      </c>
      <c r="L18" s="679">
        <f>IF('Final Calculation Sheet'!$M$9="","",'Final Calculation Sheet'!$M$9)</f>
        <v/>
      </c>
      <c r="M18" s="717">
        <f>IF('Final Calculation Sheet'!$M$14="","",'Final Calculation Sheet'!$M$14)</f>
        <v/>
      </c>
      <c r="O18" s="679">
        <f>IF('Final Calculation Sheet'!$M$13="","",'Final Calculation Sheet'!$M$13)</f>
        <v/>
      </c>
      <c r="P18" s="718">
        <f>IF('Final Calculation Sheet'!$M$16="","",'Final Calculation Sheet'!$M$16)</f>
        <v/>
      </c>
      <c r="R18" s="679">
        <f>IF('Final Calculation Sheet'!$M$27="","",'Final Calculation Sheet'!$M$27)</f>
        <v/>
      </c>
      <c r="T18" s="716">
        <f>IF('Final Calculation Sheet'!$M$18="","",'Final Calculation Sheet'!$M$18)</f>
        <v/>
      </c>
      <c r="U18" s="679">
        <f>IF('Final Calculation Sheet'!$M$19="","",'Final Calculation Sheet'!$M$19)</f>
        <v/>
      </c>
      <c r="V18" s="716">
        <f>IF('Final Calculation Sheet'!$M$22="","",'Final Calculation Sheet'!$M$22)</f>
        <v/>
      </c>
      <c r="W18" s="679">
        <f>IF('Final Calculation Sheet'!$M$24="","",'Final Calculation Sheet'!$M$24)</f>
        <v/>
      </c>
      <c r="X18" s="716">
        <f>IF('Final Calculation Sheet'!$M$26="","",'Final Calculation Sheet'!$M$26)</f>
        <v/>
      </c>
      <c r="Z18" s="679">
        <f>IF('Final Calculation Sheet'!$M$21="","",'Final Calculation Sheet'!$M$21)</f>
        <v/>
      </c>
      <c r="AB18" s="719">
        <f>IF('Final Calculation Sheet'!$M$20="","",'Final Calculation Sheet'!$M$20)</f>
        <v/>
      </c>
      <c r="AD18" s="679">
        <f>IF('Final Calculation Sheet'!$M$17="","",'Final Calculation Sheet'!$M$17)</f>
        <v/>
      </c>
      <c r="AE18" s="718">
        <f>IF('Final Calculation Sheet'!$M$23="","",'Final Calculation Sheet'!$M$23)</f>
        <v/>
      </c>
      <c r="AF18" s="679">
        <f>IF('Final Calculation Sheet'!$M$29="","",'Final Calculation Sheet'!$M$29)</f>
        <v/>
      </c>
      <c r="AH18" s="714">
        <f>IF('Final Calculation Sheet'!$M$25="","",'Final Calculation Sheet'!$M$25)</f>
        <v/>
      </c>
      <c r="AI18" s="679">
        <f>IF('Final Calculation Sheet'!$M$28="","",'Final Calculation Sheet'!$M$28)</f>
        <v/>
      </c>
      <c r="AK18" s="716">
        <f>IF('Final Calculation Sheet'!$M$30="","",'Final Calculation Sheet'!$M$30)</f>
        <v/>
      </c>
      <c r="AL18" s="679">
        <f>IF('Final Calculation Sheet'!$M$32="","",'Final Calculation Sheet'!$M$32)</f>
        <v/>
      </c>
      <c r="AM18" s="716">
        <f>IF('Final Calculation Sheet'!$M$33="","",'Final Calculation Sheet'!$M$33)</f>
        <v/>
      </c>
      <c r="AO18" s="679">
        <f>IF('Final Calculation Sheet'!$M$31="","",'Final Calculation Sheet'!$M$31)</f>
        <v/>
      </c>
      <c r="AQ18" s="718">
        <f>IF('Final Calculation Sheet'!$M$34="","",'Final Calculation Sheet'!$M$34)</f>
        <v/>
      </c>
      <c r="AS18" s="679">
        <f>IF('Final Calculation Sheet'!$M$4="","",'Final Calculation Sheet'!$M$4)</f>
        <v/>
      </c>
      <c r="AU18" s="717">
        <f>IF('Final Calculation Sheet'!$M$38="","",'Final Calculation Sheet'!$M$38)</f>
        <v/>
      </c>
      <c r="AW18" s="679">
        <f>IF('Final Calculation Sheet'!$M$37="","",'Final Calculation Sheet'!$M$37)</f>
        <v/>
      </c>
      <c r="AY18" s="719">
        <f>IF('Final Calculation Sheet'!$M$8="","",'Final Calculation Sheet'!$M$8)</f>
        <v/>
      </c>
      <c r="BA18" s="679">
        <f>IF('Final Calculation Sheet'!$M$39="","",'Final Calculation Sheet'!$M$39)</f>
        <v/>
      </c>
      <c r="BB18" s="718">
        <f>IF('Final Calculation Sheet'!$M$40="","",'Final Calculation Sheet'!$M$40)</f>
        <v/>
      </c>
      <c r="BD18" s="679">
        <f>IF('Final Calculation Sheet'!$M$36="","",'Final Calculation Sheet'!$M$36)</f>
        <v/>
      </c>
      <c r="BF18" s="714">
        <f>IF('Final Calculation Sheet'!$M$35="","",'Final Calculation Sheet'!$M$35)</f>
        <v/>
      </c>
      <c r="BG18" s="680">
        <f>IF('Final Calculation Sheet'!$M$41="","",'Final Calculation Sheet'!$M$41)</f>
        <v/>
      </c>
    </row>
    <row r="19" ht="15" customHeight="1">
      <c r="A19" s="678" t="inlineStr">
        <is>
          <t>TDS u/s 194(H)</t>
        </is>
      </c>
      <c r="B19" s="720">
        <f>IF('Final Calculation Sheet'!$N$6="","",'Final Calculation Sheet'!$N$6)</f>
        <v/>
      </c>
      <c r="C19" s="681">
        <f>IF('Final Calculation Sheet'!$N$7="","",'Final Calculation Sheet'!$N$7)</f>
        <v/>
      </c>
      <c r="E19" s="721">
        <f>IF('Final Calculation Sheet'!$N$15="","",'Final Calculation Sheet'!$N$15)</f>
        <v/>
      </c>
      <c r="G19" s="681">
        <f>IF('Final Calculation Sheet'!$N$5="","",'Final Calculation Sheet'!$N$5)</f>
        <v/>
      </c>
      <c r="H19" s="722">
        <f>IF('Final Calculation Sheet'!$N$10="","",'Final Calculation Sheet'!$N$10)</f>
        <v/>
      </c>
      <c r="I19" s="681">
        <f>IF('Final Calculation Sheet'!$N$11="","",'Final Calculation Sheet'!$N$11)</f>
        <v/>
      </c>
      <c r="J19" s="722">
        <f>IF('Final Calculation Sheet'!$N$12="","",'Final Calculation Sheet'!$N$12)</f>
        <v/>
      </c>
      <c r="L19" s="681">
        <f>IF('Final Calculation Sheet'!$N$9="","",'Final Calculation Sheet'!$N$9)</f>
        <v/>
      </c>
      <c r="M19" s="723">
        <f>IF('Final Calculation Sheet'!$N$14="","",'Final Calculation Sheet'!$N$14)</f>
        <v/>
      </c>
      <c r="O19" s="681">
        <f>IF('Final Calculation Sheet'!$N$13="","",'Final Calculation Sheet'!$N$13)</f>
        <v/>
      </c>
      <c r="P19" s="724">
        <f>IF('Final Calculation Sheet'!$N$16="","",'Final Calculation Sheet'!$N$16)</f>
        <v/>
      </c>
      <c r="R19" s="681">
        <f>IF('Final Calculation Sheet'!$N$27="","",'Final Calculation Sheet'!$N$27)</f>
        <v/>
      </c>
      <c r="T19" s="722">
        <f>IF('Final Calculation Sheet'!$N$18="","",'Final Calculation Sheet'!$N$18)</f>
        <v/>
      </c>
      <c r="U19" s="681">
        <f>IF('Final Calculation Sheet'!$N$19="","",'Final Calculation Sheet'!$N$19)</f>
        <v/>
      </c>
      <c r="V19" s="722">
        <f>IF('Final Calculation Sheet'!$N$22="","",'Final Calculation Sheet'!$N$22)</f>
        <v/>
      </c>
      <c r="W19" s="681">
        <f>IF('Final Calculation Sheet'!$N$24="","",'Final Calculation Sheet'!$N$24)</f>
        <v/>
      </c>
      <c r="X19" s="722">
        <f>IF('Final Calculation Sheet'!$N$26="","",'Final Calculation Sheet'!$N$26)</f>
        <v/>
      </c>
      <c r="Z19" s="681">
        <f>IF('Final Calculation Sheet'!$N$21="","",'Final Calculation Sheet'!$N$21)</f>
        <v/>
      </c>
      <c r="AB19" s="725">
        <f>IF('Final Calculation Sheet'!$N$20="","",'Final Calculation Sheet'!$N$20)</f>
        <v/>
      </c>
      <c r="AD19" s="681">
        <f>IF('Final Calculation Sheet'!$N$17="","",'Final Calculation Sheet'!$N$17)</f>
        <v/>
      </c>
      <c r="AE19" s="724">
        <f>IF('Final Calculation Sheet'!$N$23="","",'Final Calculation Sheet'!$N$23)</f>
        <v/>
      </c>
      <c r="AF19" s="681">
        <f>IF('Final Calculation Sheet'!$N$29="","",'Final Calculation Sheet'!$N$29)</f>
        <v/>
      </c>
      <c r="AH19" s="720">
        <f>IF('Final Calculation Sheet'!$N$25="","",'Final Calculation Sheet'!$N$25)</f>
        <v/>
      </c>
      <c r="AI19" s="681">
        <f>IF('Final Calculation Sheet'!$N$28="","",'Final Calculation Sheet'!$N$28)</f>
        <v/>
      </c>
      <c r="AK19" s="722">
        <f>IF('Final Calculation Sheet'!$N$30="","",'Final Calculation Sheet'!$N$30)</f>
        <v/>
      </c>
      <c r="AL19" s="681">
        <f>IF('Final Calculation Sheet'!$N$32="","",'Final Calculation Sheet'!$N$32)</f>
        <v/>
      </c>
      <c r="AM19" s="722">
        <f>IF('Final Calculation Sheet'!$N$33="","",'Final Calculation Sheet'!$N$33)</f>
        <v/>
      </c>
      <c r="AO19" s="681">
        <f>IF('Final Calculation Sheet'!$N$31="","",'Final Calculation Sheet'!$N$31)</f>
        <v/>
      </c>
      <c r="AQ19" s="724">
        <f>IF('Final Calculation Sheet'!$N$34="","",'Final Calculation Sheet'!$N$34)</f>
        <v/>
      </c>
      <c r="AS19" s="681">
        <f>IF('Final Calculation Sheet'!$N$4="","",'Final Calculation Sheet'!$N$4)</f>
        <v/>
      </c>
      <c r="AU19" s="723">
        <f>IF('Final Calculation Sheet'!$N$38="","",'Final Calculation Sheet'!$N$38)</f>
        <v/>
      </c>
      <c r="AW19" s="681">
        <f>IF('Final Calculation Sheet'!$N$37="","",'Final Calculation Sheet'!$N$37)</f>
        <v/>
      </c>
      <c r="AY19" s="725">
        <f>IF('Final Calculation Sheet'!$N$8="","",'Final Calculation Sheet'!$N$8)</f>
        <v/>
      </c>
      <c r="BA19" s="681">
        <f>IF('Final Calculation Sheet'!$N$39="","",'Final Calculation Sheet'!$N$39)</f>
        <v/>
      </c>
      <c r="BB19" s="724">
        <f>IF('Final Calculation Sheet'!$N$40="","",'Final Calculation Sheet'!$N$40)</f>
        <v/>
      </c>
      <c r="BD19" s="681">
        <f>IF('Final Calculation Sheet'!$N$36="","",'Final Calculation Sheet'!$N$36)</f>
        <v/>
      </c>
      <c r="BF19" s="720">
        <f>IF('Final Calculation Sheet'!$N$35="","",'Final Calculation Sheet'!$N$35)</f>
        <v/>
      </c>
      <c r="BG19" s="682">
        <f>IF('Final Calculation Sheet'!$N$41="","",'Final Calculation Sheet'!$N$41)</f>
        <v/>
      </c>
    </row>
    <row r="20" ht="15" customHeight="1">
      <c r="A20" s="675" t="inlineStr">
        <is>
          <t>Net Service Charge (post TDS 194H)</t>
        </is>
      </c>
      <c r="B20" s="714">
        <f>IF('Final Calculation Sheet'!$O$6="","",'Final Calculation Sheet'!$O$6)</f>
        <v/>
      </c>
      <c r="C20" s="679">
        <f>IF('Final Calculation Sheet'!$O$7="","",'Final Calculation Sheet'!$O$7)</f>
        <v/>
      </c>
      <c r="E20" s="715">
        <f>IF('Final Calculation Sheet'!$O$15="","",'Final Calculation Sheet'!$O$15)</f>
        <v/>
      </c>
      <c r="G20" s="679">
        <f>IF('Final Calculation Sheet'!$O$5="","",'Final Calculation Sheet'!$O$5)</f>
        <v/>
      </c>
      <c r="H20" s="716">
        <f>IF('Final Calculation Sheet'!$O$10="","",'Final Calculation Sheet'!$O$10)</f>
        <v/>
      </c>
      <c r="I20" s="679">
        <f>IF('Final Calculation Sheet'!$O$11="","",'Final Calculation Sheet'!$O$11)</f>
        <v/>
      </c>
      <c r="J20" s="716">
        <f>IF('Final Calculation Sheet'!$O$12="","",'Final Calculation Sheet'!$O$12)</f>
        <v/>
      </c>
      <c r="L20" s="679">
        <f>IF('Final Calculation Sheet'!$O$9="","",'Final Calculation Sheet'!$O$9)</f>
        <v/>
      </c>
      <c r="M20" s="717">
        <f>IF('Final Calculation Sheet'!$O$14="","",'Final Calculation Sheet'!$O$14)</f>
        <v/>
      </c>
      <c r="O20" s="679">
        <f>IF('Final Calculation Sheet'!$O$13="","",'Final Calculation Sheet'!$O$13)</f>
        <v/>
      </c>
      <c r="P20" s="718">
        <f>IF('Final Calculation Sheet'!$O$16="","",'Final Calculation Sheet'!$O$16)</f>
        <v/>
      </c>
      <c r="R20" s="679">
        <f>IF('Final Calculation Sheet'!$O$27="","",'Final Calculation Sheet'!$O$27)</f>
        <v/>
      </c>
      <c r="T20" s="716">
        <f>IF('Final Calculation Sheet'!$O$18="","",'Final Calculation Sheet'!$O$18)</f>
        <v/>
      </c>
      <c r="U20" s="679">
        <f>IF('Final Calculation Sheet'!$O$19="","",'Final Calculation Sheet'!$O$19)</f>
        <v/>
      </c>
      <c r="V20" s="716">
        <f>IF('Final Calculation Sheet'!$O$22="","",'Final Calculation Sheet'!$O$22)</f>
        <v/>
      </c>
      <c r="W20" s="679">
        <f>IF('Final Calculation Sheet'!$O$24="","",'Final Calculation Sheet'!$O$24)</f>
        <v/>
      </c>
      <c r="X20" s="716">
        <f>IF('Final Calculation Sheet'!$O$26="","",'Final Calculation Sheet'!$O$26)</f>
        <v/>
      </c>
      <c r="Z20" s="679">
        <f>IF('Final Calculation Sheet'!$O$21="","",'Final Calculation Sheet'!$O$21)</f>
        <v/>
      </c>
      <c r="AB20" s="719">
        <f>IF('Final Calculation Sheet'!$O$20="","",'Final Calculation Sheet'!$O$20)</f>
        <v/>
      </c>
      <c r="AD20" s="679">
        <f>IF('Final Calculation Sheet'!$O$17="","",'Final Calculation Sheet'!$O$17)</f>
        <v/>
      </c>
      <c r="AE20" s="718">
        <f>IF('Final Calculation Sheet'!$O$23="","",'Final Calculation Sheet'!$O$23)</f>
        <v/>
      </c>
      <c r="AF20" s="679">
        <f>IF('Final Calculation Sheet'!$O$29="","",'Final Calculation Sheet'!$O$29)</f>
        <v/>
      </c>
      <c r="AH20" s="714">
        <f>IF('Final Calculation Sheet'!$O$25="","",'Final Calculation Sheet'!$O$25)</f>
        <v/>
      </c>
      <c r="AI20" s="679">
        <f>IF('Final Calculation Sheet'!$O$28="","",'Final Calculation Sheet'!$O$28)</f>
        <v/>
      </c>
      <c r="AK20" s="716">
        <f>IF('Final Calculation Sheet'!$O$30="","",'Final Calculation Sheet'!$O$30)</f>
        <v/>
      </c>
      <c r="AL20" s="679">
        <f>IF('Final Calculation Sheet'!$O$32="","",'Final Calculation Sheet'!$O$32)</f>
        <v/>
      </c>
      <c r="AM20" s="716">
        <f>IF('Final Calculation Sheet'!$O$33="","",'Final Calculation Sheet'!$O$33)</f>
        <v/>
      </c>
      <c r="AO20" s="679">
        <f>IF('Final Calculation Sheet'!$O$31="","",'Final Calculation Sheet'!$O$31)</f>
        <v/>
      </c>
      <c r="AQ20" s="718">
        <f>IF('Final Calculation Sheet'!$O$34="","",'Final Calculation Sheet'!$O$34)</f>
        <v/>
      </c>
      <c r="AS20" s="679">
        <f>IF('Final Calculation Sheet'!$O$4="","",'Final Calculation Sheet'!$O$4)</f>
        <v/>
      </c>
      <c r="AU20" s="717">
        <f>IF('Final Calculation Sheet'!$O$38="","",'Final Calculation Sheet'!$O$38)</f>
        <v/>
      </c>
      <c r="AW20" s="679">
        <f>IF('Final Calculation Sheet'!$O$37="","",'Final Calculation Sheet'!$O$37)</f>
        <v/>
      </c>
      <c r="AY20" s="719">
        <f>IF('Final Calculation Sheet'!$O$8="","",'Final Calculation Sheet'!$O$8)</f>
        <v/>
      </c>
      <c r="BA20" s="679">
        <f>IF('Final Calculation Sheet'!$O$39="","",'Final Calculation Sheet'!$O$39)</f>
        <v/>
      </c>
      <c r="BB20" s="718">
        <f>IF('Final Calculation Sheet'!$O$40="","",'Final Calculation Sheet'!$O$40)</f>
        <v/>
      </c>
      <c r="BD20" s="679">
        <f>IF('Final Calculation Sheet'!$O$36="","",'Final Calculation Sheet'!$O$36)</f>
        <v/>
      </c>
      <c r="BF20" s="714">
        <f>IF('Final Calculation Sheet'!$O$35="","",'Final Calculation Sheet'!$O$35)</f>
        <v/>
      </c>
      <c r="BG20" s="680">
        <f>IF('Final Calculation Sheet'!$O$41="","",'Final Calculation Sheet'!$O$41)</f>
        <v/>
      </c>
    </row>
    <row r="21" ht="15" customHeight="1">
      <c r="A21" s="678" t="inlineStr">
        <is>
          <t>Service charge to MSTC</t>
        </is>
      </c>
      <c r="B21" s="714">
        <f>IF('Final Calculation Sheet'!$P$6="","",'Final Calculation Sheet'!$P$6)</f>
        <v/>
      </c>
      <c r="C21" s="679">
        <f>IF('Final Calculation Sheet'!$P$7="","",'Final Calculation Sheet'!$P$7)</f>
        <v/>
      </c>
      <c r="E21" s="715">
        <f>IF('Final Calculation Sheet'!$P$15="","",'Final Calculation Sheet'!$P$15)</f>
        <v/>
      </c>
      <c r="G21" s="679">
        <f>IF('Final Calculation Sheet'!$P$5="","",'Final Calculation Sheet'!$P$5)</f>
        <v/>
      </c>
      <c r="H21" s="716">
        <f>IF('Final Calculation Sheet'!$P$10="","",'Final Calculation Sheet'!$P$10)</f>
        <v/>
      </c>
      <c r="I21" s="679">
        <f>IF('Final Calculation Sheet'!$P$11="","",'Final Calculation Sheet'!$P$11)</f>
        <v/>
      </c>
      <c r="J21" s="716">
        <f>IF('Final Calculation Sheet'!$P$12="","",'Final Calculation Sheet'!$P$12)</f>
        <v/>
      </c>
      <c r="L21" s="679">
        <f>IF('Final Calculation Sheet'!$P$9="","",'Final Calculation Sheet'!$P$9)</f>
        <v/>
      </c>
      <c r="M21" s="717">
        <f>IF('Final Calculation Sheet'!$P$14="","",'Final Calculation Sheet'!$P$14)</f>
        <v/>
      </c>
      <c r="O21" s="679">
        <f>IF('Final Calculation Sheet'!$P$13="","",'Final Calculation Sheet'!$P$13)</f>
        <v/>
      </c>
      <c r="P21" s="718">
        <f>IF('Final Calculation Sheet'!$P$16="","",'Final Calculation Sheet'!$P$16)</f>
        <v/>
      </c>
      <c r="R21" s="679">
        <f>IF('Final Calculation Sheet'!$P$27="","",'Final Calculation Sheet'!$P$27)</f>
        <v/>
      </c>
      <c r="T21" s="716">
        <f>IF('Final Calculation Sheet'!$P$18="","",'Final Calculation Sheet'!$P$18)</f>
        <v/>
      </c>
      <c r="U21" s="679">
        <f>IF('Final Calculation Sheet'!$P$19="","",'Final Calculation Sheet'!$P$19)</f>
        <v/>
      </c>
      <c r="V21" s="716">
        <f>IF('Final Calculation Sheet'!$P$22="","",'Final Calculation Sheet'!$P$22)</f>
        <v/>
      </c>
      <c r="W21" s="679">
        <f>IF('Final Calculation Sheet'!$P$24="","",'Final Calculation Sheet'!$P$24)</f>
        <v/>
      </c>
      <c r="X21" s="716">
        <f>IF('Final Calculation Sheet'!$P$26="","",'Final Calculation Sheet'!$P$26)</f>
        <v/>
      </c>
      <c r="Z21" s="679">
        <f>IF('Final Calculation Sheet'!$P$21="","",'Final Calculation Sheet'!$P$21)</f>
        <v/>
      </c>
      <c r="AB21" s="719">
        <f>IF('Final Calculation Sheet'!$P$20="","",'Final Calculation Sheet'!$P$20)</f>
        <v/>
      </c>
      <c r="AD21" s="679">
        <f>IF('Final Calculation Sheet'!$P$17="","",'Final Calculation Sheet'!$P$17)</f>
        <v/>
      </c>
      <c r="AE21" s="718">
        <f>IF('Final Calculation Sheet'!$P$23="","",'Final Calculation Sheet'!$P$23)</f>
        <v/>
      </c>
      <c r="AF21" s="679">
        <f>IF('Final Calculation Sheet'!$P$29="","",'Final Calculation Sheet'!$P$29)</f>
        <v/>
      </c>
      <c r="AH21" s="714">
        <f>IF('Final Calculation Sheet'!$P$25="","",'Final Calculation Sheet'!$P$25)</f>
        <v/>
      </c>
      <c r="AI21" s="679">
        <f>IF('Final Calculation Sheet'!$P$28="","",'Final Calculation Sheet'!$P$28)</f>
        <v/>
      </c>
      <c r="AK21" s="716">
        <f>IF('Final Calculation Sheet'!$P$30="","",'Final Calculation Sheet'!$P$30)</f>
        <v/>
      </c>
      <c r="AL21" s="679">
        <f>IF('Final Calculation Sheet'!$P$32="","",'Final Calculation Sheet'!$P$32)</f>
        <v/>
      </c>
      <c r="AM21" s="716">
        <f>IF('Final Calculation Sheet'!$P$33="","",'Final Calculation Sheet'!$P$33)</f>
        <v/>
      </c>
      <c r="AO21" s="679">
        <f>IF('Final Calculation Sheet'!$P$31="","",'Final Calculation Sheet'!$P$31)</f>
        <v/>
      </c>
      <c r="AQ21" s="718">
        <f>IF('Final Calculation Sheet'!$P$34="","",'Final Calculation Sheet'!$P$34)</f>
        <v/>
      </c>
      <c r="AS21" s="679">
        <f>IF('Final Calculation Sheet'!$P$4="","",'Final Calculation Sheet'!$P$4)</f>
        <v/>
      </c>
      <c r="AU21" s="717">
        <f>IF('Final Calculation Sheet'!$P$38="","",'Final Calculation Sheet'!$P$38)</f>
        <v/>
      </c>
      <c r="AW21" s="679">
        <f>IF('Final Calculation Sheet'!$P$37="","",'Final Calculation Sheet'!$P$37)</f>
        <v/>
      </c>
      <c r="AY21" s="719">
        <f>IF('Final Calculation Sheet'!$P$8="","",'Final Calculation Sheet'!$P$8)</f>
        <v/>
      </c>
      <c r="BA21" s="679">
        <f>IF('Final Calculation Sheet'!$P$39="","",'Final Calculation Sheet'!$P$39)</f>
        <v/>
      </c>
      <c r="BB21" s="718">
        <f>IF('Final Calculation Sheet'!$P$40="","",'Final Calculation Sheet'!$P$40)</f>
        <v/>
      </c>
      <c r="BD21" s="679">
        <f>IF('Final Calculation Sheet'!$P$36="","",'Final Calculation Sheet'!$P$36)</f>
        <v/>
      </c>
      <c r="BF21" s="714">
        <f>IF('Final Calculation Sheet'!$P$35="","",'Final Calculation Sheet'!$P$35)</f>
        <v/>
      </c>
      <c r="BG21" s="680">
        <f>IF('Final Calculation Sheet'!$P$41="","",'Final Calculation Sheet'!$P$41)</f>
        <v/>
      </c>
    </row>
    <row r="22" ht="15" customHeight="1">
      <c r="A22" s="675" t="inlineStr">
        <is>
          <t>GST TDS Rate</t>
        </is>
      </c>
      <c r="B22" s="726">
        <f>IF('Final Calculation Sheet'!$Q$6="","",'Final Calculation Sheet'!$Q$6)</f>
        <v/>
      </c>
      <c r="C22" s="683">
        <f>IF('Final Calculation Sheet'!$Q$7="","",'Final Calculation Sheet'!$Q$7)</f>
        <v/>
      </c>
      <c r="E22" s="727">
        <f>IF('Final Calculation Sheet'!$Q$15="","",'Final Calculation Sheet'!$Q$15)</f>
        <v/>
      </c>
      <c r="G22" s="683">
        <f>IF('Final Calculation Sheet'!$Q$5="","",'Final Calculation Sheet'!$Q$5)</f>
        <v/>
      </c>
      <c r="H22" s="728">
        <f>IF('Final Calculation Sheet'!$Q$10="","",'Final Calculation Sheet'!$Q$10)</f>
        <v/>
      </c>
      <c r="I22" s="683">
        <f>IF('Final Calculation Sheet'!$Q$11="","",'Final Calculation Sheet'!$Q$11)</f>
        <v/>
      </c>
      <c r="J22" s="728">
        <f>IF('Final Calculation Sheet'!$Q$12="","",'Final Calculation Sheet'!$Q$12)</f>
        <v/>
      </c>
      <c r="L22" s="683">
        <f>IF('Final Calculation Sheet'!$Q$9="","",'Final Calculation Sheet'!$Q$9)</f>
        <v/>
      </c>
      <c r="M22" s="729">
        <f>IF('Final Calculation Sheet'!$Q$14="","",'Final Calculation Sheet'!$Q$14)</f>
        <v/>
      </c>
      <c r="O22" s="683">
        <f>IF('Final Calculation Sheet'!$Q$13="","",'Final Calculation Sheet'!$Q$13)</f>
        <v/>
      </c>
      <c r="P22" s="730">
        <f>IF('Final Calculation Sheet'!$Q$16="","",'Final Calculation Sheet'!$Q$16)</f>
        <v/>
      </c>
      <c r="R22" s="683">
        <f>IF('Final Calculation Sheet'!$Q$27="","",'Final Calculation Sheet'!$Q$27)</f>
        <v/>
      </c>
      <c r="T22" s="728">
        <f>IF('Final Calculation Sheet'!$Q$18="","",'Final Calculation Sheet'!$Q$18)</f>
        <v/>
      </c>
      <c r="U22" s="683">
        <f>IF('Final Calculation Sheet'!$Q$19="","",'Final Calculation Sheet'!$Q$19)</f>
        <v/>
      </c>
      <c r="V22" s="728">
        <f>IF('Final Calculation Sheet'!$Q$22="","",'Final Calculation Sheet'!$Q$22)</f>
        <v/>
      </c>
      <c r="W22" s="683">
        <f>IF('Final Calculation Sheet'!$Q$24="","",'Final Calculation Sheet'!$Q$24)</f>
        <v/>
      </c>
      <c r="X22" s="728">
        <f>IF('Final Calculation Sheet'!$Q$26="","",'Final Calculation Sheet'!$Q$26)</f>
        <v/>
      </c>
      <c r="Z22" s="683">
        <f>IF('Final Calculation Sheet'!$Q$21="","",'Final Calculation Sheet'!$Q$21)</f>
        <v/>
      </c>
      <c r="AB22" s="731">
        <f>IF('Final Calculation Sheet'!$Q$20="","",'Final Calculation Sheet'!$Q$20)</f>
        <v/>
      </c>
      <c r="AD22" s="683">
        <f>IF('Final Calculation Sheet'!$Q$17="","",'Final Calculation Sheet'!$Q$17)</f>
        <v/>
      </c>
      <c r="AE22" s="730">
        <f>IF('Final Calculation Sheet'!$Q$23="","",'Final Calculation Sheet'!$Q$23)</f>
        <v/>
      </c>
      <c r="AF22" s="683">
        <f>IF('Final Calculation Sheet'!$Q$29="","",'Final Calculation Sheet'!$Q$29)</f>
        <v/>
      </c>
      <c r="AH22" s="726">
        <f>IF('Final Calculation Sheet'!$Q$25="","",'Final Calculation Sheet'!$Q$25)</f>
        <v/>
      </c>
      <c r="AI22" s="683">
        <f>IF('Final Calculation Sheet'!$Q$28="","",'Final Calculation Sheet'!$Q$28)</f>
        <v/>
      </c>
      <c r="AK22" s="728">
        <f>IF('Final Calculation Sheet'!$Q$30="","",'Final Calculation Sheet'!$Q$30)</f>
        <v/>
      </c>
      <c r="AL22" s="683">
        <f>IF('Final Calculation Sheet'!$Q$32="","",'Final Calculation Sheet'!$Q$32)</f>
        <v/>
      </c>
      <c r="AM22" s="728">
        <f>IF('Final Calculation Sheet'!$Q$33="","",'Final Calculation Sheet'!$Q$33)</f>
        <v/>
      </c>
      <c r="AO22" s="683">
        <f>IF('Final Calculation Sheet'!$Q$31="","",'Final Calculation Sheet'!$Q$31)</f>
        <v/>
      </c>
      <c r="AQ22" s="730">
        <f>IF('Final Calculation Sheet'!$Q$34="","",'Final Calculation Sheet'!$Q$34)</f>
        <v/>
      </c>
      <c r="AS22" s="683">
        <f>IF('Final Calculation Sheet'!$Q$4="","",'Final Calculation Sheet'!$Q$4)</f>
        <v/>
      </c>
      <c r="AU22" s="729">
        <f>IF('Final Calculation Sheet'!$Q$38="","",'Final Calculation Sheet'!$Q$38)</f>
        <v/>
      </c>
      <c r="AW22" s="683">
        <f>IF('Final Calculation Sheet'!$Q$37="","",'Final Calculation Sheet'!$Q$37)</f>
        <v/>
      </c>
      <c r="AY22" s="731">
        <f>IF('Final Calculation Sheet'!$Q$8="","",'Final Calculation Sheet'!$Q$8)</f>
        <v/>
      </c>
      <c r="BA22" s="683">
        <f>IF('Final Calculation Sheet'!$Q$39="","",'Final Calculation Sheet'!$Q$39)</f>
        <v/>
      </c>
      <c r="BB22" s="730">
        <f>IF('Final Calculation Sheet'!$Q$40="","",'Final Calculation Sheet'!$Q$40)</f>
        <v/>
      </c>
      <c r="BD22" s="683">
        <f>IF('Final Calculation Sheet'!$Q$36="","",'Final Calculation Sheet'!$Q$36)</f>
        <v/>
      </c>
      <c r="BF22" s="726">
        <f>IF('Final Calculation Sheet'!$Q$35="","",'Final Calculation Sheet'!$Q$35)</f>
        <v/>
      </c>
      <c r="BG22" s="684">
        <f>IF('Final Calculation Sheet'!$Q$41="","",'Final Calculation Sheet'!$Q$41)</f>
        <v/>
      </c>
    </row>
    <row r="23" ht="15" customHeight="1">
      <c r="A23" s="678" t="inlineStr">
        <is>
          <t>GST TDS</t>
        </is>
      </c>
      <c r="B23" s="714">
        <f>IF('Final Calculation Sheet'!$R$6="","",'Final Calculation Sheet'!$R$6)</f>
        <v/>
      </c>
      <c r="C23" s="679">
        <f>IF('Final Calculation Sheet'!$R$7="","",'Final Calculation Sheet'!$R$7)</f>
        <v/>
      </c>
      <c r="E23" s="715">
        <f>IF('Final Calculation Sheet'!$R$15="","",'Final Calculation Sheet'!$R$15)</f>
        <v/>
      </c>
      <c r="G23" s="679">
        <f>IF('Final Calculation Sheet'!$R$5="","",'Final Calculation Sheet'!$R$5)</f>
        <v/>
      </c>
      <c r="H23" s="716">
        <f>IF('Final Calculation Sheet'!$R$10="","",'Final Calculation Sheet'!$R$10)</f>
        <v/>
      </c>
      <c r="I23" s="679">
        <f>IF('Final Calculation Sheet'!$R$11="","",'Final Calculation Sheet'!$R$11)</f>
        <v/>
      </c>
      <c r="J23" s="716">
        <f>IF('Final Calculation Sheet'!$R$12="","",'Final Calculation Sheet'!$R$12)</f>
        <v/>
      </c>
      <c r="L23" s="679">
        <f>IF('Final Calculation Sheet'!$R$9="","",'Final Calculation Sheet'!$R$9)</f>
        <v/>
      </c>
      <c r="M23" s="717">
        <f>IF('Final Calculation Sheet'!$R$14="","",'Final Calculation Sheet'!$R$14)</f>
        <v/>
      </c>
      <c r="O23" s="679">
        <f>IF('Final Calculation Sheet'!$R$13="","",'Final Calculation Sheet'!$R$13)</f>
        <v/>
      </c>
      <c r="P23" s="718">
        <f>IF('Final Calculation Sheet'!$R$16="","",'Final Calculation Sheet'!$R$16)</f>
        <v/>
      </c>
      <c r="R23" s="679">
        <f>IF('Final Calculation Sheet'!$R$27="","",'Final Calculation Sheet'!$R$27)</f>
        <v/>
      </c>
      <c r="T23" s="716">
        <f>IF('Final Calculation Sheet'!$R$18="","",'Final Calculation Sheet'!$R$18)</f>
        <v/>
      </c>
      <c r="U23" s="679">
        <f>IF('Final Calculation Sheet'!$R$19="","",'Final Calculation Sheet'!$R$19)</f>
        <v/>
      </c>
      <c r="V23" s="716">
        <f>IF('Final Calculation Sheet'!$R$22="","",'Final Calculation Sheet'!$R$22)</f>
        <v/>
      </c>
      <c r="W23" s="679">
        <f>IF('Final Calculation Sheet'!$R$24="","",'Final Calculation Sheet'!$R$24)</f>
        <v/>
      </c>
      <c r="X23" s="716">
        <f>IF('Final Calculation Sheet'!$R$26="","",'Final Calculation Sheet'!$R$26)</f>
        <v/>
      </c>
      <c r="Z23" s="679">
        <f>IF('Final Calculation Sheet'!$R$21="","",'Final Calculation Sheet'!$R$21)</f>
        <v/>
      </c>
      <c r="AB23" s="719">
        <f>IF('Final Calculation Sheet'!$R$20="","",'Final Calculation Sheet'!$R$20)</f>
        <v/>
      </c>
      <c r="AD23" s="679">
        <f>IF('Final Calculation Sheet'!$R$17="","",'Final Calculation Sheet'!$R$17)</f>
        <v/>
      </c>
      <c r="AE23" s="718">
        <f>IF('Final Calculation Sheet'!$R$23="","",'Final Calculation Sheet'!$R$23)</f>
        <v/>
      </c>
      <c r="AF23" s="679">
        <f>IF('Final Calculation Sheet'!$R$29="","",'Final Calculation Sheet'!$R$29)</f>
        <v/>
      </c>
      <c r="AH23" s="714">
        <f>IF('Final Calculation Sheet'!$R$25="","",'Final Calculation Sheet'!$R$25)</f>
        <v/>
      </c>
      <c r="AI23" s="679">
        <f>IF('Final Calculation Sheet'!$R$28="","",'Final Calculation Sheet'!$R$28)</f>
        <v/>
      </c>
      <c r="AK23" s="716">
        <f>IF('Final Calculation Sheet'!$R$30="","",'Final Calculation Sheet'!$R$30)</f>
        <v/>
      </c>
      <c r="AL23" s="679">
        <f>IF('Final Calculation Sheet'!$R$32="","",'Final Calculation Sheet'!$R$32)</f>
        <v/>
      </c>
      <c r="AM23" s="716">
        <f>IF('Final Calculation Sheet'!$R$33="","",'Final Calculation Sheet'!$R$33)</f>
        <v/>
      </c>
      <c r="AO23" s="679">
        <f>IF('Final Calculation Sheet'!$R$31="","",'Final Calculation Sheet'!$R$31)</f>
        <v/>
      </c>
      <c r="AQ23" s="718">
        <f>IF('Final Calculation Sheet'!$R$34="","",'Final Calculation Sheet'!$R$34)</f>
        <v/>
      </c>
      <c r="AS23" s="679">
        <f>IF('Final Calculation Sheet'!$R$4="","",'Final Calculation Sheet'!$R$4)</f>
        <v/>
      </c>
      <c r="AU23" s="717">
        <f>IF('Final Calculation Sheet'!$R$38="","",'Final Calculation Sheet'!$R$38)</f>
        <v/>
      </c>
      <c r="AW23" s="679">
        <f>IF('Final Calculation Sheet'!$R$37="","",'Final Calculation Sheet'!$R$37)</f>
        <v/>
      </c>
      <c r="AY23" s="719">
        <f>IF('Final Calculation Sheet'!$R$8="","",'Final Calculation Sheet'!$R$8)</f>
        <v/>
      </c>
      <c r="BA23" s="679">
        <f>IF('Final Calculation Sheet'!$R$39="","",'Final Calculation Sheet'!$R$39)</f>
        <v/>
      </c>
      <c r="BB23" s="718">
        <f>IF('Final Calculation Sheet'!$R$40="","",'Final Calculation Sheet'!$R$40)</f>
        <v/>
      </c>
      <c r="BD23" s="679">
        <f>IF('Final Calculation Sheet'!$R$36="","",'Final Calculation Sheet'!$R$36)</f>
        <v/>
      </c>
      <c r="BF23" s="714">
        <f>IF('Final Calculation Sheet'!$R$35="","",'Final Calculation Sheet'!$R$35)</f>
        <v/>
      </c>
      <c r="BG23" s="680">
        <f>IF('Final Calculation Sheet'!$R$41="","",'Final Calculation Sheet'!$R$41)</f>
        <v/>
      </c>
    </row>
    <row r="24" ht="15" customHeight="1">
      <c r="A24" s="675" t="inlineStr">
        <is>
          <t>Total Receivables in Cash</t>
        </is>
      </c>
      <c r="B24" s="714">
        <f>IF('Final Calculation Sheet'!$S$6="","",'Final Calculation Sheet'!$S$6)</f>
        <v/>
      </c>
      <c r="C24" s="679">
        <f>IF('Final Calculation Sheet'!$S$7="","",'Final Calculation Sheet'!$S$7)</f>
        <v/>
      </c>
      <c r="E24" s="715">
        <f>IF('Final Calculation Sheet'!$S$15="","",'Final Calculation Sheet'!$S$15)</f>
        <v/>
      </c>
      <c r="G24" s="679">
        <f>IF('Final Calculation Sheet'!$S$5="","",'Final Calculation Sheet'!$S$5)</f>
        <v/>
      </c>
      <c r="H24" s="716">
        <f>IF('Final Calculation Sheet'!$S$10="","",'Final Calculation Sheet'!$S$10)</f>
        <v/>
      </c>
      <c r="I24" s="679">
        <f>IF('Final Calculation Sheet'!$S$11="","",'Final Calculation Sheet'!$S$11)</f>
        <v/>
      </c>
      <c r="J24" s="716">
        <f>IF('Final Calculation Sheet'!$S$12="","",'Final Calculation Sheet'!$S$12)</f>
        <v/>
      </c>
      <c r="L24" s="679">
        <f>IF('Final Calculation Sheet'!$S$9="","",'Final Calculation Sheet'!$S$9)</f>
        <v/>
      </c>
      <c r="M24" s="717">
        <f>IF('Final Calculation Sheet'!$S$14="","",'Final Calculation Sheet'!$S$14)</f>
        <v/>
      </c>
      <c r="O24" s="679">
        <f>IF('Final Calculation Sheet'!$S$13="","",'Final Calculation Sheet'!$S$13)</f>
        <v/>
      </c>
      <c r="P24" s="718">
        <f>IF('Final Calculation Sheet'!$S$16="","",'Final Calculation Sheet'!$S$16)</f>
        <v/>
      </c>
      <c r="R24" s="679">
        <f>IF('Final Calculation Sheet'!$S$27="","",'Final Calculation Sheet'!$S$27)</f>
        <v/>
      </c>
      <c r="T24" s="716">
        <f>IF('Final Calculation Sheet'!$S$18="","",'Final Calculation Sheet'!$S$18)</f>
        <v/>
      </c>
      <c r="U24" s="679">
        <f>IF('Final Calculation Sheet'!$S$19="","",'Final Calculation Sheet'!$S$19)</f>
        <v/>
      </c>
      <c r="V24" s="716">
        <f>IF('Final Calculation Sheet'!$S$22="","",'Final Calculation Sheet'!$S$22)</f>
        <v/>
      </c>
      <c r="W24" s="679">
        <f>IF('Final Calculation Sheet'!$S$24="","",'Final Calculation Sheet'!$S$24)</f>
        <v/>
      </c>
      <c r="X24" s="716">
        <f>IF('Final Calculation Sheet'!$S$26="","",'Final Calculation Sheet'!$S$26)</f>
        <v/>
      </c>
      <c r="Z24" s="679">
        <f>IF('Final Calculation Sheet'!$S$21="","",'Final Calculation Sheet'!$S$21)</f>
        <v/>
      </c>
      <c r="AB24" s="719">
        <f>IF('Final Calculation Sheet'!$S$20="","",'Final Calculation Sheet'!$S$20)</f>
        <v/>
      </c>
      <c r="AD24" s="679">
        <f>IF('Final Calculation Sheet'!$S$17="","",'Final Calculation Sheet'!$S$17)</f>
        <v/>
      </c>
      <c r="AE24" s="718">
        <f>IF('Final Calculation Sheet'!$S$23="","",'Final Calculation Sheet'!$S$23)</f>
        <v/>
      </c>
      <c r="AF24" s="679">
        <f>IF('Final Calculation Sheet'!$S$29="","",'Final Calculation Sheet'!$S$29)</f>
        <v/>
      </c>
      <c r="AH24" s="714">
        <f>IF('Final Calculation Sheet'!$S$25="","",'Final Calculation Sheet'!$S$25)</f>
        <v/>
      </c>
      <c r="AI24" s="679">
        <f>IF('Final Calculation Sheet'!$S$28="","",'Final Calculation Sheet'!$S$28)</f>
        <v/>
      </c>
      <c r="AK24" s="716">
        <f>IF('Final Calculation Sheet'!$S$30="","",'Final Calculation Sheet'!$S$30)</f>
        <v/>
      </c>
      <c r="AL24" s="679">
        <f>IF('Final Calculation Sheet'!$S$32="","",'Final Calculation Sheet'!$S$32)</f>
        <v/>
      </c>
      <c r="AM24" s="716">
        <f>IF('Final Calculation Sheet'!$S$33="","",'Final Calculation Sheet'!$S$33)</f>
        <v/>
      </c>
      <c r="AO24" s="679">
        <f>IF('Final Calculation Sheet'!$S$31="","",'Final Calculation Sheet'!$S$31)</f>
        <v/>
      </c>
      <c r="AQ24" s="718">
        <f>IF('Final Calculation Sheet'!$S$34="","",'Final Calculation Sheet'!$S$34)</f>
        <v/>
      </c>
      <c r="AS24" s="679">
        <f>IF('Final Calculation Sheet'!$S$4="","",'Final Calculation Sheet'!$S$4)</f>
        <v/>
      </c>
      <c r="AU24" s="717">
        <f>IF('Final Calculation Sheet'!$S$38="","",'Final Calculation Sheet'!$S$38)</f>
        <v/>
      </c>
      <c r="AW24" s="679">
        <f>IF('Final Calculation Sheet'!$S$37="","",'Final Calculation Sheet'!$S$37)</f>
        <v/>
      </c>
      <c r="AY24" s="719">
        <f>IF('Final Calculation Sheet'!$S$8="","",'Final Calculation Sheet'!$S$8)</f>
        <v/>
      </c>
      <c r="BA24" s="679">
        <f>IF('Final Calculation Sheet'!$S$39="","",'Final Calculation Sheet'!$S$39)</f>
        <v/>
      </c>
      <c r="BB24" s="718">
        <f>IF('Final Calculation Sheet'!$S$40="","",'Final Calculation Sheet'!$S$40)</f>
        <v/>
      </c>
      <c r="BD24" s="679">
        <f>IF('Final Calculation Sheet'!$S$36="","",'Final Calculation Sheet'!$S$36)</f>
        <v/>
      </c>
      <c r="BF24" s="714">
        <f>IF('Final Calculation Sheet'!$S$35="","",'Final Calculation Sheet'!$S$35)</f>
        <v/>
      </c>
      <c r="BG24" s="680">
        <f>IF('Final Calculation Sheet'!$S$41="","",'Final Calculation Sheet'!$S$41)</f>
        <v/>
      </c>
    </row>
    <row r="25" ht="15" customHeight="1">
      <c r="A25" s="678" t="inlineStr">
        <is>
          <t>Security Deposit (Expected)</t>
        </is>
      </c>
      <c r="B25" s="714">
        <f>IF('Final Calculation Sheet'!$T$6="","",'Final Calculation Sheet'!$T$6)</f>
        <v/>
      </c>
      <c r="C25" s="679">
        <f>IF('Final Calculation Sheet'!$T$7="","",'Final Calculation Sheet'!$T$7)</f>
        <v/>
      </c>
      <c r="E25" s="715">
        <f>IF('Final Calculation Sheet'!$T$15="","",'Final Calculation Sheet'!$T$15)</f>
        <v/>
      </c>
      <c r="G25" s="679">
        <f>IF('Final Calculation Sheet'!$T$5="","",'Final Calculation Sheet'!$T$5)</f>
        <v/>
      </c>
      <c r="H25" s="716">
        <f>IF('Final Calculation Sheet'!$T$10="","",'Final Calculation Sheet'!$T$10)</f>
        <v/>
      </c>
      <c r="I25" s="679">
        <f>IF('Final Calculation Sheet'!$T$11="","",'Final Calculation Sheet'!$T$11)</f>
        <v/>
      </c>
      <c r="J25" s="716">
        <f>IF('Final Calculation Sheet'!$T$12="","",'Final Calculation Sheet'!$T$12)</f>
        <v/>
      </c>
      <c r="L25" s="679">
        <f>IF('Final Calculation Sheet'!$T$9="","",'Final Calculation Sheet'!$T$9)</f>
        <v/>
      </c>
      <c r="M25" s="717">
        <f>IF('Final Calculation Sheet'!$T$14="","",'Final Calculation Sheet'!$T$14)</f>
        <v/>
      </c>
      <c r="O25" s="679">
        <f>IF('Final Calculation Sheet'!$T$13="","",'Final Calculation Sheet'!$T$13)</f>
        <v/>
      </c>
      <c r="P25" s="718">
        <f>IF('Final Calculation Sheet'!$T$16="","",'Final Calculation Sheet'!$T$16)</f>
        <v/>
      </c>
      <c r="R25" s="679">
        <f>IF('Final Calculation Sheet'!$T$27="","",'Final Calculation Sheet'!$T$27)</f>
        <v/>
      </c>
      <c r="T25" s="716">
        <f>IF('Final Calculation Sheet'!$T$18="","",'Final Calculation Sheet'!$T$18)</f>
        <v/>
      </c>
      <c r="U25" s="679">
        <f>IF('Final Calculation Sheet'!$T$19="","",'Final Calculation Sheet'!$T$19)</f>
        <v/>
      </c>
      <c r="V25" s="716">
        <f>IF('Final Calculation Sheet'!$T$22="","",'Final Calculation Sheet'!$T$22)</f>
        <v/>
      </c>
      <c r="W25" s="679">
        <f>IF('Final Calculation Sheet'!$T$24="","",'Final Calculation Sheet'!$T$24)</f>
        <v/>
      </c>
      <c r="X25" s="716">
        <f>IF('Final Calculation Sheet'!$T$26="","",'Final Calculation Sheet'!$T$26)</f>
        <v/>
      </c>
      <c r="Z25" s="679">
        <f>IF('Final Calculation Sheet'!$T$21="","",'Final Calculation Sheet'!$T$21)</f>
        <v/>
      </c>
      <c r="AB25" s="719">
        <f>IF('Final Calculation Sheet'!$T$20="","",'Final Calculation Sheet'!$T$20)</f>
        <v/>
      </c>
      <c r="AD25" s="679">
        <f>IF('Final Calculation Sheet'!$T$17="","",'Final Calculation Sheet'!$T$17)</f>
        <v/>
      </c>
      <c r="AE25" s="718">
        <f>IF('Final Calculation Sheet'!$T$23="","",'Final Calculation Sheet'!$T$23)</f>
        <v/>
      </c>
      <c r="AF25" s="679">
        <f>IF('Final Calculation Sheet'!$T$29="","",'Final Calculation Sheet'!$T$29)</f>
        <v/>
      </c>
      <c r="AH25" s="714">
        <f>IF('Final Calculation Sheet'!$T$25="","",'Final Calculation Sheet'!$T$25)</f>
        <v/>
      </c>
      <c r="AI25" s="679">
        <f>IF('Final Calculation Sheet'!$T$28="","",'Final Calculation Sheet'!$T$28)</f>
        <v/>
      </c>
      <c r="AK25" s="716">
        <f>IF('Final Calculation Sheet'!$T$30="","",'Final Calculation Sheet'!$T$30)</f>
        <v/>
      </c>
      <c r="AL25" s="679">
        <f>IF('Final Calculation Sheet'!$T$32="","",'Final Calculation Sheet'!$T$32)</f>
        <v/>
      </c>
      <c r="AM25" s="716">
        <f>IF('Final Calculation Sheet'!$T$33="","",'Final Calculation Sheet'!$T$33)</f>
        <v/>
      </c>
      <c r="AO25" s="679">
        <f>IF('Final Calculation Sheet'!$T$31="","",'Final Calculation Sheet'!$T$31)</f>
        <v/>
      </c>
      <c r="AQ25" s="718">
        <f>IF('Final Calculation Sheet'!$T$34="","",'Final Calculation Sheet'!$T$34)</f>
        <v/>
      </c>
      <c r="AS25" s="679">
        <f>IF('Final Calculation Sheet'!$T$4="","",'Final Calculation Sheet'!$T$4)</f>
        <v/>
      </c>
      <c r="AU25" s="717">
        <f>IF('Final Calculation Sheet'!$T$38="","",'Final Calculation Sheet'!$T$38)</f>
        <v/>
      </c>
      <c r="AW25" s="679">
        <f>IF('Final Calculation Sheet'!$T$37="","",'Final Calculation Sheet'!$T$37)</f>
        <v/>
      </c>
      <c r="AY25" s="719">
        <f>IF('Final Calculation Sheet'!$T$8="","",'Final Calculation Sheet'!$T$8)</f>
        <v/>
      </c>
      <c r="BA25" s="679">
        <f>IF('Final Calculation Sheet'!$T$39="","",'Final Calculation Sheet'!$T$39)</f>
        <v/>
      </c>
      <c r="BB25" s="718">
        <f>IF('Final Calculation Sheet'!$T$40="","",'Final Calculation Sheet'!$T$40)</f>
        <v/>
      </c>
      <c r="BD25" s="679">
        <f>IF('Final Calculation Sheet'!$T$36="","",'Final Calculation Sheet'!$T$36)</f>
        <v/>
      </c>
      <c r="BF25" s="714">
        <f>IF('Final Calculation Sheet'!$T$35="","",'Final Calculation Sheet'!$T$35)</f>
        <v/>
      </c>
      <c r="BG25" s="680">
        <f>IF('Final Calculation Sheet'!$T$41="","",'Final Calculation Sheet'!$T$41)</f>
        <v/>
      </c>
    </row>
    <row r="26" ht="15" customHeight="1">
      <c r="A26" s="675" t="inlineStr">
        <is>
          <t>Security Deposit (Received)</t>
        </is>
      </c>
      <c r="B26" s="732">
        <f>IF('Final Calculation Sheet'!$U$6="","",'Final Calculation Sheet'!$U$6)</f>
        <v/>
      </c>
      <c r="C26" s="685">
        <f>IF('Final Calculation Sheet'!$U$7="","",'Final Calculation Sheet'!$U$7)</f>
        <v/>
      </c>
      <c r="E26" s="733">
        <f>IF('Final Calculation Sheet'!$U$15="","",'Final Calculation Sheet'!$U$15)</f>
        <v/>
      </c>
      <c r="G26" s="685">
        <f>IF('Final Calculation Sheet'!$U$5="","",'Final Calculation Sheet'!$U$5)</f>
        <v/>
      </c>
      <c r="H26" s="734">
        <f>IF('Final Calculation Sheet'!$U$10="","",'Final Calculation Sheet'!$U$10)</f>
        <v/>
      </c>
      <c r="I26" s="685">
        <f>IF('Final Calculation Sheet'!$U$11="","",'Final Calculation Sheet'!$U$11)</f>
        <v/>
      </c>
      <c r="J26" s="734">
        <f>IF('Final Calculation Sheet'!$U$12="","",'Final Calculation Sheet'!$U$12)</f>
        <v/>
      </c>
      <c r="L26" s="685">
        <f>IF('Final Calculation Sheet'!$U$9="","",'Final Calculation Sheet'!$U$9)</f>
        <v/>
      </c>
      <c r="M26" s="735">
        <f>IF('Final Calculation Sheet'!$U$14="","",'Final Calculation Sheet'!$U$14)</f>
        <v/>
      </c>
      <c r="O26" s="685">
        <f>IF('Final Calculation Sheet'!$U$13="","",'Final Calculation Sheet'!$U$13)</f>
        <v/>
      </c>
      <c r="P26" s="736">
        <f>IF('Final Calculation Sheet'!$U$16="","",'Final Calculation Sheet'!$U$16)</f>
        <v/>
      </c>
      <c r="R26" s="685">
        <f>IF('Final Calculation Sheet'!$U$27="","",'Final Calculation Sheet'!$U$27)</f>
        <v/>
      </c>
      <c r="T26" s="734">
        <f>IF('Final Calculation Sheet'!$U$18="","",'Final Calculation Sheet'!$U$18)</f>
        <v/>
      </c>
      <c r="U26" s="685">
        <f>IF('Final Calculation Sheet'!$U$19="","",'Final Calculation Sheet'!$U$19)</f>
        <v/>
      </c>
      <c r="V26" s="734">
        <f>IF('Final Calculation Sheet'!$U$22="","",'Final Calculation Sheet'!$U$22)</f>
        <v/>
      </c>
      <c r="W26" s="685">
        <f>IF('Final Calculation Sheet'!$U$24="","",'Final Calculation Sheet'!$U$24)</f>
        <v/>
      </c>
      <c r="X26" s="734">
        <f>IF('Final Calculation Sheet'!$U$26="","",'Final Calculation Sheet'!$U$26)</f>
        <v/>
      </c>
      <c r="Z26" s="685">
        <f>IF('Final Calculation Sheet'!$U$21="","",'Final Calculation Sheet'!$U$21)</f>
        <v/>
      </c>
      <c r="AB26" s="737">
        <f>IF('Final Calculation Sheet'!$U$20="","",'Final Calculation Sheet'!$U$20)</f>
        <v/>
      </c>
      <c r="AD26" s="685">
        <f>IF('Final Calculation Sheet'!$U$17="","",'Final Calculation Sheet'!$U$17)</f>
        <v/>
      </c>
      <c r="AE26" s="736">
        <f>IF('Final Calculation Sheet'!$U$23="","",'Final Calculation Sheet'!$U$23)</f>
        <v/>
      </c>
      <c r="AF26" s="685">
        <f>IF('Final Calculation Sheet'!$U$29="","",'Final Calculation Sheet'!$U$29)</f>
        <v/>
      </c>
      <c r="AH26" s="732">
        <f>IF('Final Calculation Sheet'!$U$25="","",'Final Calculation Sheet'!$U$25)</f>
        <v/>
      </c>
      <c r="AI26" s="685">
        <f>IF('Final Calculation Sheet'!$U$28="","",'Final Calculation Sheet'!$U$28)</f>
        <v/>
      </c>
      <c r="AK26" s="734">
        <f>IF('Final Calculation Sheet'!$U$30="","",'Final Calculation Sheet'!$U$30)</f>
        <v/>
      </c>
      <c r="AL26" s="685">
        <f>IF('Final Calculation Sheet'!$U$32="","",'Final Calculation Sheet'!$U$32)</f>
        <v/>
      </c>
      <c r="AM26" s="734">
        <f>IF('Final Calculation Sheet'!$U$33="","",'Final Calculation Sheet'!$U$33)</f>
        <v/>
      </c>
      <c r="AO26" s="685">
        <f>IF('Final Calculation Sheet'!$U$31="","",'Final Calculation Sheet'!$U$31)</f>
        <v/>
      </c>
      <c r="AQ26" s="736">
        <f>IF('Final Calculation Sheet'!$U$34="","",'Final Calculation Sheet'!$U$34)</f>
        <v/>
      </c>
      <c r="AS26" s="685">
        <f>IF('Final Calculation Sheet'!$U$4="","",'Final Calculation Sheet'!$U$4)</f>
        <v/>
      </c>
      <c r="AU26" s="735">
        <f>IF('Final Calculation Sheet'!$U$38="","",'Final Calculation Sheet'!$U$38)</f>
        <v/>
      </c>
      <c r="AW26" s="685">
        <f>IF('Final Calculation Sheet'!$U$37="","",'Final Calculation Sheet'!$U$37)</f>
        <v/>
      </c>
      <c r="AY26" s="737">
        <f>IF('Final Calculation Sheet'!$U$8="","",'Final Calculation Sheet'!$U$8)</f>
        <v/>
      </c>
      <c r="BA26" s="685">
        <f>IF('Final Calculation Sheet'!$U$39="","",'Final Calculation Sheet'!$U$39)</f>
        <v/>
      </c>
      <c r="BB26" s="736">
        <f>IF('Final Calculation Sheet'!$U$40="","",'Final Calculation Sheet'!$U$40)</f>
        <v/>
      </c>
      <c r="BD26" s="685">
        <f>IF('Final Calculation Sheet'!$U$36="","",'Final Calculation Sheet'!$U$36)</f>
        <v/>
      </c>
      <c r="BF26" s="732">
        <f>IF('Final Calculation Sheet'!$U$35="","",'Final Calculation Sheet'!$U$35)</f>
        <v/>
      </c>
      <c r="BG26" s="686">
        <f>IF('Final Calculation Sheet'!$U$41="","",'Final Calculation Sheet'!$U$41)</f>
        <v/>
      </c>
    </row>
    <row r="27" ht="15" customHeight="1">
      <c r="A27" s="678" t="inlineStr">
        <is>
          <t>Date of Receipt (col V)</t>
        </is>
      </c>
      <c r="B27" s="714">
        <f>IF('Final Calculation Sheet'!$V$6="","",'Final Calculation Sheet'!$V$6)</f>
        <v/>
      </c>
      <c r="C27" s="679">
        <f>IF('Final Calculation Sheet'!$V$7="","",'Final Calculation Sheet'!$V$7)</f>
        <v/>
      </c>
      <c r="E27" s="715">
        <f>IF('Final Calculation Sheet'!$V$15="","",'Final Calculation Sheet'!$V$15)</f>
        <v/>
      </c>
      <c r="G27" s="679">
        <f>IF('Final Calculation Sheet'!$V$5="","",'Final Calculation Sheet'!$V$5)</f>
        <v/>
      </c>
      <c r="H27" s="716">
        <f>IF('Final Calculation Sheet'!$V$10="","",'Final Calculation Sheet'!$V$10)</f>
        <v/>
      </c>
      <c r="I27" s="679">
        <f>IF('Final Calculation Sheet'!$V$11="","",'Final Calculation Sheet'!$V$11)</f>
        <v/>
      </c>
      <c r="J27" s="716">
        <f>IF('Final Calculation Sheet'!$V$12="","",'Final Calculation Sheet'!$V$12)</f>
        <v/>
      </c>
      <c r="L27" s="679">
        <f>IF('Final Calculation Sheet'!$V$9="","",'Final Calculation Sheet'!$V$9)</f>
        <v/>
      </c>
      <c r="M27" s="717">
        <f>IF('Final Calculation Sheet'!$V$14="","",'Final Calculation Sheet'!$V$14)</f>
        <v/>
      </c>
      <c r="O27" s="679">
        <f>IF('Final Calculation Sheet'!$V$13="","",'Final Calculation Sheet'!$V$13)</f>
        <v/>
      </c>
      <c r="P27" s="718">
        <f>IF('Final Calculation Sheet'!$V$16="","",'Final Calculation Sheet'!$V$16)</f>
        <v/>
      </c>
      <c r="R27" s="679">
        <f>IF('Final Calculation Sheet'!$V$27="","",'Final Calculation Sheet'!$V$27)</f>
        <v/>
      </c>
      <c r="T27" s="716">
        <f>IF('Final Calculation Sheet'!$V$18="","",'Final Calculation Sheet'!$V$18)</f>
        <v/>
      </c>
      <c r="U27" s="679">
        <f>IF('Final Calculation Sheet'!$V$19="","",'Final Calculation Sheet'!$V$19)</f>
        <v/>
      </c>
      <c r="V27" s="716">
        <f>IF('Final Calculation Sheet'!$V$22="","",'Final Calculation Sheet'!$V$22)</f>
        <v/>
      </c>
      <c r="W27" s="679">
        <f>IF('Final Calculation Sheet'!$V$24="","",'Final Calculation Sheet'!$V$24)</f>
        <v/>
      </c>
      <c r="X27" s="716">
        <f>IF('Final Calculation Sheet'!$V$26="","",'Final Calculation Sheet'!$V$26)</f>
        <v/>
      </c>
      <c r="Z27" s="679">
        <f>IF('Final Calculation Sheet'!$V$21="","",'Final Calculation Sheet'!$V$21)</f>
        <v/>
      </c>
      <c r="AB27" s="719">
        <f>IF('Final Calculation Sheet'!$V$20="","",'Final Calculation Sheet'!$V$20)</f>
        <v/>
      </c>
      <c r="AD27" s="679">
        <f>IF('Final Calculation Sheet'!$V$17="","",'Final Calculation Sheet'!$V$17)</f>
        <v/>
      </c>
      <c r="AE27" s="718">
        <f>IF('Final Calculation Sheet'!$V$23="","",'Final Calculation Sheet'!$V$23)</f>
        <v/>
      </c>
      <c r="AF27" s="679">
        <f>IF('Final Calculation Sheet'!$V$29="","",'Final Calculation Sheet'!$V$29)</f>
        <v/>
      </c>
      <c r="AH27" s="714">
        <f>IF('Final Calculation Sheet'!$V$25="","",'Final Calculation Sheet'!$V$25)</f>
        <v/>
      </c>
      <c r="AI27" s="679">
        <f>IF('Final Calculation Sheet'!$V$28="","",'Final Calculation Sheet'!$V$28)</f>
        <v/>
      </c>
      <c r="AK27" s="716">
        <f>IF('Final Calculation Sheet'!$V$30="","",'Final Calculation Sheet'!$V$30)</f>
        <v/>
      </c>
      <c r="AL27" s="679">
        <f>IF('Final Calculation Sheet'!$V$32="","",'Final Calculation Sheet'!$V$32)</f>
        <v/>
      </c>
      <c r="AM27" s="716">
        <f>IF('Final Calculation Sheet'!$V$33="","",'Final Calculation Sheet'!$V$33)</f>
        <v/>
      </c>
      <c r="AO27" s="679">
        <f>IF('Final Calculation Sheet'!$V$31="","",'Final Calculation Sheet'!$V$31)</f>
        <v/>
      </c>
      <c r="AQ27" s="718">
        <f>IF('Final Calculation Sheet'!$V$34="","",'Final Calculation Sheet'!$V$34)</f>
        <v/>
      </c>
      <c r="AS27" s="679">
        <f>IF('Final Calculation Sheet'!$V$4="","",'Final Calculation Sheet'!$V$4)</f>
        <v/>
      </c>
      <c r="AU27" s="717">
        <f>IF('Final Calculation Sheet'!$V$38="","",'Final Calculation Sheet'!$V$38)</f>
        <v/>
      </c>
      <c r="AW27" s="679">
        <f>IF('Final Calculation Sheet'!$V$37="","",'Final Calculation Sheet'!$V$37)</f>
        <v/>
      </c>
      <c r="AY27" s="719">
        <f>IF('Final Calculation Sheet'!$V$8="","",'Final Calculation Sheet'!$V$8)</f>
        <v/>
      </c>
      <c r="BA27" s="679">
        <f>IF('Final Calculation Sheet'!$V$39="","",'Final Calculation Sheet'!$V$39)</f>
        <v/>
      </c>
      <c r="BB27" s="718">
        <f>IF('Final Calculation Sheet'!$V$40="","",'Final Calculation Sheet'!$V$40)</f>
        <v/>
      </c>
      <c r="BD27" s="679">
        <f>IF('Final Calculation Sheet'!$V$36="","",'Final Calculation Sheet'!$V$36)</f>
        <v/>
      </c>
      <c r="BF27" s="714">
        <f>IF('Final Calculation Sheet'!$V$35="","",'Final Calculation Sheet'!$V$35)</f>
        <v/>
      </c>
      <c r="BG27" s="680">
        <f>IF('Final Calculation Sheet'!$V$41="","",'Final Calculation Sheet'!$V$41)</f>
        <v/>
      </c>
    </row>
    <row r="28" ht="15" customHeight="1">
      <c r="A28" s="675" t="inlineStr">
        <is>
          <t>Final Payment (Expected)</t>
        </is>
      </c>
      <c r="B28" s="714">
        <f>IF('Final Calculation Sheet'!$W$6="","",'Final Calculation Sheet'!$W$6)</f>
        <v/>
      </c>
      <c r="C28" s="679">
        <f>IF('Final Calculation Sheet'!$W$7="","",'Final Calculation Sheet'!$W$7)</f>
        <v/>
      </c>
      <c r="E28" s="715">
        <f>IF('Final Calculation Sheet'!$W$15="","",'Final Calculation Sheet'!$W$15)</f>
        <v/>
      </c>
      <c r="G28" s="679">
        <f>IF('Final Calculation Sheet'!$W$5="","",'Final Calculation Sheet'!$W$5)</f>
        <v/>
      </c>
      <c r="H28" s="716">
        <f>IF('Final Calculation Sheet'!$W$10="","",'Final Calculation Sheet'!$W$10)</f>
        <v/>
      </c>
      <c r="I28" s="679">
        <f>IF('Final Calculation Sheet'!$W$11="","",'Final Calculation Sheet'!$W$11)</f>
        <v/>
      </c>
      <c r="J28" s="716">
        <f>IF('Final Calculation Sheet'!$W$12="","",'Final Calculation Sheet'!$W$12)</f>
        <v/>
      </c>
      <c r="L28" s="679">
        <f>IF('Final Calculation Sheet'!$W$9="","",'Final Calculation Sheet'!$W$9)</f>
        <v/>
      </c>
      <c r="M28" s="717">
        <f>IF('Final Calculation Sheet'!$W$14="","",'Final Calculation Sheet'!$W$14)</f>
        <v/>
      </c>
      <c r="O28" s="679">
        <f>IF('Final Calculation Sheet'!$W$13="","",'Final Calculation Sheet'!$W$13)</f>
        <v/>
      </c>
      <c r="P28" s="718">
        <f>IF('Final Calculation Sheet'!$W$16="","",'Final Calculation Sheet'!$W$16)</f>
        <v/>
      </c>
      <c r="R28" s="679">
        <f>IF('Final Calculation Sheet'!$W$27="","",'Final Calculation Sheet'!$W$27)</f>
        <v/>
      </c>
      <c r="T28" s="716">
        <f>IF('Final Calculation Sheet'!$W$18="","",'Final Calculation Sheet'!$W$18)</f>
        <v/>
      </c>
      <c r="U28" s="679">
        <f>IF('Final Calculation Sheet'!$W$19="","",'Final Calculation Sheet'!$W$19)</f>
        <v/>
      </c>
      <c r="V28" s="716">
        <f>IF('Final Calculation Sheet'!$W$22="","",'Final Calculation Sheet'!$W$22)</f>
        <v/>
      </c>
      <c r="W28" s="679">
        <f>IF('Final Calculation Sheet'!$W$24="","",'Final Calculation Sheet'!$W$24)</f>
        <v/>
      </c>
      <c r="X28" s="716">
        <f>IF('Final Calculation Sheet'!$W$26="","",'Final Calculation Sheet'!$W$26)</f>
        <v/>
      </c>
      <c r="Z28" s="679">
        <f>IF('Final Calculation Sheet'!$W$21="","",'Final Calculation Sheet'!$W$21)</f>
        <v/>
      </c>
      <c r="AB28" s="719">
        <f>IF('Final Calculation Sheet'!$W$20="","",'Final Calculation Sheet'!$W$20)</f>
        <v/>
      </c>
      <c r="AD28" s="679">
        <f>IF('Final Calculation Sheet'!$W$17="","",'Final Calculation Sheet'!$W$17)</f>
        <v/>
      </c>
      <c r="AE28" s="718">
        <f>IF('Final Calculation Sheet'!$W$23="","",'Final Calculation Sheet'!$W$23)</f>
        <v/>
      </c>
      <c r="AF28" s="679">
        <f>IF('Final Calculation Sheet'!$W$29="","",'Final Calculation Sheet'!$W$29)</f>
        <v/>
      </c>
      <c r="AH28" s="714">
        <f>IF('Final Calculation Sheet'!$W$25="","",'Final Calculation Sheet'!$W$25)</f>
        <v/>
      </c>
      <c r="AI28" s="679">
        <f>IF('Final Calculation Sheet'!$W$28="","",'Final Calculation Sheet'!$W$28)</f>
        <v/>
      </c>
      <c r="AK28" s="716">
        <f>IF('Final Calculation Sheet'!$W$30="","",'Final Calculation Sheet'!$W$30)</f>
        <v/>
      </c>
      <c r="AL28" s="679">
        <f>IF('Final Calculation Sheet'!$W$32="","",'Final Calculation Sheet'!$W$32)</f>
        <v/>
      </c>
      <c r="AM28" s="716">
        <f>IF('Final Calculation Sheet'!$W$33="","",'Final Calculation Sheet'!$W$33)</f>
        <v/>
      </c>
      <c r="AO28" s="679">
        <f>IF('Final Calculation Sheet'!$W$31="","",'Final Calculation Sheet'!$W$31)</f>
        <v/>
      </c>
      <c r="AQ28" s="718">
        <f>IF('Final Calculation Sheet'!$W$34="","",'Final Calculation Sheet'!$W$34)</f>
        <v/>
      </c>
      <c r="AS28" s="679">
        <f>IF('Final Calculation Sheet'!$W$4="","",'Final Calculation Sheet'!$W$4)</f>
        <v/>
      </c>
      <c r="AU28" s="717">
        <f>IF('Final Calculation Sheet'!$W$38="","",'Final Calculation Sheet'!$W$38)</f>
        <v/>
      </c>
      <c r="AW28" s="679">
        <f>IF('Final Calculation Sheet'!$W$37="","",'Final Calculation Sheet'!$W$37)</f>
        <v/>
      </c>
      <c r="AY28" s="719">
        <f>IF('Final Calculation Sheet'!$W$8="","",'Final Calculation Sheet'!$W$8)</f>
        <v/>
      </c>
      <c r="BA28" s="679">
        <f>IF('Final Calculation Sheet'!$W$39="","",'Final Calculation Sheet'!$W$39)</f>
        <v/>
      </c>
      <c r="BB28" s="718">
        <f>IF('Final Calculation Sheet'!$W$40="","",'Final Calculation Sheet'!$W$40)</f>
        <v/>
      </c>
      <c r="BD28" s="679">
        <f>IF('Final Calculation Sheet'!$W$36="","",'Final Calculation Sheet'!$W$36)</f>
        <v/>
      </c>
      <c r="BF28" s="714">
        <f>IF('Final Calculation Sheet'!$W$35="","",'Final Calculation Sheet'!$W$35)</f>
        <v/>
      </c>
      <c r="BG28" s="680">
        <f>IF('Final Calculation Sheet'!$W$41="","",'Final Calculation Sheet'!$W$41)</f>
        <v/>
      </c>
    </row>
    <row r="29" ht="15" customHeight="1">
      <c r="A29" s="678" t="inlineStr">
        <is>
          <t>Final Payment (Received)</t>
        </is>
      </c>
      <c r="B29" s="714">
        <f>IF('Final Calculation Sheet'!$X$6="","",'Final Calculation Sheet'!$X$6)</f>
        <v/>
      </c>
      <c r="C29" s="679">
        <f>IF('Final Calculation Sheet'!$X$7="","",'Final Calculation Sheet'!$X$7)</f>
        <v/>
      </c>
      <c r="E29" s="715">
        <f>IF('Final Calculation Sheet'!$X$15="","",'Final Calculation Sheet'!$X$15)</f>
        <v/>
      </c>
      <c r="G29" s="679">
        <f>IF('Final Calculation Sheet'!$X$5="","",'Final Calculation Sheet'!$X$5)</f>
        <v/>
      </c>
      <c r="H29" s="716">
        <f>IF('Final Calculation Sheet'!$X$10="","",'Final Calculation Sheet'!$X$10)</f>
        <v/>
      </c>
      <c r="I29" s="679">
        <f>IF('Final Calculation Sheet'!$X$11="","",'Final Calculation Sheet'!$X$11)</f>
        <v/>
      </c>
      <c r="J29" s="716">
        <f>IF('Final Calculation Sheet'!$X$12="","",'Final Calculation Sheet'!$X$12)</f>
        <v/>
      </c>
      <c r="L29" s="679">
        <f>IF('Final Calculation Sheet'!$X$9="","",'Final Calculation Sheet'!$X$9)</f>
        <v/>
      </c>
      <c r="M29" s="717">
        <f>IF('Final Calculation Sheet'!$X$14="","",'Final Calculation Sheet'!$X$14)</f>
        <v/>
      </c>
      <c r="O29" s="679">
        <f>IF('Final Calculation Sheet'!$X$13="","",'Final Calculation Sheet'!$X$13)</f>
        <v/>
      </c>
      <c r="P29" s="718">
        <f>IF('Final Calculation Sheet'!$X$16="","",'Final Calculation Sheet'!$X$16)</f>
        <v/>
      </c>
      <c r="R29" s="679">
        <f>IF('Final Calculation Sheet'!$X$27="","",'Final Calculation Sheet'!$X$27)</f>
        <v/>
      </c>
      <c r="T29" s="716">
        <f>IF('Final Calculation Sheet'!$X$18="","",'Final Calculation Sheet'!$X$18)</f>
        <v/>
      </c>
      <c r="U29" s="679">
        <f>IF('Final Calculation Sheet'!$X$19="","",'Final Calculation Sheet'!$X$19)</f>
        <v/>
      </c>
      <c r="V29" s="716">
        <f>IF('Final Calculation Sheet'!$X$22="","",'Final Calculation Sheet'!$X$22)</f>
        <v/>
      </c>
      <c r="W29" s="679">
        <f>IF('Final Calculation Sheet'!$X$24="","",'Final Calculation Sheet'!$X$24)</f>
        <v/>
      </c>
      <c r="X29" s="716">
        <f>IF('Final Calculation Sheet'!$X$26="","",'Final Calculation Sheet'!$X$26)</f>
        <v/>
      </c>
      <c r="Z29" s="679">
        <f>IF('Final Calculation Sheet'!$X$21="","",'Final Calculation Sheet'!$X$21)</f>
        <v/>
      </c>
      <c r="AB29" s="719">
        <f>IF('Final Calculation Sheet'!$X$20="","",'Final Calculation Sheet'!$X$20)</f>
        <v/>
      </c>
      <c r="AD29" s="679">
        <f>IF('Final Calculation Sheet'!$X$17="","",'Final Calculation Sheet'!$X$17)</f>
        <v/>
      </c>
      <c r="AE29" s="718">
        <f>IF('Final Calculation Sheet'!$X$23="","",'Final Calculation Sheet'!$X$23)</f>
        <v/>
      </c>
      <c r="AF29" s="679">
        <f>IF('Final Calculation Sheet'!$X$29="","",'Final Calculation Sheet'!$X$29)</f>
        <v/>
      </c>
      <c r="AH29" s="714">
        <f>IF('Final Calculation Sheet'!$X$25="","",'Final Calculation Sheet'!$X$25)</f>
        <v/>
      </c>
      <c r="AI29" s="679">
        <f>IF('Final Calculation Sheet'!$X$28="","",'Final Calculation Sheet'!$X$28)</f>
        <v/>
      </c>
      <c r="AK29" s="716">
        <f>IF('Final Calculation Sheet'!$X$30="","",'Final Calculation Sheet'!$X$30)</f>
        <v/>
      </c>
      <c r="AL29" s="679">
        <f>IF('Final Calculation Sheet'!$X$32="","",'Final Calculation Sheet'!$X$32)</f>
        <v/>
      </c>
      <c r="AM29" s="716">
        <f>IF('Final Calculation Sheet'!$X$33="","",'Final Calculation Sheet'!$X$33)</f>
        <v/>
      </c>
      <c r="AO29" s="679">
        <f>IF('Final Calculation Sheet'!$X$31="","",'Final Calculation Sheet'!$X$31)</f>
        <v/>
      </c>
      <c r="AQ29" s="718">
        <f>IF('Final Calculation Sheet'!$X$34="","",'Final Calculation Sheet'!$X$34)</f>
        <v/>
      </c>
      <c r="AS29" s="679">
        <f>IF('Final Calculation Sheet'!$X$4="","",'Final Calculation Sheet'!$X$4)</f>
        <v/>
      </c>
      <c r="AU29" s="717">
        <f>IF('Final Calculation Sheet'!$X$38="","",'Final Calculation Sheet'!$X$38)</f>
        <v/>
      </c>
      <c r="AW29" s="679">
        <f>IF('Final Calculation Sheet'!$X$37="","",'Final Calculation Sheet'!$X$37)</f>
        <v/>
      </c>
      <c r="AY29" s="719">
        <f>IF('Final Calculation Sheet'!$X$8="","",'Final Calculation Sheet'!$X$8)</f>
        <v/>
      </c>
      <c r="BA29" s="679">
        <f>IF('Final Calculation Sheet'!$X$39="","",'Final Calculation Sheet'!$X$39)</f>
        <v/>
      </c>
      <c r="BB29" s="718">
        <f>IF('Final Calculation Sheet'!$X$40="","",'Final Calculation Sheet'!$X$40)</f>
        <v/>
      </c>
      <c r="BD29" s="679">
        <f>IF('Final Calculation Sheet'!$X$36="","",'Final Calculation Sheet'!$X$36)</f>
        <v/>
      </c>
      <c r="BF29" s="714">
        <f>IF('Final Calculation Sheet'!$X$35="","",'Final Calculation Sheet'!$X$35)</f>
        <v/>
      </c>
      <c r="BG29" s="680">
        <f>IF('Final Calculation Sheet'!$X$41="","",'Final Calculation Sheet'!$X$41)</f>
        <v/>
      </c>
    </row>
    <row r="30" ht="15" customHeight="1">
      <c r="A30" s="675" t="inlineStr">
        <is>
          <t>Date of Receipt (col Y)</t>
        </is>
      </c>
      <c r="B30" s="714">
        <f>IF('Final Calculation Sheet'!$Y$6="","",'Final Calculation Sheet'!$Y$6)</f>
        <v/>
      </c>
      <c r="C30" s="679">
        <f>IF('Final Calculation Sheet'!$Y$7="","",'Final Calculation Sheet'!$Y$7)</f>
        <v/>
      </c>
      <c r="E30" s="715">
        <f>IF('Final Calculation Sheet'!$Y$15="","",'Final Calculation Sheet'!$Y$15)</f>
        <v/>
      </c>
      <c r="G30" s="679">
        <f>IF('Final Calculation Sheet'!$Y$5="","",'Final Calculation Sheet'!$Y$5)</f>
        <v/>
      </c>
      <c r="H30" s="716">
        <f>IF('Final Calculation Sheet'!$Y$10="","",'Final Calculation Sheet'!$Y$10)</f>
        <v/>
      </c>
      <c r="I30" s="679">
        <f>IF('Final Calculation Sheet'!$Y$11="","",'Final Calculation Sheet'!$Y$11)</f>
        <v/>
      </c>
      <c r="J30" s="716">
        <f>IF('Final Calculation Sheet'!$Y$12="","",'Final Calculation Sheet'!$Y$12)</f>
        <v/>
      </c>
      <c r="L30" s="679">
        <f>IF('Final Calculation Sheet'!$Y$9="","",'Final Calculation Sheet'!$Y$9)</f>
        <v/>
      </c>
      <c r="M30" s="717">
        <f>IF('Final Calculation Sheet'!$Y$14="","",'Final Calculation Sheet'!$Y$14)</f>
        <v/>
      </c>
      <c r="O30" s="679">
        <f>IF('Final Calculation Sheet'!$Y$13="","",'Final Calculation Sheet'!$Y$13)</f>
        <v/>
      </c>
      <c r="P30" s="718">
        <f>IF('Final Calculation Sheet'!$Y$16="","",'Final Calculation Sheet'!$Y$16)</f>
        <v/>
      </c>
      <c r="R30" s="679">
        <f>IF('Final Calculation Sheet'!$Y$27="","",'Final Calculation Sheet'!$Y$27)</f>
        <v/>
      </c>
      <c r="T30" s="716">
        <f>IF('Final Calculation Sheet'!$Y$18="","",'Final Calculation Sheet'!$Y$18)</f>
        <v/>
      </c>
      <c r="U30" s="679">
        <f>IF('Final Calculation Sheet'!$Y$19="","",'Final Calculation Sheet'!$Y$19)</f>
        <v/>
      </c>
      <c r="V30" s="716">
        <f>IF('Final Calculation Sheet'!$Y$22="","",'Final Calculation Sheet'!$Y$22)</f>
        <v/>
      </c>
      <c r="W30" s="679">
        <f>IF('Final Calculation Sheet'!$Y$24="","",'Final Calculation Sheet'!$Y$24)</f>
        <v/>
      </c>
      <c r="X30" s="716">
        <f>IF('Final Calculation Sheet'!$Y$26="","",'Final Calculation Sheet'!$Y$26)</f>
        <v/>
      </c>
      <c r="Z30" s="679">
        <f>IF('Final Calculation Sheet'!$Y$21="","",'Final Calculation Sheet'!$Y$21)</f>
        <v/>
      </c>
      <c r="AB30" s="719">
        <f>IF('Final Calculation Sheet'!$Y$20="","",'Final Calculation Sheet'!$Y$20)</f>
        <v/>
      </c>
      <c r="AD30" s="679">
        <f>IF('Final Calculation Sheet'!$Y$17="","",'Final Calculation Sheet'!$Y$17)</f>
        <v/>
      </c>
      <c r="AE30" s="718">
        <f>IF('Final Calculation Sheet'!$Y$23="","",'Final Calculation Sheet'!$Y$23)</f>
        <v/>
      </c>
      <c r="AF30" s="679">
        <f>IF('Final Calculation Sheet'!$Y$29="","",'Final Calculation Sheet'!$Y$29)</f>
        <v/>
      </c>
      <c r="AH30" s="714">
        <f>IF('Final Calculation Sheet'!$Y$25="","",'Final Calculation Sheet'!$Y$25)</f>
        <v/>
      </c>
      <c r="AI30" s="679">
        <f>IF('Final Calculation Sheet'!$Y$28="","",'Final Calculation Sheet'!$Y$28)</f>
        <v/>
      </c>
      <c r="AK30" s="716">
        <f>IF('Final Calculation Sheet'!$Y$30="","",'Final Calculation Sheet'!$Y$30)</f>
        <v/>
      </c>
      <c r="AL30" s="679">
        <f>IF('Final Calculation Sheet'!$Y$32="","",'Final Calculation Sheet'!$Y$32)</f>
        <v/>
      </c>
      <c r="AM30" s="716">
        <f>IF('Final Calculation Sheet'!$Y$33="","",'Final Calculation Sheet'!$Y$33)</f>
        <v/>
      </c>
      <c r="AO30" s="679">
        <f>IF('Final Calculation Sheet'!$Y$31="","",'Final Calculation Sheet'!$Y$31)</f>
        <v/>
      </c>
      <c r="AQ30" s="718">
        <f>IF('Final Calculation Sheet'!$Y$34="","",'Final Calculation Sheet'!$Y$34)</f>
        <v/>
      </c>
      <c r="AS30" s="679">
        <f>IF('Final Calculation Sheet'!$Y$4="","",'Final Calculation Sheet'!$Y$4)</f>
        <v/>
      </c>
      <c r="AU30" s="717">
        <f>IF('Final Calculation Sheet'!$Y$38="","",'Final Calculation Sheet'!$Y$38)</f>
        <v/>
      </c>
      <c r="AW30" s="679">
        <f>IF('Final Calculation Sheet'!$Y$37="","",'Final Calculation Sheet'!$Y$37)</f>
        <v/>
      </c>
      <c r="AY30" s="719">
        <f>IF('Final Calculation Sheet'!$Y$8="","",'Final Calculation Sheet'!$Y$8)</f>
        <v/>
      </c>
      <c r="BA30" s="679">
        <f>IF('Final Calculation Sheet'!$Y$39="","",'Final Calculation Sheet'!$Y$39)</f>
        <v/>
      </c>
      <c r="BB30" s="718">
        <f>IF('Final Calculation Sheet'!$Y$40="","",'Final Calculation Sheet'!$Y$40)</f>
        <v/>
      </c>
      <c r="BD30" s="679">
        <f>IF('Final Calculation Sheet'!$Y$36="","",'Final Calculation Sheet'!$Y$36)</f>
        <v/>
      </c>
      <c r="BF30" s="714">
        <f>IF('Final Calculation Sheet'!$Y$35="","",'Final Calculation Sheet'!$Y$35)</f>
        <v/>
      </c>
      <c r="BG30" s="680">
        <f>IF('Final Calculation Sheet'!$Y$41="","",'Final Calculation Sheet'!$Y$41)</f>
        <v/>
      </c>
    </row>
    <row r="31" ht="15" customHeight="1">
      <c r="A31" s="678" t="inlineStr">
        <is>
          <t>LPP Expected</t>
        </is>
      </c>
      <c r="B31" s="714">
        <f>IF('Final Calculation Sheet'!$Z$6="","",'Final Calculation Sheet'!$Z$6)</f>
        <v/>
      </c>
      <c r="C31" s="679">
        <f>IF('Final Calculation Sheet'!$Z$7="","",'Final Calculation Sheet'!$Z$7)</f>
        <v/>
      </c>
      <c r="E31" s="715">
        <f>IF('Final Calculation Sheet'!$Z$15="","",'Final Calculation Sheet'!$Z$15)</f>
        <v/>
      </c>
      <c r="G31" s="679">
        <f>IF('Final Calculation Sheet'!$Z$5="","",'Final Calculation Sheet'!$Z$5)</f>
        <v/>
      </c>
      <c r="H31" s="716">
        <f>IF('Final Calculation Sheet'!$Z$10="","",'Final Calculation Sheet'!$Z$10)</f>
        <v/>
      </c>
      <c r="I31" s="679">
        <f>IF('Final Calculation Sheet'!$Z$11="","",'Final Calculation Sheet'!$Z$11)</f>
        <v/>
      </c>
      <c r="J31" s="716">
        <f>IF('Final Calculation Sheet'!$Z$12="","",'Final Calculation Sheet'!$Z$12)</f>
        <v/>
      </c>
      <c r="L31" s="679">
        <f>IF('Final Calculation Sheet'!$Z$9="","",'Final Calculation Sheet'!$Z$9)</f>
        <v/>
      </c>
      <c r="M31" s="717">
        <f>IF('Final Calculation Sheet'!$Z$14="","",'Final Calculation Sheet'!$Z$14)</f>
        <v/>
      </c>
      <c r="O31" s="679">
        <f>IF('Final Calculation Sheet'!$Z$13="","",'Final Calculation Sheet'!$Z$13)</f>
        <v/>
      </c>
      <c r="P31" s="718">
        <f>IF('Final Calculation Sheet'!$Z$16="","",'Final Calculation Sheet'!$Z$16)</f>
        <v/>
      </c>
      <c r="R31" s="679">
        <f>IF('Final Calculation Sheet'!$Z$27="","",'Final Calculation Sheet'!$Z$27)</f>
        <v/>
      </c>
      <c r="T31" s="716">
        <f>IF('Final Calculation Sheet'!$Z$18="","",'Final Calculation Sheet'!$Z$18)</f>
        <v/>
      </c>
      <c r="U31" s="679">
        <f>IF('Final Calculation Sheet'!$Z$19="","",'Final Calculation Sheet'!$Z$19)</f>
        <v/>
      </c>
      <c r="V31" s="716">
        <f>IF('Final Calculation Sheet'!$Z$22="","",'Final Calculation Sheet'!$Z$22)</f>
        <v/>
      </c>
      <c r="W31" s="679">
        <f>IF('Final Calculation Sheet'!$Z$24="","",'Final Calculation Sheet'!$Z$24)</f>
        <v/>
      </c>
      <c r="X31" s="716">
        <f>IF('Final Calculation Sheet'!$Z$26="","",'Final Calculation Sheet'!$Z$26)</f>
        <v/>
      </c>
      <c r="Z31" s="679">
        <f>IF('Final Calculation Sheet'!$Z$21="","",'Final Calculation Sheet'!$Z$21)</f>
        <v/>
      </c>
      <c r="AB31" s="719">
        <f>IF('Final Calculation Sheet'!$Z$20="","",'Final Calculation Sheet'!$Z$20)</f>
        <v/>
      </c>
      <c r="AD31" s="679">
        <f>IF('Final Calculation Sheet'!$Z$17="","",'Final Calculation Sheet'!$Z$17)</f>
        <v/>
      </c>
      <c r="AE31" s="718">
        <f>IF('Final Calculation Sheet'!$Z$23="","",'Final Calculation Sheet'!$Z$23)</f>
        <v/>
      </c>
      <c r="AF31" s="679">
        <f>IF('Final Calculation Sheet'!$Z$29="","",'Final Calculation Sheet'!$Z$29)</f>
        <v/>
      </c>
      <c r="AH31" s="714">
        <f>IF('Final Calculation Sheet'!$Z$25="","",'Final Calculation Sheet'!$Z$25)</f>
        <v/>
      </c>
      <c r="AI31" s="679">
        <f>IF('Final Calculation Sheet'!$Z$28="","",'Final Calculation Sheet'!$Z$28)</f>
        <v/>
      </c>
      <c r="AK31" s="716">
        <f>IF('Final Calculation Sheet'!$Z$30="","",'Final Calculation Sheet'!$Z$30)</f>
        <v/>
      </c>
      <c r="AL31" s="679">
        <f>IF('Final Calculation Sheet'!$Z$32="","",'Final Calculation Sheet'!$Z$32)</f>
        <v/>
      </c>
      <c r="AM31" s="716">
        <f>IF('Final Calculation Sheet'!$Z$33="","",'Final Calculation Sheet'!$Z$33)</f>
        <v/>
      </c>
      <c r="AO31" s="679">
        <f>IF('Final Calculation Sheet'!$Z$31="","",'Final Calculation Sheet'!$Z$31)</f>
        <v/>
      </c>
      <c r="AQ31" s="718">
        <f>IF('Final Calculation Sheet'!$Z$34="","",'Final Calculation Sheet'!$Z$34)</f>
        <v/>
      </c>
      <c r="AS31" s="679">
        <f>IF('Final Calculation Sheet'!$Z$4="","",'Final Calculation Sheet'!$Z$4)</f>
        <v/>
      </c>
      <c r="AU31" s="717">
        <f>IF('Final Calculation Sheet'!$Z$38="","",'Final Calculation Sheet'!$Z$38)</f>
        <v/>
      </c>
      <c r="AW31" s="679">
        <f>IF('Final Calculation Sheet'!$Z$37="","",'Final Calculation Sheet'!$Z$37)</f>
        <v/>
      </c>
      <c r="AY31" s="719">
        <f>IF('Final Calculation Sheet'!$Z$8="","",'Final Calculation Sheet'!$Z$8)</f>
        <v/>
      </c>
      <c r="BA31" s="679">
        <f>IF('Final Calculation Sheet'!$Z$39="","",'Final Calculation Sheet'!$Z$39)</f>
        <v/>
      </c>
      <c r="BB31" s="718">
        <f>IF('Final Calculation Sheet'!$Z$40="","",'Final Calculation Sheet'!$Z$40)</f>
        <v/>
      </c>
      <c r="BD31" s="679">
        <f>IF('Final Calculation Sheet'!$Z$36="","",'Final Calculation Sheet'!$Z$36)</f>
        <v/>
      </c>
      <c r="BF31" s="714">
        <f>IF('Final Calculation Sheet'!$Z$35="","",'Final Calculation Sheet'!$Z$35)</f>
        <v/>
      </c>
      <c r="BG31" s="680">
        <f>IF('Final Calculation Sheet'!$Z$41="","",'Final Calculation Sheet'!$Z$41)</f>
        <v/>
      </c>
    </row>
    <row r="32" ht="15" customHeight="1">
      <c r="A32" s="675" t="inlineStr">
        <is>
          <t>LPP Received</t>
        </is>
      </c>
      <c r="B32" s="714">
        <f>IF('Final Calculation Sheet'!$AA$6="","",'Final Calculation Sheet'!$AA$6)</f>
        <v/>
      </c>
      <c r="C32" s="679">
        <f>IF('Final Calculation Sheet'!$AA$7="","",'Final Calculation Sheet'!$AA$7)</f>
        <v/>
      </c>
      <c r="E32" s="715">
        <f>IF('Final Calculation Sheet'!$AA$15="","",'Final Calculation Sheet'!$AA$15)</f>
        <v/>
      </c>
      <c r="G32" s="679">
        <f>IF('Final Calculation Sheet'!$AA$5="","",'Final Calculation Sheet'!$AA$5)</f>
        <v/>
      </c>
      <c r="H32" s="716">
        <f>IF('Final Calculation Sheet'!$AA$10="","",'Final Calculation Sheet'!$AA$10)</f>
        <v/>
      </c>
      <c r="I32" s="679">
        <f>IF('Final Calculation Sheet'!$AA$11="","",'Final Calculation Sheet'!$AA$11)</f>
        <v/>
      </c>
      <c r="J32" s="716">
        <f>IF('Final Calculation Sheet'!$AA$12="","",'Final Calculation Sheet'!$AA$12)</f>
        <v/>
      </c>
      <c r="L32" s="679">
        <f>IF('Final Calculation Sheet'!$AA$9="","",'Final Calculation Sheet'!$AA$9)</f>
        <v/>
      </c>
      <c r="M32" s="717">
        <f>IF('Final Calculation Sheet'!$AA$14="","",'Final Calculation Sheet'!$AA$14)</f>
        <v/>
      </c>
      <c r="O32" s="679">
        <f>IF('Final Calculation Sheet'!$AA$13="","",'Final Calculation Sheet'!$AA$13)</f>
        <v/>
      </c>
      <c r="P32" s="718">
        <f>IF('Final Calculation Sheet'!$AA$16="","",'Final Calculation Sheet'!$AA$16)</f>
        <v/>
      </c>
      <c r="R32" s="679">
        <f>IF('Final Calculation Sheet'!$AA$27="","",'Final Calculation Sheet'!$AA$27)</f>
        <v/>
      </c>
      <c r="T32" s="716">
        <f>IF('Final Calculation Sheet'!$AA$18="","",'Final Calculation Sheet'!$AA$18)</f>
        <v/>
      </c>
      <c r="U32" s="679">
        <f>IF('Final Calculation Sheet'!$AA$19="","",'Final Calculation Sheet'!$AA$19)</f>
        <v/>
      </c>
      <c r="V32" s="716">
        <f>IF('Final Calculation Sheet'!$AA$22="","",'Final Calculation Sheet'!$AA$22)</f>
        <v/>
      </c>
      <c r="W32" s="679">
        <f>IF('Final Calculation Sheet'!$AA$24="","",'Final Calculation Sheet'!$AA$24)</f>
        <v/>
      </c>
      <c r="X32" s="716">
        <f>IF('Final Calculation Sheet'!$AA$26="","",'Final Calculation Sheet'!$AA$26)</f>
        <v/>
      </c>
      <c r="Z32" s="679">
        <f>IF('Final Calculation Sheet'!$AA$21="","",'Final Calculation Sheet'!$AA$21)</f>
        <v/>
      </c>
      <c r="AB32" s="719">
        <f>IF('Final Calculation Sheet'!$AA$20="","",'Final Calculation Sheet'!$AA$20)</f>
        <v/>
      </c>
      <c r="AD32" s="679">
        <f>IF('Final Calculation Sheet'!$AA$17="","",'Final Calculation Sheet'!$AA$17)</f>
        <v/>
      </c>
      <c r="AE32" s="718">
        <f>IF('Final Calculation Sheet'!$AA$23="","",'Final Calculation Sheet'!$AA$23)</f>
        <v/>
      </c>
      <c r="AF32" s="679">
        <f>IF('Final Calculation Sheet'!$AA$29="","",'Final Calculation Sheet'!$AA$29)</f>
        <v/>
      </c>
      <c r="AH32" s="714">
        <f>IF('Final Calculation Sheet'!$AA$25="","",'Final Calculation Sheet'!$AA$25)</f>
        <v/>
      </c>
      <c r="AI32" s="679">
        <f>IF('Final Calculation Sheet'!$AA$28="","",'Final Calculation Sheet'!$AA$28)</f>
        <v/>
      </c>
      <c r="AK32" s="716">
        <f>IF('Final Calculation Sheet'!$AA$30="","",'Final Calculation Sheet'!$AA$30)</f>
        <v/>
      </c>
      <c r="AL32" s="679">
        <f>IF('Final Calculation Sheet'!$AA$32="","",'Final Calculation Sheet'!$AA$32)</f>
        <v/>
      </c>
      <c r="AM32" s="716">
        <f>IF('Final Calculation Sheet'!$AA$33="","",'Final Calculation Sheet'!$AA$33)</f>
        <v/>
      </c>
      <c r="AO32" s="679">
        <f>IF('Final Calculation Sheet'!$AA$31="","",'Final Calculation Sheet'!$AA$31)</f>
        <v/>
      </c>
      <c r="AQ32" s="718">
        <f>IF('Final Calculation Sheet'!$AA$34="","",'Final Calculation Sheet'!$AA$34)</f>
        <v/>
      </c>
      <c r="AS32" s="679">
        <f>IF('Final Calculation Sheet'!$AA$4="","",'Final Calculation Sheet'!$AA$4)</f>
        <v/>
      </c>
      <c r="AU32" s="717">
        <f>IF('Final Calculation Sheet'!$AA$38="","",'Final Calculation Sheet'!$AA$38)</f>
        <v/>
      </c>
      <c r="AW32" s="679">
        <f>IF('Final Calculation Sheet'!$AA$37="","",'Final Calculation Sheet'!$AA$37)</f>
        <v/>
      </c>
      <c r="AY32" s="719">
        <f>IF('Final Calculation Sheet'!$AA$8="","",'Final Calculation Sheet'!$AA$8)</f>
        <v/>
      </c>
      <c r="BA32" s="679">
        <f>IF('Final Calculation Sheet'!$AA$39="","",'Final Calculation Sheet'!$AA$39)</f>
        <v/>
      </c>
      <c r="BB32" s="718">
        <f>IF('Final Calculation Sheet'!$AA$40="","",'Final Calculation Sheet'!$AA$40)</f>
        <v/>
      </c>
      <c r="BD32" s="679">
        <f>IF('Final Calculation Sheet'!$AA$36="","",'Final Calculation Sheet'!$AA$36)</f>
        <v/>
      </c>
      <c r="BF32" s="714">
        <f>IF('Final Calculation Sheet'!$AA$35="","",'Final Calculation Sheet'!$AA$35)</f>
        <v/>
      </c>
      <c r="BG32" s="680">
        <f>IF('Final Calculation Sheet'!$AA$41="","",'Final Calculation Sheet'!$AA$41)</f>
        <v/>
      </c>
    </row>
    <row r="33" ht="15" customHeight="1">
      <c r="A33" s="678" t="inlineStr">
        <is>
          <t>Date of Recepit of LPP</t>
        </is>
      </c>
      <c r="B33" s="714">
        <f>IF('Final Calculation Sheet'!$AB$6="","",'Final Calculation Sheet'!$AB$6)</f>
        <v/>
      </c>
      <c r="C33" s="679">
        <f>IF('Final Calculation Sheet'!$AB$7="","",'Final Calculation Sheet'!$AB$7)</f>
        <v/>
      </c>
      <c r="E33" s="715">
        <f>IF('Final Calculation Sheet'!$AB$15="","",'Final Calculation Sheet'!$AB$15)</f>
        <v/>
      </c>
      <c r="G33" s="679">
        <f>IF('Final Calculation Sheet'!$AB$5="","",'Final Calculation Sheet'!$AB$5)</f>
        <v/>
      </c>
      <c r="H33" s="716">
        <f>IF('Final Calculation Sheet'!$AB$10="","",'Final Calculation Sheet'!$AB$10)</f>
        <v/>
      </c>
      <c r="I33" s="679">
        <f>IF('Final Calculation Sheet'!$AB$11="","",'Final Calculation Sheet'!$AB$11)</f>
        <v/>
      </c>
      <c r="J33" s="716">
        <f>IF('Final Calculation Sheet'!$AB$12="","",'Final Calculation Sheet'!$AB$12)</f>
        <v/>
      </c>
      <c r="L33" s="679">
        <f>IF('Final Calculation Sheet'!$AB$9="","",'Final Calculation Sheet'!$AB$9)</f>
        <v/>
      </c>
      <c r="M33" s="717">
        <f>IF('Final Calculation Sheet'!$AB$14="","",'Final Calculation Sheet'!$AB$14)</f>
        <v/>
      </c>
      <c r="O33" s="679">
        <f>IF('Final Calculation Sheet'!$AB$13="","",'Final Calculation Sheet'!$AB$13)</f>
        <v/>
      </c>
      <c r="P33" s="718">
        <f>IF('Final Calculation Sheet'!$AB$16="","",'Final Calculation Sheet'!$AB$16)</f>
        <v/>
      </c>
      <c r="R33" s="679">
        <f>IF('Final Calculation Sheet'!$AB$27="","",'Final Calculation Sheet'!$AB$27)</f>
        <v/>
      </c>
      <c r="T33" s="716">
        <f>IF('Final Calculation Sheet'!$AB$18="","",'Final Calculation Sheet'!$AB$18)</f>
        <v/>
      </c>
      <c r="U33" s="679">
        <f>IF('Final Calculation Sheet'!$AB$19="","",'Final Calculation Sheet'!$AB$19)</f>
        <v/>
      </c>
      <c r="V33" s="716">
        <f>IF('Final Calculation Sheet'!$AB$22="","",'Final Calculation Sheet'!$AB$22)</f>
        <v/>
      </c>
      <c r="W33" s="679">
        <f>IF('Final Calculation Sheet'!$AB$24="","",'Final Calculation Sheet'!$AB$24)</f>
        <v/>
      </c>
      <c r="X33" s="716">
        <f>IF('Final Calculation Sheet'!$AB$26="","",'Final Calculation Sheet'!$AB$26)</f>
        <v/>
      </c>
      <c r="Z33" s="679">
        <f>IF('Final Calculation Sheet'!$AB$21="","",'Final Calculation Sheet'!$AB$21)</f>
        <v/>
      </c>
      <c r="AB33" s="719">
        <f>IF('Final Calculation Sheet'!$AB$20="","",'Final Calculation Sheet'!$AB$20)</f>
        <v/>
      </c>
      <c r="AD33" s="679">
        <f>IF('Final Calculation Sheet'!$AB$17="","",'Final Calculation Sheet'!$AB$17)</f>
        <v/>
      </c>
      <c r="AE33" s="718">
        <f>IF('Final Calculation Sheet'!$AB$23="","",'Final Calculation Sheet'!$AB$23)</f>
        <v/>
      </c>
      <c r="AF33" s="679">
        <f>IF('Final Calculation Sheet'!$AB$29="","",'Final Calculation Sheet'!$AB$29)</f>
        <v/>
      </c>
      <c r="AH33" s="714">
        <f>IF('Final Calculation Sheet'!$AB$25="","",'Final Calculation Sheet'!$AB$25)</f>
        <v/>
      </c>
      <c r="AI33" s="679">
        <f>IF('Final Calculation Sheet'!$AB$28="","",'Final Calculation Sheet'!$AB$28)</f>
        <v/>
      </c>
      <c r="AK33" s="716">
        <f>IF('Final Calculation Sheet'!$AB$30="","",'Final Calculation Sheet'!$AB$30)</f>
        <v/>
      </c>
      <c r="AL33" s="679">
        <f>IF('Final Calculation Sheet'!$AB$32="","",'Final Calculation Sheet'!$AB$32)</f>
        <v/>
      </c>
      <c r="AM33" s="716">
        <f>IF('Final Calculation Sheet'!$AB$33="","",'Final Calculation Sheet'!$AB$33)</f>
        <v/>
      </c>
      <c r="AO33" s="679">
        <f>IF('Final Calculation Sheet'!$AB$31="","",'Final Calculation Sheet'!$AB$31)</f>
        <v/>
      </c>
      <c r="AQ33" s="718">
        <f>IF('Final Calculation Sheet'!$AB$34="","",'Final Calculation Sheet'!$AB$34)</f>
        <v/>
      </c>
      <c r="AS33" s="679">
        <f>IF('Final Calculation Sheet'!$AB$4="","",'Final Calculation Sheet'!$AB$4)</f>
        <v/>
      </c>
      <c r="AU33" s="717">
        <f>IF('Final Calculation Sheet'!$AB$38="","",'Final Calculation Sheet'!$AB$38)</f>
        <v/>
      </c>
      <c r="AW33" s="679">
        <f>IF('Final Calculation Sheet'!$AB$37="","",'Final Calculation Sheet'!$AB$37)</f>
        <v/>
      </c>
      <c r="AY33" s="719">
        <f>IF('Final Calculation Sheet'!$AB$8="","",'Final Calculation Sheet'!$AB$8)</f>
        <v/>
      </c>
      <c r="BA33" s="679">
        <f>IF('Final Calculation Sheet'!$AB$39="","",'Final Calculation Sheet'!$AB$39)</f>
        <v/>
      </c>
      <c r="BB33" s="718">
        <f>IF('Final Calculation Sheet'!$AB$40="","",'Final Calculation Sheet'!$AB$40)</f>
        <v/>
      </c>
      <c r="BD33" s="679">
        <f>IF('Final Calculation Sheet'!$AB$36="","",'Final Calculation Sheet'!$AB$36)</f>
        <v/>
      </c>
      <c r="BF33" s="714">
        <f>IF('Final Calculation Sheet'!$AB$35="","",'Final Calculation Sheet'!$AB$35)</f>
        <v/>
      </c>
      <c r="BG33" s="680">
        <f>IF('Final Calculation Sheet'!$AB$41="","",'Final Calculation Sheet'!$AB$41)</f>
        <v/>
      </c>
    </row>
    <row r="34" ht="15" customHeight="1">
      <c r="A34" s="675" t="inlineStr">
        <is>
          <t>Total Received</t>
        </is>
      </c>
      <c r="B34" s="714">
        <f>IF('Final Calculation Sheet'!$AC$6="","",'Final Calculation Sheet'!$AC$6)</f>
        <v/>
      </c>
      <c r="C34" s="679">
        <f>IF('Final Calculation Sheet'!$AC$7="","",'Final Calculation Sheet'!$AC$7)</f>
        <v/>
      </c>
      <c r="E34" s="715">
        <f>IF('Final Calculation Sheet'!$AC$15="","",'Final Calculation Sheet'!$AC$15)</f>
        <v/>
      </c>
      <c r="G34" s="679">
        <f>IF('Final Calculation Sheet'!$AC$5="","",'Final Calculation Sheet'!$AC$5)</f>
        <v/>
      </c>
      <c r="H34" s="716">
        <f>IF('Final Calculation Sheet'!$AC$10="","",'Final Calculation Sheet'!$AC$10)</f>
        <v/>
      </c>
      <c r="I34" s="679">
        <f>IF('Final Calculation Sheet'!$AC$11="","",'Final Calculation Sheet'!$AC$11)</f>
        <v/>
      </c>
      <c r="J34" s="716">
        <f>IF('Final Calculation Sheet'!$AC$12="","",'Final Calculation Sheet'!$AC$12)</f>
        <v/>
      </c>
      <c r="L34" s="679">
        <f>IF('Final Calculation Sheet'!$AC$9="","",'Final Calculation Sheet'!$AC$9)</f>
        <v/>
      </c>
      <c r="M34" s="717">
        <f>IF('Final Calculation Sheet'!$AC$14="","",'Final Calculation Sheet'!$AC$14)</f>
        <v/>
      </c>
      <c r="O34" s="679">
        <f>IF('Final Calculation Sheet'!$AC$13="","",'Final Calculation Sheet'!$AC$13)</f>
        <v/>
      </c>
      <c r="P34" s="718">
        <f>IF('Final Calculation Sheet'!$AC$16="","",'Final Calculation Sheet'!$AC$16)</f>
        <v/>
      </c>
      <c r="R34" s="679">
        <f>IF('Final Calculation Sheet'!$AC$27="","",'Final Calculation Sheet'!$AC$27)</f>
        <v/>
      </c>
      <c r="T34" s="716">
        <f>IF('Final Calculation Sheet'!$AC$18="","",'Final Calculation Sheet'!$AC$18)</f>
        <v/>
      </c>
      <c r="U34" s="679">
        <f>IF('Final Calculation Sheet'!$AC$19="","",'Final Calculation Sheet'!$AC$19)</f>
        <v/>
      </c>
      <c r="V34" s="716">
        <f>IF('Final Calculation Sheet'!$AC$22="","",'Final Calculation Sheet'!$AC$22)</f>
        <v/>
      </c>
      <c r="W34" s="679">
        <f>IF('Final Calculation Sheet'!$AC$24="","",'Final Calculation Sheet'!$AC$24)</f>
        <v/>
      </c>
      <c r="X34" s="716">
        <f>IF('Final Calculation Sheet'!$AC$26="","",'Final Calculation Sheet'!$AC$26)</f>
        <v/>
      </c>
      <c r="Z34" s="679">
        <f>IF('Final Calculation Sheet'!$AC$21="","",'Final Calculation Sheet'!$AC$21)</f>
        <v/>
      </c>
      <c r="AB34" s="719">
        <f>IF('Final Calculation Sheet'!$AC$20="","",'Final Calculation Sheet'!$AC$20)</f>
        <v/>
      </c>
      <c r="AD34" s="679">
        <f>IF('Final Calculation Sheet'!$AC$17="","",'Final Calculation Sheet'!$AC$17)</f>
        <v/>
      </c>
      <c r="AE34" s="718">
        <f>IF('Final Calculation Sheet'!$AC$23="","",'Final Calculation Sheet'!$AC$23)</f>
        <v/>
      </c>
      <c r="AF34" s="679">
        <f>IF('Final Calculation Sheet'!$AC$29="","",'Final Calculation Sheet'!$AC$29)</f>
        <v/>
      </c>
      <c r="AH34" s="714">
        <f>IF('Final Calculation Sheet'!$AC$25="","",'Final Calculation Sheet'!$AC$25)</f>
        <v/>
      </c>
      <c r="AI34" s="679">
        <f>IF('Final Calculation Sheet'!$AC$28="","",'Final Calculation Sheet'!$AC$28)</f>
        <v/>
      </c>
      <c r="AK34" s="716">
        <f>IF('Final Calculation Sheet'!$AC$30="","",'Final Calculation Sheet'!$AC$30)</f>
        <v/>
      </c>
      <c r="AL34" s="679">
        <f>IF('Final Calculation Sheet'!$AC$32="","",'Final Calculation Sheet'!$AC$32)</f>
        <v/>
      </c>
      <c r="AM34" s="716">
        <f>IF('Final Calculation Sheet'!$AC$33="","",'Final Calculation Sheet'!$AC$33)</f>
        <v/>
      </c>
      <c r="AO34" s="679">
        <f>IF('Final Calculation Sheet'!$AC$31="","",'Final Calculation Sheet'!$AC$31)</f>
        <v/>
      </c>
      <c r="AQ34" s="718">
        <f>IF('Final Calculation Sheet'!$AC$34="","",'Final Calculation Sheet'!$AC$34)</f>
        <v/>
      </c>
      <c r="AS34" s="679">
        <f>IF('Final Calculation Sheet'!$AC$4="","",'Final Calculation Sheet'!$AC$4)</f>
        <v/>
      </c>
      <c r="AU34" s="717">
        <f>IF('Final Calculation Sheet'!$AC$38="","",'Final Calculation Sheet'!$AC$38)</f>
        <v/>
      </c>
      <c r="AW34" s="679">
        <f>IF('Final Calculation Sheet'!$AC$37="","",'Final Calculation Sheet'!$AC$37)</f>
        <v/>
      </c>
      <c r="AY34" s="719">
        <f>IF('Final Calculation Sheet'!$AC$8="","",'Final Calculation Sheet'!$AC$8)</f>
        <v/>
      </c>
      <c r="BA34" s="679">
        <f>IF('Final Calculation Sheet'!$AC$39="","",'Final Calculation Sheet'!$AC$39)</f>
        <v/>
      </c>
      <c r="BB34" s="718">
        <f>IF('Final Calculation Sheet'!$AC$40="","",'Final Calculation Sheet'!$AC$40)</f>
        <v/>
      </c>
      <c r="BD34" s="679">
        <f>IF('Final Calculation Sheet'!$AC$36="","",'Final Calculation Sheet'!$AC$36)</f>
        <v/>
      </c>
      <c r="BF34" s="714">
        <f>IF('Final Calculation Sheet'!$AC$35="","",'Final Calculation Sheet'!$AC$35)</f>
        <v/>
      </c>
      <c r="BG34" s="680">
        <f>IF('Final Calculation Sheet'!$AC$41="","",'Final Calculation Sheet'!$AC$41)</f>
        <v/>
      </c>
    </row>
    <row r="35" ht="15" customHeight="1">
      <c r="A35" s="678" t="inlineStr">
        <is>
          <t>Outstanding</t>
        </is>
      </c>
      <c r="B35" s="714">
        <f>IF('Final Calculation Sheet'!$AD$6="","",'Final Calculation Sheet'!$AD$6)</f>
        <v/>
      </c>
      <c r="C35" s="679">
        <f>IF('Final Calculation Sheet'!$AD$7="","",'Final Calculation Sheet'!$AD$7)</f>
        <v/>
      </c>
      <c r="E35" s="715">
        <f>IF('Final Calculation Sheet'!$AD$15="","",'Final Calculation Sheet'!$AD$15)</f>
        <v/>
      </c>
      <c r="G35" s="679">
        <f>IF('Final Calculation Sheet'!$AD$5="","",'Final Calculation Sheet'!$AD$5)</f>
        <v/>
      </c>
      <c r="H35" s="716">
        <f>IF('Final Calculation Sheet'!$AD$10="","",'Final Calculation Sheet'!$AD$10)</f>
        <v/>
      </c>
      <c r="I35" s="679">
        <f>IF('Final Calculation Sheet'!$AD$11="","",'Final Calculation Sheet'!$AD$11)</f>
        <v/>
      </c>
      <c r="J35" s="716">
        <f>IF('Final Calculation Sheet'!$AD$12="","",'Final Calculation Sheet'!$AD$12)</f>
        <v/>
      </c>
      <c r="L35" s="679">
        <f>IF('Final Calculation Sheet'!$AD$9="","",'Final Calculation Sheet'!$AD$9)</f>
        <v/>
      </c>
      <c r="M35" s="717">
        <f>IF('Final Calculation Sheet'!$AD$14="","",'Final Calculation Sheet'!$AD$14)</f>
        <v/>
      </c>
      <c r="O35" s="679">
        <f>IF('Final Calculation Sheet'!$AD$13="","",'Final Calculation Sheet'!$AD$13)</f>
        <v/>
      </c>
      <c r="P35" s="718">
        <f>IF('Final Calculation Sheet'!$AD$16="","",'Final Calculation Sheet'!$AD$16)</f>
        <v/>
      </c>
      <c r="R35" s="679">
        <f>IF('Final Calculation Sheet'!$AD$27="","",'Final Calculation Sheet'!$AD$27)</f>
        <v/>
      </c>
      <c r="T35" s="716">
        <f>IF('Final Calculation Sheet'!$AD$18="","",'Final Calculation Sheet'!$AD$18)</f>
        <v/>
      </c>
      <c r="U35" s="679">
        <f>IF('Final Calculation Sheet'!$AD$19="","",'Final Calculation Sheet'!$AD$19)</f>
        <v/>
      </c>
      <c r="V35" s="716">
        <f>IF('Final Calculation Sheet'!$AD$22="","",'Final Calculation Sheet'!$AD$22)</f>
        <v/>
      </c>
      <c r="W35" s="679">
        <f>IF('Final Calculation Sheet'!$AD$24="","",'Final Calculation Sheet'!$AD$24)</f>
        <v/>
      </c>
      <c r="X35" s="716">
        <f>IF('Final Calculation Sheet'!$AD$26="","",'Final Calculation Sheet'!$AD$26)</f>
        <v/>
      </c>
      <c r="Z35" s="679">
        <f>IF('Final Calculation Sheet'!$AD$21="","",'Final Calculation Sheet'!$AD$21)</f>
        <v/>
      </c>
      <c r="AB35" s="719">
        <f>IF('Final Calculation Sheet'!$AD$20="","",'Final Calculation Sheet'!$AD$20)</f>
        <v/>
      </c>
      <c r="AD35" s="679">
        <f>IF('Final Calculation Sheet'!$AD$17="","",'Final Calculation Sheet'!$AD$17)</f>
        <v/>
      </c>
      <c r="AE35" s="718">
        <f>IF('Final Calculation Sheet'!$AD$23="","",'Final Calculation Sheet'!$AD$23)</f>
        <v/>
      </c>
      <c r="AF35" s="679">
        <f>IF('Final Calculation Sheet'!$AD$29="","",'Final Calculation Sheet'!$AD$29)</f>
        <v/>
      </c>
      <c r="AH35" s="714">
        <f>IF('Final Calculation Sheet'!$AD$25="","",'Final Calculation Sheet'!$AD$25)</f>
        <v/>
      </c>
      <c r="AI35" s="679">
        <f>IF('Final Calculation Sheet'!$AD$28="","",'Final Calculation Sheet'!$AD$28)</f>
        <v/>
      </c>
      <c r="AK35" s="716">
        <f>IF('Final Calculation Sheet'!$AD$30="","",'Final Calculation Sheet'!$AD$30)</f>
        <v/>
      </c>
      <c r="AL35" s="679">
        <f>IF('Final Calculation Sheet'!$AD$32="","",'Final Calculation Sheet'!$AD$32)</f>
        <v/>
      </c>
      <c r="AM35" s="716">
        <f>IF('Final Calculation Sheet'!$AD$33="","",'Final Calculation Sheet'!$AD$33)</f>
        <v/>
      </c>
      <c r="AO35" s="679">
        <f>IF('Final Calculation Sheet'!$AD$31="","",'Final Calculation Sheet'!$AD$31)</f>
        <v/>
      </c>
      <c r="AQ35" s="718">
        <f>IF('Final Calculation Sheet'!$AD$34="","",'Final Calculation Sheet'!$AD$34)</f>
        <v/>
      </c>
      <c r="AS35" s="679">
        <f>IF('Final Calculation Sheet'!$AD$4="","",'Final Calculation Sheet'!$AD$4)</f>
        <v/>
      </c>
      <c r="AU35" s="717">
        <f>IF('Final Calculation Sheet'!$AD$38="","",'Final Calculation Sheet'!$AD$38)</f>
        <v/>
      </c>
      <c r="AW35" s="679">
        <f>IF('Final Calculation Sheet'!$AD$37="","",'Final Calculation Sheet'!$AD$37)</f>
        <v/>
      </c>
      <c r="AY35" s="719">
        <f>IF('Final Calculation Sheet'!$AD$8="","",'Final Calculation Sheet'!$AD$8)</f>
        <v/>
      </c>
      <c r="BA35" s="679">
        <f>IF('Final Calculation Sheet'!$AD$39="","",'Final Calculation Sheet'!$AD$39)</f>
        <v/>
      </c>
      <c r="BB35" s="718">
        <f>IF('Final Calculation Sheet'!$AD$40="","",'Final Calculation Sheet'!$AD$40)</f>
        <v/>
      </c>
      <c r="BD35" s="679">
        <f>IF('Final Calculation Sheet'!$AD$36="","",'Final Calculation Sheet'!$AD$36)</f>
        <v/>
      </c>
      <c r="BF35" s="714">
        <f>IF('Final Calculation Sheet'!$AD$35="","",'Final Calculation Sheet'!$AD$35)</f>
        <v/>
      </c>
      <c r="BG35" s="680">
        <f>IF('Final Calculation Sheet'!$AD$41="","",'Final Calculation Sheet'!$AD$41)</f>
        <v/>
      </c>
    </row>
    <row r="36" ht="15" customHeight="1">
      <c r="A36" s="675" t="inlineStr">
        <is>
          <t>Invoice No.</t>
        </is>
      </c>
      <c r="B36" s="714">
        <f>IF('Final Calculation Sheet'!$AE$6="","",'Final Calculation Sheet'!$AE$6)</f>
        <v/>
      </c>
      <c r="C36" s="679">
        <f>IF('Final Calculation Sheet'!$AE$7="","",'Final Calculation Sheet'!$AE$7)</f>
        <v/>
      </c>
      <c r="E36" s="715">
        <f>IF('Final Calculation Sheet'!$AE$15="","",'Final Calculation Sheet'!$AE$15)</f>
        <v/>
      </c>
      <c r="G36" s="679">
        <f>IF('Final Calculation Sheet'!$AE$5="","",'Final Calculation Sheet'!$AE$5)</f>
        <v/>
      </c>
      <c r="H36" s="716">
        <f>IF('Final Calculation Sheet'!$AE$10="","",'Final Calculation Sheet'!$AE$10)</f>
        <v/>
      </c>
      <c r="I36" s="679">
        <f>IF('Final Calculation Sheet'!$AE$11="","",'Final Calculation Sheet'!$AE$11)</f>
        <v/>
      </c>
      <c r="J36" s="716">
        <f>IF('Final Calculation Sheet'!$AE$12="","",'Final Calculation Sheet'!$AE$12)</f>
        <v/>
      </c>
      <c r="L36" s="679">
        <f>IF('Final Calculation Sheet'!$AE$9="","",'Final Calculation Sheet'!$AE$9)</f>
        <v/>
      </c>
      <c r="M36" s="717">
        <f>IF('Final Calculation Sheet'!$AE$14="","",'Final Calculation Sheet'!$AE$14)</f>
        <v/>
      </c>
      <c r="O36" s="679">
        <f>IF('Final Calculation Sheet'!$AE$13="","",'Final Calculation Sheet'!$AE$13)</f>
        <v/>
      </c>
      <c r="P36" s="718">
        <f>IF('Final Calculation Sheet'!$AE$16="","",'Final Calculation Sheet'!$AE$16)</f>
        <v/>
      </c>
      <c r="R36" s="679">
        <f>IF('Final Calculation Sheet'!$AE$27="","",'Final Calculation Sheet'!$AE$27)</f>
        <v/>
      </c>
      <c r="T36" s="716">
        <f>IF('Final Calculation Sheet'!$AE$18="","",'Final Calculation Sheet'!$AE$18)</f>
        <v/>
      </c>
      <c r="U36" s="679">
        <f>IF('Final Calculation Sheet'!$AE$19="","",'Final Calculation Sheet'!$AE$19)</f>
        <v/>
      </c>
      <c r="V36" s="716">
        <f>IF('Final Calculation Sheet'!$AE$22="","",'Final Calculation Sheet'!$AE$22)</f>
        <v/>
      </c>
      <c r="W36" s="679">
        <f>IF('Final Calculation Sheet'!$AE$24="","",'Final Calculation Sheet'!$AE$24)</f>
        <v/>
      </c>
      <c r="X36" s="716">
        <f>IF('Final Calculation Sheet'!$AE$26="","",'Final Calculation Sheet'!$AE$26)</f>
        <v/>
      </c>
      <c r="Z36" s="679">
        <f>IF('Final Calculation Sheet'!$AE$21="","",'Final Calculation Sheet'!$AE$21)</f>
        <v/>
      </c>
      <c r="AB36" s="719">
        <f>IF('Final Calculation Sheet'!$AE$20="","",'Final Calculation Sheet'!$AE$20)</f>
        <v/>
      </c>
      <c r="AD36" s="679">
        <f>IF('Final Calculation Sheet'!$AE$17="","",'Final Calculation Sheet'!$AE$17)</f>
        <v/>
      </c>
      <c r="AE36" s="718">
        <f>IF('Final Calculation Sheet'!$AE$23="","",'Final Calculation Sheet'!$AE$23)</f>
        <v/>
      </c>
      <c r="AF36" s="679">
        <f>IF('Final Calculation Sheet'!$AE$29="","",'Final Calculation Sheet'!$AE$29)</f>
        <v/>
      </c>
      <c r="AH36" s="714">
        <f>IF('Final Calculation Sheet'!$AE$25="","",'Final Calculation Sheet'!$AE$25)</f>
        <v/>
      </c>
      <c r="AI36" s="679">
        <f>IF('Final Calculation Sheet'!$AE$28="","",'Final Calculation Sheet'!$AE$28)</f>
        <v/>
      </c>
      <c r="AK36" s="716">
        <f>IF('Final Calculation Sheet'!$AE$30="","",'Final Calculation Sheet'!$AE$30)</f>
        <v/>
      </c>
      <c r="AL36" s="679">
        <f>IF('Final Calculation Sheet'!$AE$32="","",'Final Calculation Sheet'!$AE$32)</f>
        <v/>
      </c>
      <c r="AM36" s="716">
        <f>IF('Final Calculation Sheet'!$AE$33="","",'Final Calculation Sheet'!$AE$33)</f>
        <v/>
      </c>
      <c r="AO36" s="679">
        <f>IF('Final Calculation Sheet'!$AE$31="","",'Final Calculation Sheet'!$AE$31)</f>
        <v/>
      </c>
      <c r="AQ36" s="718">
        <f>IF('Final Calculation Sheet'!$AE$34="","",'Final Calculation Sheet'!$AE$34)</f>
        <v/>
      </c>
      <c r="AS36" s="679">
        <f>IF('Final Calculation Sheet'!$AE$4="","",'Final Calculation Sheet'!$AE$4)</f>
        <v/>
      </c>
      <c r="AU36" s="717">
        <f>IF('Final Calculation Sheet'!$AE$38="","",'Final Calculation Sheet'!$AE$38)</f>
        <v/>
      </c>
      <c r="AW36" s="679">
        <f>IF('Final Calculation Sheet'!$AE$37="","",'Final Calculation Sheet'!$AE$37)</f>
        <v/>
      </c>
      <c r="AY36" s="719">
        <f>IF('Final Calculation Sheet'!$AE$8="","",'Final Calculation Sheet'!$AE$8)</f>
        <v/>
      </c>
      <c r="BA36" s="679">
        <f>IF('Final Calculation Sheet'!$AE$39="","",'Final Calculation Sheet'!$AE$39)</f>
        <v/>
      </c>
      <c r="BB36" s="718">
        <f>IF('Final Calculation Sheet'!$AE$40="","",'Final Calculation Sheet'!$AE$40)</f>
        <v/>
      </c>
      <c r="BD36" s="679">
        <f>IF('Final Calculation Sheet'!$AE$36="","",'Final Calculation Sheet'!$AE$36)</f>
        <v/>
      </c>
      <c r="BF36" s="714">
        <f>IF('Final Calculation Sheet'!$AE$35="","",'Final Calculation Sheet'!$AE$35)</f>
        <v/>
      </c>
      <c r="BG36" s="680">
        <f>IF('Final Calculation Sheet'!$AE$41="","",'Final Calculation Sheet'!$AE$41)</f>
        <v/>
      </c>
    </row>
    <row r="37" ht="15" customHeight="1">
      <c r="A37" s="678" t="inlineStr">
        <is>
          <t>SAP Document</t>
        </is>
      </c>
      <c r="B37" s="738">
        <f>IF('Final Calculation Sheet'!$AF$6="","",'Final Calculation Sheet'!$AF$6)</f>
        <v/>
      </c>
      <c r="C37" s="687">
        <f>IF('Final Calculation Sheet'!$AF$7="","",'Final Calculation Sheet'!$AF$7)</f>
        <v/>
      </c>
      <c r="E37" s="739">
        <f>IF('Final Calculation Sheet'!$AF$15="","",'Final Calculation Sheet'!$AF$15)</f>
        <v/>
      </c>
      <c r="G37" s="687">
        <f>IF('Final Calculation Sheet'!$AF$5="","",'Final Calculation Sheet'!$AF$5)</f>
        <v/>
      </c>
      <c r="H37" s="740">
        <f>IF('Final Calculation Sheet'!$AF$10="","",'Final Calculation Sheet'!$AF$10)</f>
        <v/>
      </c>
      <c r="I37" s="687">
        <f>IF('Final Calculation Sheet'!$AF$11="","",'Final Calculation Sheet'!$AF$11)</f>
        <v/>
      </c>
      <c r="J37" s="740">
        <f>IF('Final Calculation Sheet'!$AF$12="","",'Final Calculation Sheet'!$AF$12)</f>
        <v/>
      </c>
      <c r="L37" s="687">
        <f>IF('Final Calculation Sheet'!$AF$9="","",'Final Calculation Sheet'!$AF$9)</f>
        <v/>
      </c>
      <c r="M37" s="741">
        <f>IF('Final Calculation Sheet'!$AF$14="","",'Final Calculation Sheet'!$AF$14)</f>
        <v/>
      </c>
      <c r="O37" s="687">
        <f>IF('Final Calculation Sheet'!$AF$13="","",'Final Calculation Sheet'!$AF$13)</f>
        <v/>
      </c>
      <c r="P37" s="742">
        <f>IF('Final Calculation Sheet'!$AF$16="","",'Final Calculation Sheet'!$AF$16)</f>
        <v/>
      </c>
      <c r="R37" s="687">
        <f>IF('Final Calculation Sheet'!$AF$27="","",'Final Calculation Sheet'!$AF$27)</f>
        <v/>
      </c>
      <c r="T37" s="740">
        <f>IF('Final Calculation Sheet'!$AF$18="","",'Final Calculation Sheet'!$AF$18)</f>
        <v/>
      </c>
      <c r="U37" s="687">
        <f>IF('Final Calculation Sheet'!$AF$19="","",'Final Calculation Sheet'!$AF$19)</f>
        <v/>
      </c>
      <c r="V37" s="740">
        <f>IF('Final Calculation Sheet'!$AF$22="","",'Final Calculation Sheet'!$AF$22)</f>
        <v/>
      </c>
      <c r="W37" s="687">
        <f>IF('Final Calculation Sheet'!$AF$24="","",'Final Calculation Sheet'!$AF$24)</f>
        <v/>
      </c>
      <c r="X37" s="740">
        <f>IF('Final Calculation Sheet'!$AF$26="","",'Final Calculation Sheet'!$AF$26)</f>
        <v/>
      </c>
      <c r="Z37" s="687">
        <f>IF('Final Calculation Sheet'!$AF$21="","",'Final Calculation Sheet'!$AF$21)</f>
        <v/>
      </c>
      <c r="AB37" s="743">
        <f>IF('Final Calculation Sheet'!$AF$20="","",'Final Calculation Sheet'!$AF$20)</f>
        <v/>
      </c>
      <c r="AD37" s="687">
        <f>IF('Final Calculation Sheet'!$AF$17="","",'Final Calculation Sheet'!$AF$17)</f>
        <v/>
      </c>
      <c r="AE37" s="742">
        <f>IF('Final Calculation Sheet'!$AF$23="","",'Final Calculation Sheet'!$AF$23)</f>
        <v/>
      </c>
      <c r="AF37" s="687">
        <f>IF('Final Calculation Sheet'!$AF$29="","",'Final Calculation Sheet'!$AF$29)</f>
        <v/>
      </c>
      <c r="AH37" s="738">
        <f>IF('Final Calculation Sheet'!$AF$25="","",'Final Calculation Sheet'!$AF$25)</f>
        <v/>
      </c>
      <c r="AI37" s="687">
        <f>IF('Final Calculation Sheet'!$AF$28="","",'Final Calculation Sheet'!$AF$28)</f>
        <v/>
      </c>
      <c r="AK37" s="740">
        <f>IF('Final Calculation Sheet'!$AF$30="","",'Final Calculation Sheet'!$AF$30)</f>
        <v/>
      </c>
      <c r="AL37" s="687">
        <f>IF('Final Calculation Sheet'!$AF$32="","",'Final Calculation Sheet'!$AF$32)</f>
        <v/>
      </c>
      <c r="AM37" s="740">
        <f>IF('Final Calculation Sheet'!$AF$33="","",'Final Calculation Sheet'!$AF$33)</f>
        <v/>
      </c>
      <c r="AO37" s="687">
        <f>IF('Final Calculation Sheet'!$AF$31="","",'Final Calculation Sheet'!$AF$31)</f>
        <v/>
      </c>
      <c r="AQ37" s="742">
        <f>IF('Final Calculation Sheet'!$AF$34="","",'Final Calculation Sheet'!$AF$34)</f>
        <v/>
      </c>
      <c r="AS37" s="687">
        <f>IF('Final Calculation Sheet'!$AF$4="","",'Final Calculation Sheet'!$AF$4)</f>
        <v/>
      </c>
      <c r="AU37" s="741">
        <f>IF('Final Calculation Sheet'!$AF$38="","",'Final Calculation Sheet'!$AF$38)</f>
        <v/>
      </c>
      <c r="AW37" s="687">
        <f>IF('Final Calculation Sheet'!$AF$37="","",'Final Calculation Sheet'!$AF$37)</f>
        <v/>
      </c>
      <c r="AY37" s="743">
        <f>IF('Final Calculation Sheet'!$AF$8="","",'Final Calculation Sheet'!$AF$8)</f>
        <v/>
      </c>
      <c r="BA37" s="687">
        <f>IF('Final Calculation Sheet'!$AF$39="","",'Final Calculation Sheet'!$AF$39)</f>
        <v/>
      </c>
      <c r="BB37" s="742">
        <f>IF('Final Calculation Sheet'!$AF$40="","",'Final Calculation Sheet'!$AF$40)</f>
        <v/>
      </c>
      <c r="BD37" s="687">
        <f>IF('Final Calculation Sheet'!$AF$36="","",'Final Calculation Sheet'!$AF$36)</f>
        <v/>
      </c>
      <c r="BF37" s="738">
        <f>IF('Final Calculation Sheet'!$AF$35="","",'Final Calculation Sheet'!$AF$35)</f>
        <v/>
      </c>
      <c r="BG37" s="688">
        <f>IF('Final Calculation Sheet'!$AF$41="","",'Final Calculation Sheet'!$AF$41)</f>
        <v/>
      </c>
    </row>
    <row r="38" ht="15" customHeight="1">
      <c r="A38" s="675" t="inlineStr">
        <is>
          <t>Doc./Invoice Date</t>
        </is>
      </c>
      <c r="B38" s="714">
        <f>IF('Final Calculation Sheet'!$AG$6="","",'Final Calculation Sheet'!$AG$6)</f>
        <v/>
      </c>
      <c r="C38" s="679">
        <f>IF('Final Calculation Sheet'!$AG$7="","",'Final Calculation Sheet'!$AG$7)</f>
        <v/>
      </c>
      <c r="E38" s="715">
        <f>IF('Final Calculation Sheet'!$AG$15="","",'Final Calculation Sheet'!$AG$15)</f>
        <v/>
      </c>
      <c r="G38" s="679">
        <f>IF('Final Calculation Sheet'!$AG$5="","",'Final Calculation Sheet'!$AG$5)</f>
        <v/>
      </c>
      <c r="H38" s="716">
        <f>IF('Final Calculation Sheet'!$AG$10="","",'Final Calculation Sheet'!$AG$10)</f>
        <v/>
      </c>
      <c r="I38" s="679">
        <f>IF('Final Calculation Sheet'!$AG$11="","",'Final Calculation Sheet'!$AG$11)</f>
        <v/>
      </c>
      <c r="J38" s="716">
        <f>IF('Final Calculation Sheet'!$AG$12="","",'Final Calculation Sheet'!$AG$12)</f>
        <v/>
      </c>
      <c r="L38" s="679">
        <f>IF('Final Calculation Sheet'!$AG$9="","",'Final Calculation Sheet'!$AG$9)</f>
        <v/>
      </c>
      <c r="M38" s="717">
        <f>IF('Final Calculation Sheet'!$AG$14="","",'Final Calculation Sheet'!$AG$14)</f>
        <v/>
      </c>
      <c r="O38" s="679">
        <f>IF('Final Calculation Sheet'!$AG$13="","",'Final Calculation Sheet'!$AG$13)</f>
        <v/>
      </c>
      <c r="P38" s="718">
        <f>IF('Final Calculation Sheet'!$AG$16="","",'Final Calculation Sheet'!$AG$16)</f>
        <v/>
      </c>
      <c r="R38" s="679">
        <f>IF('Final Calculation Sheet'!$AG$27="","",'Final Calculation Sheet'!$AG$27)</f>
        <v/>
      </c>
      <c r="T38" s="716">
        <f>IF('Final Calculation Sheet'!$AG$18="","",'Final Calculation Sheet'!$AG$18)</f>
        <v/>
      </c>
      <c r="U38" s="679">
        <f>IF('Final Calculation Sheet'!$AG$19="","",'Final Calculation Sheet'!$AG$19)</f>
        <v/>
      </c>
      <c r="V38" s="716">
        <f>IF('Final Calculation Sheet'!$AG$22="","",'Final Calculation Sheet'!$AG$22)</f>
        <v/>
      </c>
      <c r="W38" s="679">
        <f>IF('Final Calculation Sheet'!$AG$24="","",'Final Calculation Sheet'!$AG$24)</f>
        <v/>
      </c>
      <c r="X38" s="716">
        <f>IF('Final Calculation Sheet'!$AG$26="","",'Final Calculation Sheet'!$AG$26)</f>
        <v/>
      </c>
      <c r="Z38" s="679">
        <f>IF('Final Calculation Sheet'!$AG$21="","",'Final Calculation Sheet'!$AG$21)</f>
        <v/>
      </c>
      <c r="AB38" s="719">
        <f>IF('Final Calculation Sheet'!$AG$20="","",'Final Calculation Sheet'!$AG$20)</f>
        <v/>
      </c>
      <c r="AD38" s="679">
        <f>IF('Final Calculation Sheet'!$AG$17="","",'Final Calculation Sheet'!$AG$17)</f>
        <v/>
      </c>
      <c r="AE38" s="718">
        <f>IF('Final Calculation Sheet'!$AG$23="","",'Final Calculation Sheet'!$AG$23)</f>
        <v/>
      </c>
      <c r="AF38" s="679">
        <f>IF('Final Calculation Sheet'!$AG$29="","",'Final Calculation Sheet'!$AG$29)</f>
        <v/>
      </c>
      <c r="AH38" s="714">
        <f>IF('Final Calculation Sheet'!$AG$25="","",'Final Calculation Sheet'!$AG$25)</f>
        <v/>
      </c>
      <c r="AI38" s="679">
        <f>IF('Final Calculation Sheet'!$AG$28="","",'Final Calculation Sheet'!$AG$28)</f>
        <v/>
      </c>
      <c r="AK38" s="716">
        <f>IF('Final Calculation Sheet'!$AG$30="","",'Final Calculation Sheet'!$AG$30)</f>
        <v/>
      </c>
      <c r="AL38" s="679">
        <f>IF('Final Calculation Sheet'!$AG$32="","",'Final Calculation Sheet'!$AG$32)</f>
        <v/>
      </c>
      <c r="AM38" s="716">
        <f>IF('Final Calculation Sheet'!$AG$33="","",'Final Calculation Sheet'!$AG$33)</f>
        <v/>
      </c>
      <c r="AO38" s="679">
        <f>IF('Final Calculation Sheet'!$AG$31="","",'Final Calculation Sheet'!$AG$31)</f>
        <v/>
      </c>
      <c r="AQ38" s="718">
        <f>IF('Final Calculation Sheet'!$AG$34="","",'Final Calculation Sheet'!$AG$34)</f>
        <v/>
      </c>
      <c r="AS38" s="679">
        <f>IF('Final Calculation Sheet'!$AG$4="","",'Final Calculation Sheet'!$AG$4)</f>
        <v/>
      </c>
      <c r="AU38" s="717">
        <f>IF('Final Calculation Sheet'!$AG$38="","",'Final Calculation Sheet'!$AG$38)</f>
        <v/>
      </c>
      <c r="AW38" s="679">
        <f>IF('Final Calculation Sheet'!$AG$37="","",'Final Calculation Sheet'!$AG$37)</f>
        <v/>
      </c>
      <c r="AY38" s="719">
        <f>IF('Final Calculation Sheet'!$AG$8="","",'Final Calculation Sheet'!$AG$8)</f>
        <v/>
      </c>
      <c r="BA38" s="679">
        <f>IF('Final Calculation Sheet'!$AG$39="","",'Final Calculation Sheet'!$AG$39)</f>
        <v/>
      </c>
      <c r="BB38" s="718">
        <f>IF('Final Calculation Sheet'!$AG$40="","",'Final Calculation Sheet'!$AG$40)</f>
        <v/>
      </c>
      <c r="BD38" s="679">
        <f>IF('Final Calculation Sheet'!$AG$36="","",'Final Calculation Sheet'!$AG$36)</f>
        <v/>
      </c>
      <c r="BF38" s="714">
        <f>IF('Final Calculation Sheet'!$AG$35="","",'Final Calculation Sheet'!$AG$35)</f>
        <v/>
      </c>
      <c r="BG38" s="680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22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658" t="inlineStr">
        <is>
          <t>MSTC LIMITED  •  FINAL CALCULATION SHEET, TRANSPOSED   (field labels ↓ rows  |  values → columns)</t>
        </is>
      </c>
    </row>
    <row r="2" ht="32" customHeight="1">
      <c r="A2" s="659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689" t="inlineStr">
        <is>
          <t>AUCTION  →</t>
        </is>
      </c>
      <c r="B3" s="690" t="inlineStr">
        <is>
          <t>AUCTION 21977</t>
        </is>
      </c>
      <c r="C3" s="691" t="n"/>
      <c r="D3" s="691" t="n"/>
      <c r="E3" s="691" t="n"/>
      <c r="F3" s="691" t="n"/>
      <c r="G3" s="691" t="n"/>
      <c r="H3" s="691" t="n"/>
      <c r="I3" s="691" t="n"/>
      <c r="J3" s="691" t="n"/>
      <c r="K3" s="691" t="n"/>
      <c r="L3" s="691" t="n"/>
      <c r="M3" s="691" t="n"/>
      <c r="N3" s="691" t="n"/>
      <c r="O3" s="691" t="n"/>
      <c r="P3" s="691" t="n"/>
      <c r="R3" s="692" t="inlineStr">
        <is>
          <t>AUCTION 21978</t>
        </is>
      </c>
      <c r="S3" s="693" t="n"/>
      <c r="T3" s="693" t="n"/>
      <c r="U3" s="693" t="n"/>
      <c r="V3" s="693" t="n"/>
      <c r="W3" s="693" t="n"/>
      <c r="X3" s="693" t="n"/>
      <c r="Y3" s="693" t="n"/>
      <c r="Z3" s="693" t="n"/>
      <c r="AA3" s="693" t="n"/>
      <c r="AB3" s="693" t="n"/>
      <c r="AC3" s="693" t="n"/>
      <c r="AD3" s="693" t="n"/>
      <c r="AE3" s="693" t="n"/>
      <c r="AF3" s="693" t="n"/>
      <c r="AG3" s="693" t="n"/>
      <c r="AH3" s="693" t="n"/>
      <c r="AI3" s="693" t="n"/>
      <c r="AK3" s="694" t="inlineStr">
        <is>
          <t>AUCTION 21979</t>
        </is>
      </c>
      <c r="AL3" s="695" t="n"/>
      <c r="AM3" s="695" t="n"/>
      <c r="AN3" s="695" t="n"/>
      <c r="AO3" s="695" t="n"/>
      <c r="AP3" s="695" t="n"/>
      <c r="AQ3" s="695" t="n"/>
      <c r="AS3" s="696" t="inlineStr">
        <is>
          <t>AUCTION 21980</t>
        </is>
      </c>
      <c r="AT3" s="697" t="n"/>
      <c r="AU3" s="697" t="n"/>
      <c r="AV3" s="697" t="n"/>
      <c r="AW3" s="697" t="n"/>
      <c r="AX3" s="697" t="n"/>
      <c r="AY3" s="697" t="n"/>
      <c r="AZ3" s="697" t="n"/>
      <c r="BA3" s="697" t="n"/>
      <c r="BB3" s="697" t="n"/>
      <c r="BC3" s="697" t="n"/>
      <c r="BD3" s="697" t="n"/>
      <c r="BE3" s="697" t="n"/>
      <c r="BF3" s="697" t="n"/>
    </row>
    <row r="4" ht="46" customHeight="1">
      <c r="A4" s="689" t="inlineStr">
        <is>
          <t>BUYER  →</t>
        </is>
      </c>
      <c r="B4" s="698" t="inlineStr">
        <is>
          <t>F R KHANS ENTERPRISES  (2)</t>
        </is>
      </c>
      <c r="C4" s="691" t="n"/>
      <c r="E4" s="699" t="inlineStr">
        <is>
          <t>HIND TRADERS</t>
        </is>
      </c>
      <c r="G4" s="700" t="inlineStr">
        <is>
          <t>NATIONAL ENTERPRISES  (4)</t>
        </is>
      </c>
      <c r="H4" s="695" t="n"/>
      <c r="I4" s="695" t="n"/>
      <c r="J4" s="695" t="n"/>
      <c r="L4" s="701" t="inlineStr">
        <is>
          <t>SHAR JAHAN TRADERS  (2)</t>
        </is>
      </c>
      <c r="M4" s="697" t="n"/>
      <c r="O4" s="702" t="inlineStr">
        <is>
          <t>STERLING ENTERPRISES  (2)</t>
        </is>
      </c>
      <c r="P4" s="703" t="n"/>
      <c r="R4" s="704" t="inlineStr">
        <is>
          <t>M I SCRAP TRADERS</t>
        </is>
      </c>
      <c r="T4" s="700" t="inlineStr">
        <is>
          <t>NATIONAL ENTERPRISES  (5)</t>
        </is>
      </c>
      <c r="U4" s="695" t="n"/>
      <c r="V4" s="695" t="n"/>
      <c r="W4" s="695" t="n"/>
      <c r="X4" s="695" t="n"/>
      <c r="Z4" s="705" t="inlineStr">
        <is>
          <t>NATIONAL SCRAP AND BUILDING MATERIAL SUPPLIER</t>
        </is>
      </c>
      <c r="AB4" s="706" t="inlineStr">
        <is>
          <t>OMKAR STEELS</t>
        </is>
      </c>
      <c r="AD4" s="702" t="inlineStr">
        <is>
          <t>STERLING ENTERPRISES  (3)</t>
        </is>
      </c>
      <c r="AE4" s="703" t="n"/>
      <c r="AF4" s="703" t="n"/>
      <c r="AH4" s="698" t="inlineStr">
        <is>
          <t>WATAN SCRAP TRADERS  (2)</t>
        </is>
      </c>
      <c r="AI4" s="691" t="n"/>
      <c r="AK4" s="700" t="inlineStr">
        <is>
          <t>NATIONAL ENTERPRISES  (3)</t>
        </is>
      </c>
      <c r="AL4" s="695" t="n"/>
      <c r="AM4" s="695" t="n"/>
      <c r="AO4" s="699" t="inlineStr">
        <is>
          <t>SAHARA ENTERPRISES</t>
        </is>
      </c>
      <c r="AQ4" s="702" t="inlineStr">
        <is>
          <t>STERLING ENTERPRISES</t>
        </is>
      </c>
      <c r="AS4" s="700" t="inlineStr">
        <is>
          <t>AL HAMD TRADE CORPORATION</t>
        </is>
      </c>
      <c r="AU4" s="701" t="inlineStr">
        <is>
          <t>KASHYAP TRADING CO</t>
        </is>
      </c>
      <c r="AW4" s="700" t="inlineStr">
        <is>
          <t>NATIONAL ENTERPRISES</t>
        </is>
      </c>
      <c r="AY4" s="706" t="inlineStr">
        <is>
          <t>OMKAR STEELS</t>
        </is>
      </c>
      <c r="BA4" s="702" t="inlineStr">
        <is>
          <t>S M ENTERPRISES  (2)</t>
        </is>
      </c>
      <c r="BB4" s="703" t="n"/>
      <c r="BD4" s="702" t="inlineStr">
        <is>
          <t>STERLING ENTERPRISES</t>
        </is>
      </c>
      <c r="BF4" s="698" t="inlineStr">
        <is>
          <t>WATAN SCRAP TRADERS</t>
        </is>
      </c>
    </row>
    <row r="5" ht="30" customHeight="1">
      <c r="A5" s="669" t="inlineStr">
        <is>
          <t>FIELD (row 3 of the source)  ▸  |  LOT →</t>
        </is>
      </c>
      <c r="B5" s="670">
        <f>IF('Final Calculation Sheet'!$F$6="","",'Final Calculation Sheet'!$F$6)</f>
        <v/>
      </c>
      <c r="C5" s="670">
        <f>IF('Final Calculation Sheet'!$F$7="","",'Final Calculation Sheet'!$F$7)</f>
        <v/>
      </c>
      <c r="D5" s="707" t="n"/>
      <c r="E5" s="670">
        <f>IF('Final Calculation Sheet'!$F$15="","",'Final Calculation Sheet'!$F$15)</f>
        <v/>
      </c>
      <c r="F5" s="707" t="n"/>
      <c r="G5" s="670">
        <f>IF('Final Calculation Sheet'!$F$5="","",'Final Calculation Sheet'!$F$5)</f>
        <v/>
      </c>
      <c r="H5" s="670">
        <f>IF('Final Calculation Sheet'!$F$10="","",'Final Calculation Sheet'!$F$10)</f>
        <v/>
      </c>
      <c r="I5" s="670">
        <f>IF('Final Calculation Sheet'!$F$11="","",'Final Calculation Sheet'!$F$11)</f>
        <v/>
      </c>
      <c r="J5" s="670">
        <f>IF('Final Calculation Sheet'!$F$12="","",'Final Calculation Sheet'!$F$12)</f>
        <v/>
      </c>
      <c r="K5" s="707" t="n"/>
      <c r="L5" s="670">
        <f>IF('Final Calculation Sheet'!$F$9="","",'Final Calculation Sheet'!$F$9)</f>
        <v/>
      </c>
      <c r="M5" s="670">
        <f>IF('Final Calculation Sheet'!$F$14="","",'Final Calculation Sheet'!$F$14)</f>
        <v/>
      </c>
      <c r="N5" s="707" t="n"/>
      <c r="O5" s="670">
        <f>IF('Final Calculation Sheet'!$F$13="","",'Final Calculation Sheet'!$F$13)</f>
        <v/>
      </c>
      <c r="P5" s="670">
        <f>IF('Final Calculation Sheet'!$F$16="","",'Final Calculation Sheet'!$F$16)</f>
        <v/>
      </c>
      <c r="Q5" s="707" t="n"/>
      <c r="R5" s="671">
        <f>IF('Final Calculation Sheet'!$F$27="","",'Final Calculation Sheet'!$F$27)</f>
        <v/>
      </c>
      <c r="S5" s="707" t="n"/>
      <c r="T5" s="671">
        <f>IF('Final Calculation Sheet'!$F$18="","",'Final Calculation Sheet'!$F$18)</f>
        <v/>
      </c>
      <c r="U5" s="671">
        <f>IF('Final Calculation Sheet'!$F$19="","",'Final Calculation Sheet'!$F$19)</f>
        <v/>
      </c>
      <c r="V5" s="671">
        <f>IF('Final Calculation Sheet'!$F$22="","",'Final Calculation Sheet'!$F$22)</f>
        <v/>
      </c>
      <c r="W5" s="671">
        <f>IF('Final Calculation Sheet'!$F$24="","",'Final Calculation Sheet'!$F$24)</f>
        <v/>
      </c>
      <c r="X5" s="671">
        <f>IF('Final Calculation Sheet'!$F$26="","",'Final Calculation Sheet'!$F$26)</f>
        <v/>
      </c>
      <c r="Y5" s="707" t="n"/>
      <c r="Z5" s="671">
        <f>IF('Final Calculation Sheet'!$F$21="","",'Final Calculation Sheet'!$F$21)</f>
        <v/>
      </c>
      <c r="AA5" s="707" t="n"/>
      <c r="AB5" s="671">
        <f>IF('Final Calculation Sheet'!$F$20="","",'Final Calculation Sheet'!$F$20)</f>
        <v/>
      </c>
      <c r="AC5" s="707" t="n"/>
      <c r="AD5" s="671">
        <f>IF('Final Calculation Sheet'!$F$17="","",'Final Calculation Sheet'!$F$17)</f>
        <v/>
      </c>
      <c r="AE5" s="671">
        <f>IF('Final Calculation Sheet'!$F$23="","",'Final Calculation Sheet'!$F$23)</f>
        <v/>
      </c>
      <c r="AF5" s="671">
        <f>IF('Final Calculation Sheet'!$F$29="","",'Final Calculation Sheet'!$F$29)</f>
        <v/>
      </c>
      <c r="AG5" s="707" t="n"/>
      <c r="AH5" s="671">
        <f>IF('Final Calculation Sheet'!$F$25="","",'Final Calculation Sheet'!$F$25)</f>
        <v/>
      </c>
      <c r="AI5" s="671">
        <f>IF('Final Calculation Sheet'!$F$28="","",'Final Calculation Sheet'!$F$28)</f>
        <v/>
      </c>
      <c r="AJ5" s="707" t="n"/>
      <c r="AK5" s="672">
        <f>IF('Final Calculation Sheet'!$F$30="","",'Final Calculation Sheet'!$F$30)</f>
        <v/>
      </c>
      <c r="AL5" s="672">
        <f>IF('Final Calculation Sheet'!$F$32="","",'Final Calculation Sheet'!$F$32)</f>
        <v/>
      </c>
      <c r="AM5" s="672">
        <f>IF('Final Calculation Sheet'!$F$33="","",'Final Calculation Sheet'!$F$33)</f>
        <v/>
      </c>
      <c r="AN5" s="707" t="n"/>
      <c r="AO5" s="672">
        <f>IF('Final Calculation Sheet'!$F$31="","",'Final Calculation Sheet'!$F$31)</f>
        <v/>
      </c>
      <c r="AP5" s="707" t="n"/>
      <c r="AQ5" s="672">
        <f>IF('Final Calculation Sheet'!$F$34="","",'Final Calculation Sheet'!$F$34)</f>
        <v/>
      </c>
      <c r="AR5" s="707" t="n"/>
      <c r="AS5" s="673">
        <f>IF('Final Calculation Sheet'!$F$4="","",'Final Calculation Sheet'!$F$4)</f>
        <v/>
      </c>
      <c r="AT5" s="707" t="n"/>
      <c r="AU5" s="673">
        <f>IF('Final Calculation Sheet'!$F$38="","",'Final Calculation Sheet'!$F$38)</f>
        <v/>
      </c>
      <c r="AV5" s="707" t="n"/>
      <c r="AW5" s="673">
        <f>IF('Final Calculation Sheet'!$F$37="","",'Final Calculation Sheet'!$F$37)</f>
        <v/>
      </c>
      <c r="AX5" s="707" t="n"/>
      <c r="AY5" s="673">
        <f>IF('Final Calculation Sheet'!$F$8="","",'Final Calculation Sheet'!$F$8)</f>
        <v/>
      </c>
      <c r="AZ5" s="707" t="n"/>
      <c r="BA5" s="673">
        <f>IF('Final Calculation Sheet'!$F$39="","",'Final Calculation Sheet'!$F$39)</f>
        <v/>
      </c>
      <c r="BB5" s="673">
        <f>IF('Final Calculation Sheet'!$F$40="","",'Final Calculation Sheet'!$F$40)</f>
        <v/>
      </c>
      <c r="BC5" s="707" t="n"/>
      <c r="BD5" s="673">
        <f>IF('Final Calculation Sheet'!$F$36="","",'Final Calculation Sheet'!$F$36)</f>
        <v/>
      </c>
      <c r="BE5" s="707" t="n"/>
      <c r="BF5" s="673">
        <f>IF('Final Calculation Sheet'!$F$35="","",'Final Calculation Sheet'!$F$35)</f>
        <v/>
      </c>
      <c r="BG5" s="674" t="inlineStr">
        <is>
          <t>TOTAL (src row 41)</t>
        </is>
      </c>
    </row>
    <row r="6" ht="15" customHeight="1">
      <c r="A6" s="675" t="inlineStr">
        <is>
          <t>Quantity</t>
        </is>
      </c>
      <c r="B6" s="708">
        <f>IF('Final Calculation Sheet'!$A$6="","",'Final Calculation Sheet'!$A$6)</f>
        <v/>
      </c>
      <c r="C6" s="676">
        <f>IF('Final Calculation Sheet'!$A$7="","",'Final Calculation Sheet'!$A$7)</f>
        <v/>
      </c>
      <c r="E6" s="709">
        <f>IF('Final Calculation Sheet'!$A$15="","",'Final Calculation Sheet'!$A$15)</f>
        <v/>
      </c>
      <c r="G6" s="676">
        <f>IF('Final Calculation Sheet'!$A$5="","",'Final Calculation Sheet'!$A$5)</f>
        <v/>
      </c>
      <c r="H6" s="710">
        <f>IF('Final Calculation Sheet'!$A$10="","",'Final Calculation Sheet'!$A$10)</f>
        <v/>
      </c>
      <c r="I6" s="676">
        <f>IF('Final Calculation Sheet'!$A$11="","",'Final Calculation Sheet'!$A$11)</f>
        <v/>
      </c>
      <c r="J6" s="710">
        <f>IF('Final Calculation Sheet'!$A$12="","",'Final Calculation Sheet'!$A$12)</f>
        <v/>
      </c>
      <c r="L6" s="676">
        <f>IF('Final Calculation Sheet'!$A$9="","",'Final Calculation Sheet'!$A$9)</f>
        <v/>
      </c>
      <c r="M6" s="711">
        <f>IF('Final Calculation Sheet'!$A$14="","",'Final Calculation Sheet'!$A$14)</f>
        <v/>
      </c>
      <c r="O6" s="676">
        <f>IF('Final Calculation Sheet'!$A$13="","",'Final Calculation Sheet'!$A$13)</f>
        <v/>
      </c>
      <c r="P6" s="712">
        <f>IF('Final Calculation Sheet'!$A$16="","",'Final Calculation Sheet'!$A$16)</f>
        <v/>
      </c>
      <c r="R6" s="676">
        <f>IF('Final Calculation Sheet'!$A$27="","",'Final Calculation Sheet'!$A$27)</f>
        <v/>
      </c>
      <c r="T6" s="710">
        <f>IF('Final Calculation Sheet'!$A$18="","",'Final Calculation Sheet'!$A$18)</f>
        <v/>
      </c>
      <c r="U6" s="676">
        <f>IF('Final Calculation Sheet'!$A$19="","",'Final Calculation Sheet'!$A$19)</f>
        <v/>
      </c>
      <c r="V6" s="710">
        <f>IF('Final Calculation Sheet'!$A$22="","",'Final Calculation Sheet'!$A$22)</f>
        <v/>
      </c>
      <c r="W6" s="676">
        <f>IF('Final Calculation Sheet'!$A$24="","",'Final Calculation Sheet'!$A$24)</f>
        <v/>
      </c>
      <c r="X6" s="710">
        <f>IF('Final Calculation Sheet'!$A$26="","",'Final Calculation Sheet'!$A$26)</f>
        <v/>
      </c>
      <c r="Z6" s="676">
        <f>IF('Final Calculation Sheet'!$A$21="","",'Final Calculation Sheet'!$A$21)</f>
        <v/>
      </c>
      <c r="AB6" s="713">
        <f>IF('Final Calculation Sheet'!$A$20="","",'Final Calculation Sheet'!$A$20)</f>
        <v/>
      </c>
      <c r="AD6" s="676">
        <f>IF('Final Calculation Sheet'!$A$17="","",'Final Calculation Sheet'!$A$17)</f>
        <v/>
      </c>
      <c r="AE6" s="712">
        <f>IF('Final Calculation Sheet'!$A$23="","",'Final Calculation Sheet'!$A$23)</f>
        <v/>
      </c>
      <c r="AF6" s="676">
        <f>IF('Final Calculation Sheet'!$A$29="","",'Final Calculation Sheet'!$A$29)</f>
        <v/>
      </c>
      <c r="AH6" s="708">
        <f>IF('Final Calculation Sheet'!$A$25="","",'Final Calculation Sheet'!$A$25)</f>
        <v/>
      </c>
      <c r="AI6" s="676">
        <f>IF('Final Calculation Sheet'!$A$28="","",'Final Calculation Sheet'!$A$28)</f>
        <v/>
      </c>
      <c r="AK6" s="710">
        <f>IF('Final Calculation Sheet'!$A$30="","",'Final Calculation Sheet'!$A$30)</f>
        <v/>
      </c>
      <c r="AL6" s="676">
        <f>IF('Final Calculation Sheet'!$A$32="","",'Final Calculation Sheet'!$A$32)</f>
        <v/>
      </c>
      <c r="AM6" s="710">
        <f>IF('Final Calculation Sheet'!$A$33="","",'Final Calculation Sheet'!$A$33)</f>
        <v/>
      </c>
      <c r="AO6" s="676">
        <f>IF('Final Calculation Sheet'!$A$31="","",'Final Calculation Sheet'!$A$31)</f>
        <v/>
      </c>
      <c r="AQ6" s="712">
        <f>IF('Final Calculation Sheet'!$A$34="","",'Final Calculation Sheet'!$A$34)</f>
        <v/>
      </c>
      <c r="AS6" s="676">
        <f>IF('Final Calculation Sheet'!$A$4="","",'Final Calculation Sheet'!$A$4)</f>
        <v/>
      </c>
      <c r="AU6" s="711">
        <f>IF('Final Calculation Sheet'!$A$38="","",'Final Calculation Sheet'!$A$38)</f>
        <v/>
      </c>
      <c r="AW6" s="676">
        <f>IF('Final Calculation Sheet'!$A$37="","",'Final Calculation Sheet'!$A$37)</f>
        <v/>
      </c>
      <c r="AY6" s="713">
        <f>IF('Final Calculation Sheet'!$A$8="","",'Final Calculation Sheet'!$A$8)</f>
        <v/>
      </c>
      <c r="BA6" s="676">
        <f>IF('Final Calculation Sheet'!$A$39="","",'Final Calculation Sheet'!$A$39)</f>
        <v/>
      </c>
      <c r="BB6" s="712">
        <f>IF('Final Calculation Sheet'!$A$40="","",'Final Calculation Sheet'!$A$40)</f>
        <v/>
      </c>
      <c r="BD6" s="676">
        <f>IF('Final Calculation Sheet'!$A$36="","",'Final Calculation Sheet'!$A$36)</f>
        <v/>
      </c>
      <c r="BF6" s="708">
        <f>IF('Final Calculation Sheet'!$A$35="","",'Final Calculation Sheet'!$A$35)</f>
        <v/>
      </c>
      <c r="BG6" s="677">
        <f>IF('Final Calculation Sheet'!$A$41="","",'Final Calculation Sheet'!$A$41)</f>
        <v/>
      </c>
    </row>
    <row r="7" ht="15" customHeight="1">
      <c r="A7" s="678" t="inlineStr">
        <is>
          <t>Lot Name</t>
        </is>
      </c>
      <c r="B7" s="708">
        <f>IF('Final Calculation Sheet'!$B$6="","",'Final Calculation Sheet'!$B$6)</f>
        <v/>
      </c>
      <c r="C7" s="676">
        <f>IF('Final Calculation Sheet'!$B$7="","",'Final Calculation Sheet'!$B$7)</f>
        <v/>
      </c>
      <c r="E7" s="709">
        <f>IF('Final Calculation Sheet'!$B$15="","",'Final Calculation Sheet'!$B$15)</f>
        <v/>
      </c>
      <c r="G7" s="676">
        <f>IF('Final Calculation Sheet'!$B$5="","",'Final Calculation Sheet'!$B$5)</f>
        <v/>
      </c>
      <c r="H7" s="710">
        <f>IF('Final Calculation Sheet'!$B$10="","",'Final Calculation Sheet'!$B$10)</f>
        <v/>
      </c>
      <c r="I7" s="676">
        <f>IF('Final Calculation Sheet'!$B$11="","",'Final Calculation Sheet'!$B$11)</f>
        <v/>
      </c>
      <c r="J7" s="710">
        <f>IF('Final Calculation Sheet'!$B$12="","",'Final Calculation Sheet'!$B$12)</f>
        <v/>
      </c>
      <c r="L7" s="676">
        <f>IF('Final Calculation Sheet'!$B$9="","",'Final Calculation Sheet'!$B$9)</f>
        <v/>
      </c>
      <c r="M7" s="711">
        <f>IF('Final Calculation Sheet'!$B$14="","",'Final Calculation Sheet'!$B$14)</f>
        <v/>
      </c>
      <c r="O7" s="676">
        <f>IF('Final Calculation Sheet'!$B$13="","",'Final Calculation Sheet'!$B$13)</f>
        <v/>
      </c>
      <c r="P7" s="712">
        <f>IF('Final Calculation Sheet'!$B$16="","",'Final Calculation Sheet'!$B$16)</f>
        <v/>
      </c>
      <c r="R7" s="676">
        <f>IF('Final Calculation Sheet'!$B$27="","",'Final Calculation Sheet'!$B$27)</f>
        <v/>
      </c>
      <c r="T7" s="710">
        <f>IF('Final Calculation Sheet'!$B$18="","",'Final Calculation Sheet'!$B$18)</f>
        <v/>
      </c>
      <c r="U7" s="676">
        <f>IF('Final Calculation Sheet'!$B$19="","",'Final Calculation Sheet'!$B$19)</f>
        <v/>
      </c>
      <c r="V7" s="710">
        <f>IF('Final Calculation Sheet'!$B$22="","",'Final Calculation Sheet'!$B$22)</f>
        <v/>
      </c>
      <c r="W7" s="676">
        <f>IF('Final Calculation Sheet'!$B$24="","",'Final Calculation Sheet'!$B$24)</f>
        <v/>
      </c>
      <c r="X7" s="710">
        <f>IF('Final Calculation Sheet'!$B$26="","",'Final Calculation Sheet'!$B$26)</f>
        <v/>
      </c>
      <c r="Z7" s="676">
        <f>IF('Final Calculation Sheet'!$B$21="","",'Final Calculation Sheet'!$B$21)</f>
        <v/>
      </c>
      <c r="AB7" s="713">
        <f>IF('Final Calculation Sheet'!$B$20="","",'Final Calculation Sheet'!$B$20)</f>
        <v/>
      </c>
      <c r="AD7" s="676">
        <f>IF('Final Calculation Sheet'!$B$17="","",'Final Calculation Sheet'!$B$17)</f>
        <v/>
      </c>
      <c r="AE7" s="712">
        <f>IF('Final Calculation Sheet'!$B$23="","",'Final Calculation Sheet'!$B$23)</f>
        <v/>
      </c>
      <c r="AF7" s="676">
        <f>IF('Final Calculation Sheet'!$B$29="","",'Final Calculation Sheet'!$B$29)</f>
        <v/>
      </c>
      <c r="AH7" s="708">
        <f>IF('Final Calculation Sheet'!$B$25="","",'Final Calculation Sheet'!$B$25)</f>
        <v/>
      </c>
      <c r="AI7" s="676">
        <f>IF('Final Calculation Sheet'!$B$28="","",'Final Calculation Sheet'!$B$28)</f>
        <v/>
      </c>
      <c r="AK7" s="710">
        <f>IF('Final Calculation Sheet'!$B$30="","",'Final Calculation Sheet'!$B$30)</f>
        <v/>
      </c>
      <c r="AL7" s="676">
        <f>IF('Final Calculation Sheet'!$B$32="","",'Final Calculation Sheet'!$B$32)</f>
        <v/>
      </c>
      <c r="AM7" s="710">
        <f>IF('Final Calculation Sheet'!$B$33="","",'Final Calculation Sheet'!$B$33)</f>
        <v/>
      </c>
      <c r="AO7" s="676">
        <f>IF('Final Calculation Sheet'!$B$31="","",'Final Calculation Sheet'!$B$31)</f>
        <v/>
      </c>
      <c r="AQ7" s="712">
        <f>IF('Final Calculation Sheet'!$B$34="","",'Final Calculation Sheet'!$B$34)</f>
        <v/>
      </c>
      <c r="AS7" s="676">
        <f>IF('Final Calculation Sheet'!$B$4="","",'Final Calculation Sheet'!$B$4)</f>
        <v/>
      </c>
      <c r="AU7" s="711">
        <f>IF('Final Calculation Sheet'!$B$38="","",'Final Calculation Sheet'!$B$38)</f>
        <v/>
      </c>
      <c r="AW7" s="676">
        <f>IF('Final Calculation Sheet'!$B$37="","",'Final Calculation Sheet'!$B$37)</f>
        <v/>
      </c>
      <c r="AY7" s="713">
        <f>IF('Final Calculation Sheet'!$B$8="","",'Final Calculation Sheet'!$B$8)</f>
        <v/>
      </c>
      <c r="BA7" s="676">
        <f>IF('Final Calculation Sheet'!$B$39="","",'Final Calculation Sheet'!$B$39)</f>
        <v/>
      </c>
      <c r="BB7" s="712">
        <f>IF('Final Calculation Sheet'!$B$40="","",'Final Calculation Sheet'!$B$40)</f>
        <v/>
      </c>
      <c r="BD7" s="676">
        <f>IF('Final Calculation Sheet'!$B$36="","",'Final Calculation Sheet'!$B$36)</f>
        <v/>
      </c>
      <c r="BF7" s="708">
        <f>IF('Final Calculation Sheet'!$B$35="","",'Final Calculation Sheet'!$B$35)</f>
        <v/>
      </c>
      <c r="BG7" s="677">
        <f>IF('Final Calculation Sheet'!$B$41="","",'Final Calculation Sheet'!$B$41)</f>
        <v/>
      </c>
    </row>
    <row r="8" ht="15" customHeight="1">
      <c r="A8" s="675" t="inlineStr">
        <is>
          <t>Rate</t>
        </is>
      </c>
      <c r="B8" s="714">
        <f>IF('Final Calculation Sheet'!$C$6="","",'Final Calculation Sheet'!$C$6)</f>
        <v/>
      </c>
      <c r="C8" s="679">
        <f>IF('Final Calculation Sheet'!$C$7="","",'Final Calculation Sheet'!$C$7)</f>
        <v/>
      </c>
      <c r="E8" s="715">
        <f>IF('Final Calculation Sheet'!$C$15="","",'Final Calculation Sheet'!$C$15)</f>
        <v/>
      </c>
      <c r="G8" s="679">
        <f>IF('Final Calculation Sheet'!$C$5="","",'Final Calculation Sheet'!$C$5)</f>
        <v/>
      </c>
      <c r="H8" s="716">
        <f>IF('Final Calculation Sheet'!$C$10="","",'Final Calculation Sheet'!$C$10)</f>
        <v/>
      </c>
      <c r="I8" s="679">
        <f>IF('Final Calculation Sheet'!$C$11="","",'Final Calculation Sheet'!$C$11)</f>
        <v/>
      </c>
      <c r="J8" s="716">
        <f>IF('Final Calculation Sheet'!$C$12="","",'Final Calculation Sheet'!$C$12)</f>
        <v/>
      </c>
      <c r="L8" s="679">
        <f>IF('Final Calculation Sheet'!$C$9="","",'Final Calculation Sheet'!$C$9)</f>
        <v/>
      </c>
      <c r="M8" s="717">
        <f>IF('Final Calculation Sheet'!$C$14="","",'Final Calculation Sheet'!$C$14)</f>
        <v/>
      </c>
      <c r="O8" s="679">
        <f>IF('Final Calculation Sheet'!$C$13="","",'Final Calculation Sheet'!$C$13)</f>
        <v/>
      </c>
      <c r="P8" s="718">
        <f>IF('Final Calculation Sheet'!$C$16="","",'Final Calculation Sheet'!$C$16)</f>
        <v/>
      </c>
      <c r="R8" s="679">
        <f>IF('Final Calculation Sheet'!$C$27="","",'Final Calculation Sheet'!$C$27)</f>
        <v/>
      </c>
      <c r="T8" s="716">
        <f>IF('Final Calculation Sheet'!$C$18="","",'Final Calculation Sheet'!$C$18)</f>
        <v/>
      </c>
      <c r="U8" s="679">
        <f>IF('Final Calculation Sheet'!$C$19="","",'Final Calculation Sheet'!$C$19)</f>
        <v/>
      </c>
      <c r="V8" s="716">
        <f>IF('Final Calculation Sheet'!$C$22="","",'Final Calculation Sheet'!$C$22)</f>
        <v/>
      </c>
      <c r="W8" s="679">
        <f>IF('Final Calculation Sheet'!$C$24="","",'Final Calculation Sheet'!$C$24)</f>
        <v/>
      </c>
      <c r="X8" s="716">
        <f>IF('Final Calculation Sheet'!$C$26="","",'Final Calculation Sheet'!$C$26)</f>
        <v/>
      </c>
      <c r="Z8" s="679">
        <f>IF('Final Calculation Sheet'!$C$21="","",'Final Calculation Sheet'!$C$21)</f>
        <v/>
      </c>
      <c r="AB8" s="719">
        <f>IF('Final Calculation Sheet'!$C$20="","",'Final Calculation Sheet'!$C$20)</f>
        <v/>
      </c>
      <c r="AD8" s="679">
        <f>IF('Final Calculation Sheet'!$C$17="","",'Final Calculation Sheet'!$C$17)</f>
        <v/>
      </c>
      <c r="AE8" s="718">
        <f>IF('Final Calculation Sheet'!$C$23="","",'Final Calculation Sheet'!$C$23)</f>
        <v/>
      </c>
      <c r="AF8" s="679">
        <f>IF('Final Calculation Sheet'!$C$29="","",'Final Calculation Sheet'!$C$29)</f>
        <v/>
      </c>
      <c r="AH8" s="714">
        <f>IF('Final Calculation Sheet'!$C$25="","",'Final Calculation Sheet'!$C$25)</f>
        <v/>
      </c>
      <c r="AI8" s="679">
        <f>IF('Final Calculation Sheet'!$C$28="","",'Final Calculation Sheet'!$C$28)</f>
        <v/>
      </c>
      <c r="AK8" s="716">
        <f>IF('Final Calculation Sheet'!$C$30="","",'Final Calculation Sheet'!$C$30)</f>
        <v/>
      </c>
      <c r="AL8" s="679">
        <f>IF('Final Calculation Sheet'!$C$32="","",'Final Calculation Sheet'!$C$32)</f>
        <v/>
      </c>
      <c r="AM8" s="716">
        <f>IF('Final Calculation Sheet'!$C$33="","",'Final Calculation Sheet'!$C$33)</f>
        <v/>
      </c>
      <c r="AO8" s="679">
        <f>IF('Final Calculation Sheet'!$C$31="","",'Final Calculation Sheet'!$C$31)</f>
        <v/>
      </c>
      <c r="AQ8" s="718">
        <f>IF('Final Calculation Sheet'!$C$34="","",'Final Calculation Sheet'!$C$34)</f>
        <v/>
      </c>
      <c r="AS8" s="679">
        <f>IF('Final Calculation Sheet'!$C$4="","",'Final Calculation Sheet'!$C$4)</f>
        <v/>
      </c>
      <c r="AU8" s="717">
        <f>IF('Final Calculation Sheet'!$C$38="","",'Final Calculation Sheet'!$C$38)</f>
        <v/>
      </c>
      <c r="AW8" s="679">
        <f>IF('Final Calculation Sheet'!$C$37="","",'Final Calculation Sheet'!$C$37)</f>
        <v/>
      </c>
      <c r="AY8" s="719">
        <f>IF('Final Calculation Sheet'!$C$8="","",'Final Calculation Sheet'!$C$8)</f>
        <v/>
      </c>
      <c r="BA8" s="679">
        <f>IF('Final Calculation Sheet'!$C$39="","",'Final Calculation Sheet'!$C$39)</f>
        <v/>
      </c>
      <c r="BB8" s="718">
        <f>IF('Final Calculation Sheet'!$C$40="","",'Final Calculation Sheet'!$C$40)</f>
        <v/>
      </c>
      <c r="BD8" s="679">
        <f>IF('Final Calculation Sheet'!$C$36="","",'Final Calculation Sheet'!$C$36)</f>
        <v/>
      </c>
      <c r="BF8" s="714">
        <f>IF('Final Calculation Sheet'!$C$35="","",'Final Calculation Sheet'!$C$35)</f>
        <v/>
      </c>
      <c r="BG8" s="680">
        <f>IF('Final Calculation Sheet'!$C$41="","",'Final Calculation Sheet'!$C$41)</f>
        <v/>
      </c>
    </row>
    <row r="9" ht="15" customHeight="1">
      <c r="A9" s="678" t="inlineStr">
        <is>
          <t>Bid Sheet</t>
        </is>
      </c>
      <c r="B9" s="708">
        <f>IF('Final Calculation Sheet'!$D$6="","",'Final Calculation Sheet'!$D$6)</f>
        <v/>
      </c>
      <c r="C9" s="676">
        <f>IF('Final Calculation Sheet'!$D$7="","",'Final Calculation Sheet'!$D$7)</f>
        <v/>
      </c>
      <c r="E9" s="709">
        <f>IF('Final Calculation Sheet'!$D$15="","",'Final Calculation Sheet'!$D$15)</f>
        <v/>
      </c>
      <c r="G9" s="676">
        <f>IF('Final Calculation Sheet'!$D$5="","",'Final Calculation Sheet'!$D$5)</f>
        <v/>
      </c>
      <c r="H9" s="710">
        <f>IF('Final Calculation Sheet'!$D$10="","",'Final Calculation Sheet'!$D$10)</f>
        <v/>
      </c>
      <c r="I9" s="676">
        <f>IF('Final Calculation Sheet'!$D$11="","",'Final Calculation Sheet'!$D$11)</f>
        <v/>
      </c>
      <c r="J9" s="710">
        <f>IF('Final Calculation Sheet'!$D$12="","",'Final Calculation Sheet'!$D$12)</f>
        <v/>
      </c>
      <c r="L9" s="676">
        <f>IF('Final Calculation Sheet'!$D$9="","",'Final Calculation Sheet'!$D$9)</f>
        <v/>
      </c>
      <c r="M9" s="711">
        <f>IF('Final Calculation Sheet'!$D$14="","",'Final Calculation Sheet'!$D$14)</f>
        <v/>
      </c>
      <c r="O9" s="676">
        <f>IF('Final Calculation Sheet'!$D$13="","",'Final Calculation Sheet'!$D$13)</f>
        <v/>
      </c>
      <c r="P9" s="712">
        <f>IF('Final Calculation Sheet'!$D$16="","",'Final Calculation Sheet'!$D$16)</f>
        <v/>
      </c>
      <c r="R9" s="676">
        <f>IF('Final Calculation Sheet'!$D$27="","",'Final Calculation Sheet'!$D$27)</f>
        <v/>
      </c>
      <c r="T9" s="710">
        <f>IF('Final Calculation Sheet'!$D$18="","",'Final Calculation Sheet'!$D$18)</f>
        <v/>
      </c>
      <c r="U9" s="676">
        <f>IF('Final Calculation Sheet'!$D$19="","",'Final Calculation Sheet'!$D$19)</f>
        <v/>
      </c>
      <c r="V9" s="710">
        <f>IF('Final Calculation Sheet'!$D$22="","",'Final Calculation Sheet'!$D$22)</f>
        <v/>
      </c>
      <c r="W9" s="676">
        <f>IF('Final Calculation Sheet'!$D$24="","",'Final Calculation Sheet'!$D$24)</f>
        <v/>
      </c>
      <c r="X9" s="710">
        <f>IF('Final Calculation Sheet'!$D$26="","",'Final Calculation Sheet'!$D$26)</f>
        <v/>
      </c>
      <c r="Z9" s="676">
        <f>IF('Final Calculation Sheet'!$D$21="","",'Final Calculation Sheet'!$D$21)</f>
        <v/>
      </c>
      <c r="AB9" s="713">
        <f>IF('Final Calculation Sheet'!$D$20="","",'Final Calculation Sheet'!$D$20)</f>
        <v/>
      </c>
      <c r="AD9" s="676">
        <f>IF('Final Calculation Sheet'!$D$17="","",'Final Calculation Sheet'!$D$17)</f>
        <v/>
      </c>
      <c r="AE9" s="712">
        <f>IF('Final Calculation Sheet'!$D$23="","",'Final Calculation Sheet'!$D$23)</f>
        <v/>
      </c>
      <c r="AF9" s="676">
        <f>IF('Final Calculation Sheet'!$D$29="","",'Final Calculation Sheet'!$D$29)</f>
        <v/>
      </c>
      <c r="AH9" s="708">
        <f>IF('Final Calculation Sheet'!$D$25="","",'Final Calculation Sheet'!$D$25)</f>
        <v/>
      </c>
      <c r="AI9" s="676">
        <f>IF('Final Calculation Sheet'!$D$28="","",'Final Calculation Sheet'!$D$28)</f>
        <v/>
      </c>
      <c r="AK9" s="710">
        <f>IF('Final Calculation Sheet'!$D$30="","",'Final Calculation Sheet'!$D$30)</f>
        <v/>
      </c>
      <c r="AL9" s="676">
        <f>IF('Final Calculation Sheet'!$D$32="","",'Final Calculation Sheet'!$D$32)</f>
        <v/>
      </c>
      <c r="AM9" s="710">
        <f>IF('Final Calculation Sheet'!$D$33="","",'Final Calculation Sheet'!$D$33)</f>
        <v/>
      </c>
      <c r="AO9" s="676">
        <f>IF('Final Calculation Sheet'!$D$31="","",'Final Calculation Sheet'!$D$31)</f>
        <v/>
      </c>
      <c r="AQ9" s="712">
        <f>IF('Final Calculation Sheet'!$D$34="","",'Final Calculation Sheet'!$D$34)</f>
        <v/>
      </c>
      <c r="AS9" s="676">
        <f>IF('Final Calculation Sheet'!$D$4="","",'Final Calculation Sheet'!$D$4)</f>
        <v/>
      </c>
      <c r="AU9" s="711">
        <f>IF('Final Calculation Sheet'!$D$38="","",'Final Calculation Sheet'!$D$38)</f>
        <v/>
      </c>
      <c r="AW9" s="676">
        <f>IF('Final Calculation Sheet'!$D$37="","",'Final Calculation Sheet'!$D$37)</f>
        <v/>
      </c>
      <c r="AY9" s="713">
        <f>IF('Final Calculation Sheet'!$D$8="","",'Final Calculation Sheet'!$D$8)</f>
        <v/>
      </c>
      <c r="BA9" s="676">
        <f>IF('Final Calculation Sheet'!$D$39="","",'Final Calculation Sheet'!$D$39)</f>
        <v/>
      </c>
      <c r="BB9" s="712">
        <f>IF('Final Calculation Sheet'!$D$40="","",'Final Calculation Sheet'!$D$40)</f>
        <v/>
      </c>
      <c r="BD9" s="676">
        <f>IF('Final Calculation Sheet'!$D$36="","",'Final Calculation Sheet'!$D$36)</f>
        <v/>
      </c>
      <c r="BF9" s="708">
        <f>IF('Final Calculation Sheet'!$D$35="","",'Final Calculation Sheet'!$D$35)</f>
        <v/>
      </c>
      <c r="BG9" s="677">
        <f>IF('Final Calculation Sheet'!$D$41="","",'Final Calculation Sheet'!$D$41)</f>
        <v/>
      </c>
    </row>
    <row r="10" ht="15" customHeight="1">
      <c r="A10" s="675" t="inlineStr">
        <is>
          <t>Unit</t>
        </is>
      </c>
      <c r="B10" s="708">
        <f>IF('Final Calculation Sheet'!$E$6="","",'Final Calculation Sheet'!$E$6)</f>
        <v/>
      </c>
      <c r="C10" s="676">
        <f>IF('Final Calculation Sheet'!$E$7="","",'Final Calculation Sheet'!$E$7)</f>
        <v/>
      </c>
      <c r="E10" s="709">
        <f>IF('Final Calculation Sheet'!$E$15="","",'Final Calculation Sheet'!$E$15)</f>
        <v/>
      </c>
      <c r="G10" s="676">
        <f>IF('Final Calculation Sheet'!$E$5="","",'Final Calculation Sheet'!$E$5)</f>
        <v/>
      </c>
      <c r="H10" s="710">
        <f>IF('Final Calculation Sheet'!$E$10="","",'Final Calculation Sheet'!$E$10)</f>
        <v/>
      </c>
      <c r="I10" s="676">
        <f>IF('Final Calculation Sheet'!$E$11="","",'Final Calculation Sheet'!$E$11)</f>
        <v/>
      </c>
      <c r="J10" s="710">
        <f>IF('Final Calculation Sheet'!$E$12="","",'Final Calculation Sheet'!$E$12)</f>
        <v/>
      </c>
      <c r="L10" s="676">
        <f>IF('Final Calculation Sheet'!$E$9="","",'Final Calculation Sheet'!$E$9)</f>
        <v/>
      </c>
      <c r="M10" s="711">
        <f>IF('Final Calculation Sheet'!$E$14="","",'Final Calculation Sheet'!$E$14)</f>
        <v/>
      </c>
      <c r="O10" s="676">
        <f>IF('Final Calculation Sheet'!$E$13="","",'Final Calculation Sheet'!$E$13)</f>
        <v/>
      </c>
      <c r="P10" s="712">
        <f>IF('Final Calculation Sheet'!$E$16="","",'Final Calculation Sheet'!$E$16)</f>
        <v/>
      </c>
      <c r="R10" s="676">
        <f>IF('Final Calculation Sheet'!$E$27="","",'Final Calculation Sheet'!$E$27)</f>
        <v/>
      </c>
      <c r="T10" s="710">
        <f>IF('Final Calculation Sheet'!$E$18="","",'Final Calculation Sheet'!$E$18)</f>
        <v/>
      </c>
      <c r="U10" s="676">
        <f>IF('Final Calculation Sheet'!$E$19="","",'Final Calculation Sheet'!$E$19)</f>
        <v/>
      </c>
      <c r="V10" s="710">
        <f>IF('Final Calculation Sheet'!$E$22="","",'Final Calculation Sheet'!$E$22)</f>
        <v/>
      </c>
      <c r="W10" s="676">
        <f>IF('Final Calculation Sheet'!$E$24="","",'Final Calculation Sheet'!$E$24)</f>
        <v/>
      </c>
      <c r="X10" s="710">
        <f>IF('Final Calculation Sheet'!$E$26="","",'Final Calculation Sheet'!$E$26)</f>
        <v/>
      </c>
      <c r="Z10" s="676">
        <f>IF('Final Calculation Sheet'!$E$21="","",'Final Calculation Sheet'!$E$21)</f>
        <v/>
      </c>
      <c r="AB10" s="713">
        <f>IF('Final Calculation Sheet'!$E$20="","",'Final Calculation Sheet'!$E$20)</f>
        <v/>
      </c>
      <c r="AD10" s="676">
        <f>IF('Final Calculation Sheet'!$E$17="","",'Final Calculation Sheet'!$E$17)</f>
        <v/>
      </c>
      <c r="AE10" s="712">
        <f>IF('Final Calculation Sheet'!$E$23="","",'Final Calculation Sheet'!$E$23)</f>
        <v/>
      </c>
      <c r="AF10" s="676">
        <f>IF('Final Calculation Sheet'!$E$29="","",'Final Calculation Sheet'!$E$29)</f>
        <v/>
      </c>
      <c r="AH10" s="708">
        <f>IF('Final Calculation Sheet'!$E$25="","",'Final Calculation Sheet'!$E$25)</f>
        <v/>
      </c>
      <c r="AI10" s="676">
        <f>IF('Final Calculation Sheet'!$E$28="","",'Final Calculation Sheet'!$E$28)</f>
        <v/>
      </c>
      <c r="AK10" s="710">
        <f>IF('Final Calculation Sheet'!$E$30="","",'Final Calculation Sheet'!$E$30)</f>
        <v/>
      </c>
      <c r="AL10" s="676">
        <f>IF('Final Calculation Sheet'!$E$32="","",'Final Calculation Sheet'!$E$32)</f>
        <v/>
      </c>
      <c r="AM10" s="710">
        <f>IF('Final Calculation Sheet'!$E$33="","",'Final Calculation Sheet'!$E$33)</f>
        <v/>
      </c>
      <c r="AO10" s="676">
        <f>IF('Final Calculation Sheet'!$E$31="","",'Final Calculation Sheet'!$E$31)</f>
        <v/>
      </c>
      <c r="AQ10" s="712">
        <f>IF('Final Calculation Sheet'!$E$34="","",'Final Calculation Sheet'!$E$34)</f>
        <v/>
      </c>
      <c r="AS10" s="676">
        <f>IF('Final Calculation Sheet'!$E$4="","",'Final Calculation Sheet'!$E$4)</f>
        <v/>
      </c>
      <c r="AU10" s="711">
        <f>IF('Final Calculation Sheet'!$E$38="","",'Final Calculation Sheet'!$E$38)</f>
        <v/>
      </c>
      <c r="AW10" s="676">
        <f>IF('Final Calculation Sheet'!$E$37="","",'Final Calculation Sheet'!$E$37)</f>
        <v/>
      </c>
      <c r="AY10" s="713">
        <f>IF('Final Calculation Sheet'!$E$8="","",'Final Calculation Sheet'!$E$8)</f>
        <v/>
      </c>
      <c r="BA10" s="676">
        <f>IF('Final Calculation Sheet'!$E$39="","",'Final Calculation Sheet'!$E$39)</f>
        <v/>
      </c>
      <c r="BB10" s="712">
        <f>IF('Final Calculation Sheet'!$E$40="","",'Final Calculation Sheet'!$E$40)</f>
        <v/>
      </c>
      <c r="BD10" s="676">
        <f>IF('Final Calculation Sheet'!$E$36="","",'Final Calculation Sheet'!$E$36)</f>
        <v/>
      </c>
      <c r="BF10" s="708">
        <f>IF('Final Calculation Sheet'!$E$35="","",'Final Calculation Sheet'!$E$35)</f>
        <v/>
      </c>
      <c r="BG10" s="677">
        <f>IF('Final Calculation Sheet'!$E$41="","",'Final Calculation Sheet'!$E$41)</f>
        <v/>
      </c>
    </row>
    <row r="11" ht="15" customHeight="1">
      <c r="A11" s="678" t="inlineStr">
        <is>
          <t>Lot No.</t>
        </is>
      </c>
      <c r="B11" s="708">
        <f>IF('Final Calculation Sheet'!$F$6="","",'Final Calculation Sheet'!$F$6)</f>
        <v/>
      </c>
      <c r="C11" s="676">
        <f>IF('Final Calculation Sheet'!$F$7="","",'Final Calculation Sheet'!$F$7)</f>
        <v/>
      </c>
      <c r="E11" s="709">
        <f>IF('Final Calculation Sheet'!$F$15="","",'Final Calculation Sheet'!$F$15)</f>
        <v/>
      </c>
      <c r="G11" s="676">
        <f>IF('Final Calculation Sheet'!$F$5="","",'Final Calculation Sheet'!$F$5)</f>
        <v/>
      </c>
      <c r="H11" s="710">
        <f>IF('Final Calculation Sheet'!$F$10="","",'Final Calculation Sheet'!$F$10)</f>
        <v/>
      </c>
      <c r="I11" s="676">
        <f>IF('Final Calculation Sheet'!$F$11="","",'Final Calculation Sheet'!$F$11)</f>
        <v/>
      </c>
      <c r="J11" s="710">
        <f>IF('Final Calculation Sheet'!$F$12="","",'Final Calculation Sheet'!$F$12)</f>
        <v/>
      </c>
      <c r="L11" s="676">
        <f>IF('Final Calculation Sheet'!$F$9="","",'Final Calculation Sheet'!$F$9)</f>
        <v/>
      </c>
      <c r="M11" s="711">
        <f>IF('Final Calculation Sheet'!$F$14="","",'Final Calculation Sheet'!$F$14)</f>
        <v/>
      </c>
      <c r="O11" s="676">
        <f>IF('Final Calculation Sheet'!$F$13="","",'Final Calculation Sheet'!$F$13)</f>
        <v/>
      </c>
      <c r="P11" s="712">
        <f>IF('Final Calculation Sheet'!$F$16="","",'Final Calculation Sheet'!$F$16)</f>
        <v/>
      </c>
      <c r="R11" s="676">
        <f>IF('Final Calculation Sheet'!$F$27="","",'Final Calculation Sheet'!$F$27)</f>
        <v/>
      </c>
      <c r="T11" s="710">
        <f>IF('Final Calculation Sheet'!$F$18="","",'Final Calculation Sheet'!$F$18)</f>
        <v/>
      </c>
      <c r="U11" s="676">
        <f>IF('Final Calculation Sheet'!$F$19="","",'Final Calculation Sheet'!$F$19)</f>
        <v/>
      </c>
      <c r="V11" s="710">
        <f>IF('Final Calculation Sheet'!$F$22="","",'Final Calculation Sheet'!$F$22)</f>
        <v/>
      </c>
      <c r="W11" s="676">
        <f>IF('Final Calculation Sheet'!$F$24="","",'Final Calculation Sheet'!$F$24)</f>
        <v/>
      </c>
      <c r="X11" s="710">
        <f>IF('Final Calculation Sheet'!$F$26="","",'Final Calculation Sheet'!$F$26)</f>
        <v/>
      </c>
      <c r="Z11" s="676">
        <f>IF('Final Calculation Sheet'!$F$21="","",'Final Calculation Sheet'!$F$21)</f>
        <v/>
      </c>
      <c r="AB11" s="713">
        <f>IF('Final Calculation Sheet'!$F$20="","",'Final Calculation Sheet'!$F$20)</f>
        <v/>
      </c>
      <c r="AD11" s="676">
        <f>IF('Final Calculation Sheet'!$F$17="","",'Final Calculation Sheet'!$F$17)</f>
        <v/>
      </c>
      <c r="AE11" s="712">
        <f>IF('Final Calculation Sheet'!$F$23="","",'Final Calculation Sheet'!$F$23)</f>
        <v/>
      </c>
      <c r="AF11" s="676">
        <f>IF('Final Calculation Sheet'!$F$29="","",'Final Calculation Sheet'!$F$29)</f>
        <v/>
      </c>
      <c r="AH11" s="708">
        <f>IF('Final Calculation Sheet'!$F$25="","",'Final Calculation Sheet'!$F$25)</f>
        <v/>
      </c>
      <c r="AI11" s="676">
        <f>IF('Final Calculation Sheet'!$F$28="","",'Final Calculation Sheet'!$F$28)</f>
        <v/>
      </c>
      <c r="AK11" s="710">
        <f>IF('Final Calculation Sheet'!$F$30="","",'Final Calculation Sheet'!$F$30)</f>
        <v/>
      </c>
      <c r="AL11" s="676">
        <f>IF('Final Calculation Sheet'!$F$32="","",'Final Calculation Sheet'!$F$32)</f>
        <v/>
      </c>
      <c r="AM11" s="710">
        <f>IF('Final Calculation Sheet'!$F$33="","",'Final Calculation Sheet'!$F$33)</f>
        <v/>
      </c>
      <c r="AO11" s="676">
        <f>IF('Final Calculation Sheet'!$F$31="","",'Final Calculation Sheet'!$F$31)</f>
        <v/>
      </c>
      <c r="AQ11" s="712">
        <f>IF('Final Calculation Sheet'!$F$34="","",'Final Calculation Sheet'!$F$34)</f>
        <v/>
      </c>
      <c r="AS11" s="676">
        <f>IF('Final Calculation Sheet'!$F$4="","",'Final Calculation Sheet'!$F$4)</f>
        <v/>
      </c>
      <c r="AU11" s="711">
        <f>IF('Final Calculation Sheet'!$F$38="","",'Final Calculation Sheet'!$F$38)</f>
        <v/>
      </c>
      <c r="AW11" s="676">
        <f>IF('Final Calculation Sheet'!$F$37="","",'Final Calculation Sheet'!$F$37)</f>
        <v/>
      </c>
      <c r="AY11" s="713">
        <f>IF('Final Calculation Sheet'!$F$8="","",'Final Calculation Sheet'!$F$8)</f>
        <v/>
      </c>
      <c r="BA11" s="676">
        <f>IF('Final Calculation Sheet'!$F$39="","",'Final Calculation Sheet'!$F$39)</f>
        <v/>
      </c>
      <c r="BB11" s="712">
        <f>IF('Final Calculation Sheet'!$F$40="","",'Final Calculation Sheet'!$F$40)</f>
        <v/>
      </c>
      <c r="BD11" s="676">
        <f>IF('Final Calculation Sheet'!$F$36="","",'Final Calculation Sheet'!$F$36)</f>
        <v/>
      </c>
      <c r="BF11" s="708">
        <f>IF('Final Calculation Sheet'!$F$35="","",'Final Calculation Sheet'!$F$35)</f>
        <v/>
      </c>
      <c r="BG11" s="677">
        <f>IF('Final Calculation Sheet'!$F$41="","",'Final Calculation Sheet'!$F$41)</f>
        <v/>
      </c>
    </row>
    <row r="12" ht="15" customHeight="1">
      <c r="A12" s="675" t="inlineStr">
        <is>
          <t>Buyer</t>
        </is>
      </c>
      <c r="B12" s="708">
        <f>IF('Final Calculation Sheet'!$G$6="","",'Final Calculation Sheet'!$G$6)</f>
        <v/>
      </c>
      <c r="C12" s="676">
        <f>IF('Final Calculation Sheet'!$G$7="","",'Final Calculation Sheet'!$G$7)</f>
        <v/>
      </c>
      <c r="E12" s="709">
        <f>IF('Final Calculation Sheet'!$G$15="","",'Final Calculation Sheet'!$G$15)</f>
        <v/>
      </c>
      <c r="G12" s="676">
        <f>IF('Final Calculation Sheet'!$G$5="","",'Final Calculation Sheet'!$G$5)</f>
        <v/>
      </c>
      <c r="H12" s="710">
        <f>IF('Final Calculation Sheet'!$G$10="","",'Final Calculation Sheet'!$G$10)</f>
        <v/>
      </c>
      <c r="I12" s="676">
        <f>IF('Final Calculation Sheet'!$G$11="","",'Final Calculation Sheet'!$G$11)</f>
        <v/>
      </c>
      <c r="J12" s="710">
        <f>IF('Final Calculation Sheet'!$G$12="","",'Final Calculation Sheet'!$G$12)</f>
        <v/>
      </c>
      <c r="L12" s="676">
        <f>IF('Final Calculation Sheet'!$G$9="","",'Final Calculation Sheet'!$G$9)</f>
        <v/>
      </c>
      <c r="M12" s="711">
        <f>IF('Final Calculation Sheet'!$G$14="","",'Final Calculation Sheet'!$G$14)</f>
        <v/>
      </c>
      <c r="O12" s="676">
        <f>IF('Final Calculation Sheet'!$G$13="","",'Final Calculation Sheet'!$G$13)</f>
        <v/>
      </c>
      <c r="P12" s="712">
        <f>IF('Final Calculation Sheet'!$G$16="","",'Final Calculation Sheet'!$G$16)</f>
        <v/>
      </c>
      <c r="R12" s="676">
        <f>IF('Final Calculation Sheet'!$G$27="","",'Final Calculation Sheet'!$G$27)</f>
        <v/>
      </c>
      <c r="T12" s="710">
        <f>IF('Final Calculation Sheet'!$G$18="","",'Final Calculation Sheet'!$G$18)</f>
        <v/>
      </c>
      <c r="U12" s="676">
        <f>IF('Final Calculation Sheet'!$G$19="","",'Final Calculation Sheet'!$G$19)</f>
        <v/>
      </c>
      <c r="V12" s="710">
        <f>IF('Final Calculation Sheet'!$G$22="","",'Final Calculation Sheet'!$G$22)</f>
        <v/>
      </c>
      <c r="W12" s="676">
        <f>IF('Final Calculation Sheet'!$G$24="","",'Final Calculation Sheet'!$G$24)</f>
        <v/>
      </c>
      <c r="X12" s="710">
        <f>IF('Final Calculation Sheet'!$G$26="","",'Final Calculation Sheet'!$G$26)</f>
        <v/>
      </c>
      <c r="Z12" s="676">
        <f>IF('Final Calculation Sheet'!$G$21="","",'Final Calculation Sheet'!$G$21)</f>
        <v/>
      </c>
      <c r="AB12" s="713">
        <f>IF('Final Calculation Sheet'!$G$20="","",'Final Calculation Sheet'!$G$20)</f>
        <v/>
      </c>
      <c r="AD12" s="676">
        <f>IF('Final Calculation Sheet'!$G$17="","",'Final Calculation Sheet'!$G$17)</f>
        <v/>
      </c>
      <c r="AE12" s="712">
        <f>IF('Final Calculation Sheet'!$G$23="","",'Final Calculation Sheet'!$G$23)</f>
        <v/>
      </c>
      <c r="AF12" s="676">
        <f>IF('Final Calculation Sheet'!$G$29="","",'Final Calculation Sheet'!$G$29)</f>
        <v/>
      </c>
      <c r="AH12" s="708">
        <f>IF('Final Calculation Sheet'!$G$25="","",'Final Calculation Sheet'!$G$25)</f>
        <v/>
      </c>
      <c r="AI12" s="676">
        <f>IF('Final Calculation Sheet'!$G$28="","",'Final Calculation Sheet'!$G$28)</f>
        <v/>
      </c>
      <c r="AK12" s="710">
        <f>IF('Final Calculation Sheet'!$G$30="","",'Final Calculation Sheet'!$G$30)</f>
        <v/>
      </c>
      <c r="AL12" s="676">
        <f>IF('Final Calculation Sheet'!$G$32="","",'Final Calculation Sheet'!$G$32)</f>
        <v/>
      </c>
      <c r="AM12" s="710">
        <f>IF('Final Calculation Sheet'!$G$33="","",'Final Calculation Sheet'!$G$33)</f>
        <v/>
      </c>
      <c r="AO12" s="676">
        <f>IF('Final Calculation Sheet'!$G$31="","",'Final Calculation Sheet'!$G$31)</f>
        <v/>
      </c>
      <c r="AQ12" s="712">
        <f>IF('Final Calculation Sheet'!$G$34="","",'Final Calculation Sheet'!$G$34)</f>
        <v/>
      </c>
      <c r="AS12" s="676">
        <f>IF('Final Calculation Sheet'!$G$4="","",'Final Calculation Sheet'!$G$4)</f>
        <v/>
      </c>
      <c r="AU12" s="711">
        <f>IF('Final Calculation Sheet'!$G$38="","",'Final Calculation Sheet'!$G$38)</f>
        <v/>
      </c>
      <c r="AW12" s="676">
        <f>IF('Final Calculation Sheet'!$G$37="","",'Final Calculation Sheet'!$G$37)</f>
        <v/>
      </c>
      <c r="AY12" s="713">
        <f>IF('Final Calculation Sheet'!$G$8="","",'Final Calculation Sheet'!$G$8)</f>
        <v/>
      </c>
      <c r="BA12" s="676">
        <f>IF('Final Calculation Sheet'!$G$39="","",'Final Calculation Sheet'!$G$39)</f>
        <v/>
      </c>
      <c r="BB12" s="712">
        <f>IF('Final Calculation Sheet'!$G$40="","",'Final Calculation Sheet'!$G$40)</f>
        <v/>
      </c>
      <c r="BD12" s="676">
        <f>IF('Final Calculation Sheet'!$G$36="","",'Final Calculation Sheet'!$G$36)</f>
        <v/>
      </c>
      <c r="BF12" s="708">
        <f>IF('Final Calculation Sheet'!$G$35="","",'Final Calculation Sheet'!$G$35)</f>
        <v/>
      </c>
      <c r="BG12" s="677">
        <f>IF('Final Calculation Sheet'!$G$41="","",'Final Calculation Sheet'!$G$41)</f>
        <v/>
      </c>
    </row>
    <row r="13" ht="15" customHeight="1">
      <c r="A13" s="678" t="inlineStr">
        <is>
          <t>Mat. Value</t>
        </is>
      </c>
      <c r="B13" s="714">
        <f>IF('Final Calculation Sheet'!$H$6="","",'Final Calculation Sheet'!$H$6)</f>
        <v/>
      </c>
      <c r="C13" s="679">
        <f>IF('Final Calculation Sheet'!$H$7="","",'Final Calculation Sheet'!$H$7)</f>
        <v/>
      </c>
      <c r="E13" s="715">
        <f>IF('Final Calculation Sheet'!$H$15="","",'Final Calculation Sheet'!$H$15)</f>
        <v/>
      </c>
      <c r="G13" s="679">
        <f>IF('Final Calculation Sheet'!$H$5="","",'Final Calculation Sheet'!$H$5)</f>
        <v/>
      </c>
      <c r="H13" s="716">
        <f>IF('Final Calculation Sheet'!$H$10="","",'Final Calculation Sheet'!$H$10)</f>
        <v/>
      </c>
      <c r="I13" s="679">
        <f>IF('Final Calculation Sheet'!$H$11="","",'Final Calculation Sheet'!$H$11)</f>
        <v/>
      </c>
      <c r="J13" s="716">
        <f>IF('Final Calculation Sheet'!$H$12="","",'Final Calculation Sheet'!$H$12)</f>
        <v/>
      </c>
      <c r="L13" s="679">
        <f>IF('Final Calculation Sheet'!$H$9="","",'Final Calculation Sheet'!$H$9)</f>
        <v/>
      </c>
      <c r="M13" s="717">
        <f>IF('Final Calculation Sheet'!$H$14="","",'Final Calculation Sheet'!$H$14)</f>
        <v/>
      </c>
      <c r="O13" s="679">
        <f>IF('Final Calculation Sheet'!$H$13="","",'Final Calculation Sheet'!$H$13)</f>
        <v/>
      </c>
      <c r="P13" s="718">
        <f>IF('Final Calculation Sheet'!$H$16="","",'Final Calculation Sheet'!$H$16)</f>
        <v/>
      </c>
      <c r="R13" s="679">
        <f>IF('Final Calculation Sheet'!$H$27="","",'Final Calculation Sheet'!$H$27)</f>
        <v/>
      </c>
      <c r="T13" s="716">
        <f>IF('Final Calculation Sheet'!$H$18="","",'Final Calculation Sheet'!$H$18)</f>
        <v/>
      </c>
      <c r="U13" s="679">
        <f>IF('Final Calculation Sheet'!$H$19="","",'Final Calculation Sheet'!$H$19)</f>
        <v/>
      </c>
      <c r="V13" s="716">
        <f>IF('Final Calculation Sheet'!$H$22="","",'Final Calculation Sheet'!$H$22)</f>
        <v/>
      </c>
      <c r="W13" s="679">
        <f>IF('Final Calculation Sheet'!$H$24="","",'Final Calculation Sheet'!$H$24)</f>
        <v/>
      </c>
      <c r="X13" s="716">
        <f>IF('Final Calculation Sheet'!$H$26="","",'Final Calculation Sheet'!$H$26)</f>
        <v/>
      </c>
      <c r="Z13" s="679">
        <f>IF('Final Calculation Sheet'!$H$21="","",'Final Calculation Sheet'!$H$21)</f>
        <v/>
      </c>
      <c r="AB13" s="719">
        <f>IF('Final Calculation Sheet'!$H$20="","",'Final Calculation Sheet'!$H$20)</f>
        <v/>
      </c>
      <c r="AD13" s="679">
        <f>IF('Final Calculation Sheet'!$H$17="","",'Final Calculation Sheet'!$H$17)</f>
        <v/>
      </c>
      <c r="AE13" s="718">
        <f>IF('Final Calculation Sheet'!$H$23="","",'Final Calculation Sheet'!$H$23)</f>
        <v/>
      </c>
      <c r="AF13" s="679">
        <f>IF('Final Calculation Sheet'!$H$29="","",'Final Calculation Sheet'!$H$29)</f>
        <v/>
      </c>
      <c r="AH13" s="714">
        <f>IF('Final Calculation Sheet'!$H$25="","",'Final Calculation Sheet'!$H$25)</f>
        <v/>
      </c>
      <c r="AI13" s="679">
        <f>IF('Final Calculation Sheet'!$H$28="","",'Final Calculation Sheet'!$H$28)</f>
        <v/>
      </c>
      <c r="AK13" s="716">
        <f>IF('Final Calculation Sheet'!$H$30="","",'Final Calculation Sheet'!$H$30)</f>
        <v/>
      </c>
      <c r="AL13" s="679">
        <f>IF('Final Calculation Sheet'!$H$32="","",'Final Calculation Sheet'!$H$32)</f>
        <v/>
      </c>
      <c r="AM13" s="716">
        <f>IF('Final Calculation Sheet'!$H$33="","",'Final Calculation Sheet'!$H$33)</f>
        <v/>
      </c>
      <c r="AO13" s="679">
        <f>IF('Final Calculation Sheet'!$H$31="","",'Final Calculation Sheet'!$H$31)</f>
        <v/>
      </c>
      <c r="AQ13" s="718">
        <f>IF('Final Calculation Sheet'!$H$34="","",'Final Calculation Sheet'!$H$34)</f>
        <v/>
      </c>
      <c r="AS13" s="679">
        <f>IF('Final Calculation Sheet'!$H$4="","",'Final Calculation Sheet'!$H$4)</f>
        <v/>
      </c>
      <c r="AU13" s="717">
        <f>IF('Final Calculation Sheet'!$H$38="","",'Final Calculation Sheet'!$H$38)</f>
        <v/>
      </c>
      <c r="AW13" s="679">
        <f>IF('Final Calculation Sheet'!$H$37="","",'Final Calculation Sheet'!$H$37)</f>
        <v/>
      </c>
      <c r="AY13" s="719">
        <f>IF('Final Calculation Sheet'!$H$8="","",'Final Calculation Sheet'!$H$8)</f>
        <v/>
      </c>
      <c r="BA13" s="679">
        <f>IF('Final Calculation Sheet'!$H$39="","",'Final Calculation Sheet'!$H$39)</f>
        <v/>
      </c>
      <c r="BB13" s="718">
        <f>IF('Final Calculation Sheet'!$H$40="","",'Final Calculation Sheet'!$H$40)</f>
        <v/>
      </c>
      <c r="BD13" s="679">
        <f>IF('Final Calculation Sheet'!$H$36="","",'Final Calculation Sheet'!$H$36)</f>
        <v/>
      </c>
      <c r="BF13" s="714">
        <f>IF('Final Calculation Sheet'!$H$35="","",'Final Calculation Sheet'!$H$35)</f>
        <v/>
      </c>
      <c r="BG13" s="680">
        <f>IF('Final Calculation Sheet'!$H$41="","",'Final Calculation Sheet'!$H$41)</f>
        <v/>
      </c>
    </row>
    <row r="14" ht="15" customHeight="1">
      <c r="A14" s="675" t="inlineStr">
        <is>
          <t>GST</t>
        </is>
      </c>
      <c r="B14" s="714">
        <f>IF('Final Calculation Sheet'!$I$6="","",'Final Calculation Sheet'!$I$6)</f>
        <v/>
      </c>
      <c r="C14" s="679">
        <f>IF('Final Calculation Sheet'!$I$7="","",'Final Calculation Sheet'!$I$7)</f>
        <v/>
      </c>
      <c r="E14" s="715">
        <f>IF('Final Calculation Sheet'!$I$15="","",'Final Calculation Sheet'!$I$15)</f>
        <v/>
      </c>
      <c r="G14" s="679">
        <f>IF('Final Calculation Sheet'!$I$5="","",'Final Calculation Sheet'!$I$5)</f>
        <v/>
      </c>
      <c r="H14" s="716">
        <f>IF('Final Calculation Sheet'!$I$10="","",'Final Calculation Sheet'!$I$10)</f>
        <v/>
      </c>
      <c r="I14" s="679">
        <f>IF('Final Calculation Sheet'!$I$11="","",'Final Calculation Sheet'!$I$11)</f>
        <v/>
      </c>
      <c r="J14" s="716">
        <f>IF('Final Calculation Sheet'!$I$12="","",'Final Calculation Sheet'!$I$12)</f>
        <v/>
      </c>
      <c r="L14" s="679">
        <f>IF('Final Calculation Sheet'!$I$9="","",'Final Calculation Sheet'!$I$9)</f>
        <v/>
      </c>
      <c r="M14" s="717">
        <f>IF('Final Calculation Sheet'!$I$14="","",'Final Calculation Sheet'!$I$14)</f>
        <v/>
      </c>
      <c r="O14" s="679">
        <f>IF('Final Calculation Sheet'!$I$13="","",'Final Calculation Sheet'!$I$13)</f>
        <v/>
      </c>
      <c r="P14" s="718">
        <f>IF('Final Calculation Sheet'!$I$16="","",'Final Calculation Sheet'!$I$16)</f>
        <v/>
      </c>
      <c r="R14" s="679">
        <f>IF('Final Calculation Sheet'!$I$27="","",'Final Calculation Sheet'!$I$27)</f>
        <v/>
      </c>
      <c r="T14" s="716">
        <f>IF('Final Calculation Sheet'!$I$18="","",'Final Calculation Sheet'!$I$18)</f>
        <v/>
      </c>
      <c r="U14" s="679">
        <f>IF('Final Calculation Sheet'!$I$19="","",'Final Calculation Sheet'!$I$19)</f>
        <v/>
      </c>
      <c r="V14" s="716">
        <f>IF('Final Calculation Sheet'!$I$22="","",'Final Calculation Sheet'!$I$22)</f>
        <v/>
      </c>
      <c r="W14" s="679">
        <f>IF('Final Calculation Sheet'!$I$24="","",'Final Calculation Sheet'!$I$24)</f>
        <v/>
      </c>
      <c r="X14" s="716">
        <f>IF('Final Calculation Sheet'!$I$26="","",'Final Calculation Sheet'!$I$26)</f>
        <v/>
      </c>
      <c r="Z14" s="679">
        <f>IF('Final Calculation Sheet'!$I$21="","",'Final Calculation Sheet'!$I$21)</f>
        <v/>
      </c>
      <c r="AB14" s="719">
        <f>IF('Final Calculation Sheet'!$I$20="","",'Final Calculation Sheet'!$I$20)</f>
        <v/>
      </c>
      <c r="AD14" s="679">
        <f>IF('Final Calculation Sheet'!$I$17="","",'Final Calculation Sheet'!$I$17)</f>
        <v/>
      </c>
      <c r="AE14" s="718">
        <f>IF('Final Calculation Sheet'!$I$23="","",'Final Calculation Sheet'!$I$23)</f>
        <v/>
      </c>
      <c r="AF14" s="679">
        <f>IF('Final Calculation Sheet'!$I$29="","",'Final Calculation Sheet'!$I$29)</f>
        <v/>
      </c>
      <c r="AH14" s="714">
        <f>IF('Final Calculation Sheet'!$I$25="","",'Final Calculation Sheet'!$I$25)</f>
        <v/>
      </c>
      <c r="AI14" s="679">
        <f>IF('Final Calculation Sheet'!$I$28="","",'Final Calculation Sheet'!$I$28)</f>
        <v/>
      </c>
      <c r="AK14" s="716">
        <f>IF('Final Calculation Sheet'!$I$30="","",'Final Calculation Sheet'!$I$30)</f>
        <v/>
      </c>
      <c r="AL14" s="679">
        <f>IF('Final Calculation Sheet'!$I$32="","",'Final Calculation Sheet'!$I$32)</f>
        <v/>
      </c>
      <c r="AM14" s="716">
        <f>IF('Final Calculation Sheet'!$I$33="","",'Final Calculation Sheet'!$I$33)</f>
        <v/>
      </c>
      <c r="AO14" s="679">
        <f>IF('Final Calculation Sheet'!$I$31="","",'Final Calculation Sheet'!$I$31)</f>
        <v/>
      </c>
      <c r="AQ14" s="718">
        <f>IF('Final Calculation Sheet'!$I$34="","",'Final Calculation Sheet'!$I$34)</f>
        <v/>
      </c>
      <c r="AS14" s="679">
        <f>IF('Final Calculation Sheet'!$I$4="","",'Final Calculation Sheet'!$I$4)</f>
        <v/>
      </c>
      <c r="AU14" s="717">
        <f>IF('Final Calculation Sheet'!$I$38="","",'Final Calculation Sheet'!$I$38)</f>
        <v/>
      </c>
      <c r="AW14" s="679">
        <f>IF('Final Calculation Sheet'!$I$37="","",'Final Calculation Sheet'!$I$37)</f>
        <v/>
      </c>
      <c r="AY14" s="719">
        <f>IF('Final Calculation Sheet'!$I$8="","",'Final Calculation Sheet'!$I$8)</f>
        <v/>
      </c>
      <c r="BA14" s="679">
        <f>IF('Final Calculation Sheet'!$I$39="","",'Final Calculation Sheet'!$I$39)</f>
        <v/>
      </c>
      <c r="BB14" s="718">
        <f>IF('Final Calculation Sheet'!$I$40="","",'Final Calculation Sheet'!$I$40)</f>
        <v/>
      </c>
      <c r="BD14" s="679">
        <f>IF('Final Calculation Sheet'!$I$36="","",'Final Calculation Sheet'!$I$36)</f>
        <v/>
      </c>
      <c r="BF14" s="714">
        <f>IF('Final Calculation Sheet'!$I$35="","",'Final Calculation Sheet'!$I$35)</f>
        <v/>
      </c>
      <c r="BG14" s="680">
        <f>IF('Final Calculation Sheet'!$I$41="","",'Final Calculation Sheet'!$I$41)</f>
        <v/>
      </c>
    </row>
    <row r="15" ht="15" customHeight="1">
      <c r="A15" s="678" t="inlineStr">
        <is>
          <t>Mat. Value + GST</t>
        </is>
      </c>
      <c r="B15" s="714">
        <f>IF('Final Calculation Sheet'!$J$6="","",'Final Calculation Sheet'!$J$6)</f>
        <v/>
      </c>
      <c r="C15" s="679">
        <f>IF('Final Calculation Sheet'!$J$7="","",'Final Calculation Sheet'!$J$7)</f>
        <v/>
      </c>
      <c r="E15" s="715">
        <f>IF('Final Calculation Sheet'!$J$15="","",'Final Calculation Sheet'!$J$15)</f>
        <v/>
      </c>
      <c r="G15" s="679">
        <f>IF('Final Calculation Sheet'!$J$5="","",'Final Calculation Sheet'!$J$5)</f>
        <v/>
      </c>
      <c r="H15" s="716">
        <f>IF('Final Calculation Sheet'!$J$10="","",'Final Calculation Sheet'!$J$10)</f>
        <v/>
      </c>
      <c r="I15" s="679">
        <f>IF('Final Calculation Sheet'!$J$11="","",'Final Calculation Sheet'!$J$11)</f>
        <v/>
      </c>
      <c r="J15" s="716">
        <f>IF('Final Calculation Sheet'!$J$12="","",'Final Calculation Sheet'!$J$12)</f>
        <v/>
      </c>
      <c r="L15" s="679">
        <f>IF('Final Calculation Sheet'!$J$9="","",'Final Calculation Sheet'!$J$9)</f>
        <v/>
      </c>
      <c r="M15" s="717">
        <f>IF('Final Calculation Sheet'!$J$14="","",'Final Calculation Sheet'!$J$14)</f>
        <v/>
      </c>
      <c r="O15" s="679">
        <f>IF('Final Calculation Sheet'!$J$13="","",'Final Calculation Sheet'!$J$13)</f>
        <v/>
      </c>
      <c r="P15" s="718">
        <f>IF('Final Calculation Sheet'!$J$16="","",'Final Calculation Sheet'!$J$16)</f>
        <v/>
      </c>
      <c r="R15" s="679">
        <f>IF('Final Calculation Sheet'!$J$27="","",'Final Calculation Sheet'!$J$27)</f>
        <v/>
      </c>
      <c r="T15" s="716">
        <f>IF('Final Calculation Sheet'!$J$18="","",'Final Calculation Sheet'!$J$18)</f>
        <v/>
      </c>
      <c r="U15" s="679">
        <f>IF('Final Calculation Sheet'!$J$19="","",'Final Calculation Sheet'!$J$19)</f>
        <v/>
      </c>
      <c r="V15" s="716">
        <f>IF('Final Calculation Sheet'!$J$22="","",'Final Calculation Sheet'!$J$22)</f>
        <v/>
      </c>
      <c r="W15" s="679">
        <f>IF('Final Calculation Sheet'!$J$24="","",'Final Calculation Sheet'!$J$24)</f>
        <v/>
      </c>
      <c r="X15" s="716">
        <f>IF('Final Calculation Sheet'!$J$26="","",'Final Calculation Sheet'!$J$26)</f>
        <v/>
      </c>
      <c r="Z15" s="679">
        <f>IF('Final Calculation Sheet'!$J$21="","",'Final Calculation Sheet'!$J$21)</f>
        <v/>
      </c>
      <c r="AB15" s="719">
        <f>IF('Final Calculation Sheet'!$J$20="","",'Final Calculation Sheet'!$J$20)</f>
        <v/>
      </c>
      <c r="AD15" s="679">
        <f>IF('Final Calculation Sheet'!$J$17="","",'Final Calculation Sheet'!$J$17)</f>
        <v/>
      </c>
      <c r="AE15" s="718">
        <f>IF('Final Calculation Sheet'!$J$23="","",'Final Calculation Sheet'!$J$23)</f>
        <v/>
      </c>
      <c r="AF15" s="679">
        <f>IF('Final Calculation Sheet'!$J$29="","",'Final Calculation Sheet'!$J$29)</f>
        <v/>
      </c>
      <c r="AH15" s="714">
        <f>IF('Final Calculation Sheet'!$J$25="","",'Final Calculation Sheet'!$J$25)</f>
        <v/>
      </c>
      <c r="AI15" s="679">
        <f>IF('Final Calculation Sheet'!$J$28="","",'Final Calculation Sheet'!$J$28)</f>
        <v/>
      </c>
      <c r="AK15" s="716">
        <f>IF('Final Calculation Sheet'!$J$30="","",'Final Calculation Sheet'!$J$30)</f>
        <v/>
      </c>
      <c r="AL15" s="679">
        <f>IF('Final Calculation Sheet'!$J$32="","",'Final Calculation Sheet'!$J$32)</f>
        <v/>
      </c>
      <c r="AM15" s="716">
        <f>IF('Final Calculation Sheet'!$J$33="","",'Final Calculation Sheet'!$J$33)</f>
        <v/>
      </c>
      <c r="AO15" s="679">
        <f>IF('Final Calculation Sheet'!$J$31="","",'Final Calculation Sheet'!$J$31)</f>
        <v/>
      </c>
      <c r="AQ15" s="718">
        <f>IF('Final Calculation Sheet'!$J$34="","",'Final Calculation Sheet'!$J$34)</f>
        <v/>
      </c>
      <c r="AS15" s="679">
        <f>IF('Final Calculation Sheet'!$J$4="","",'Final Calculation Sheet'!$J$4)</f>
        <v/>
      </c>
      <c r="AU15" s="717">
        <f>IF('Final Calculation Sheet'!$J$38="","",'Final Calculation Sheet'!$J$38)</f>
        <v/>
      </c>
      <c r="AW15" s="679">
        <f>IF('Final Calculation Sheet'!$J$37="","",'Final Calculation Sheet'!$J$37)</f>
        <v/>
      </c>
      <c r="AY15" s="719">
        <f>IF('Final Calculation Sheet'!$J$8="","",'Final Calculation Sheet'!$J$8)</f>
        <v/>
      </c>
      <c r="BA15" s="679">
        <f>IF('Final Calculation Sheet'!$J$39="","",'Final Calculation Sheet'!$J$39)</f>
        <v/>
      </c>
      <c r="BB15" s="718">
        <f>IF('Final Calculation Sheet'!$J$40="","",'Final Calculation Sheet'!$J$40)</f>
        <v/>
      </c>
      <c r="BD15" s="679">
        <f>IF('Final Calculation Sheet'!$J$36="","",'Final Calculation Sheet'!$J$36)</f>
        <v/>
      </c>
      <c r="BF15" s="714">
        <f>IF('Final Calculation Sheet'!$J$35="","",'Final Calculation Sheet'!$J$35)</f>
        <v/>
      </c>
      <c r="BG15" s="680">
        <f>IF('Final Calculation Sheet'!$J$41="","",'Final Calculation Sheet'!$J$41)</f>
        <v/>
      </c>
    </row>
    <row r="16" ht="15" customHeight="1">
      <c r="A16" s="675" t="inlineStr">
        <is>
          <t>TCS</t>
        </is>
      </c>
      <c r="B16" s="714">
        <f>IF('Final Calculation Sheet'!$K$6="","",'Final Calculation Sheet'!$K$6)</f>
        <v/>
      </c>
      <c r="C16" s="679">
        <f>IF('Final Calculation Sheet'!$K$7="","",'Final Calculation Sheet'!$K$7)</f>
        <v/>
      </c>
      <c r="E16" s="715">
        <f>IF('Final Calculation Sheet'!$K$15="","",'Final Calculation Sheet'!$K$15)</f>
        <v/>
      </c>
      <c r="G16" s="679">
        <f>IF('Final Calculation Sheet'!$K$5="","",'Final Calculation Sheet'!$K$5)</f>
        <v/>
      </c>
      <c r="H16" s="716">
        <f>IF('Final Calculation Sheet'!$K$10="","",'Final Calculation Sheet'!$K$10)</f>
        <v/>
      </c>
      <c r="I16" s="679">
        <f>IF('Final Calculation Sheet'!$K$11="","",'Final Calculation Sheet'!$K$11)</f>
        <v/>
      </c>
      <c r="J16" s="716">
        <f>IF('Final Calculation Sheet'!$K$12="","",'Final Calculation Sheet'!$K$12)</f>
        <v/>
      </c>
      <c r="L16" s="679">
        <f>IF('Final Calculation Sheet'!$K$9="","",'Final Calculation Sheet'!$K$9)</f>
        <v/>
      </c>
      <c r="M16" s="717">
        <f>IF('Final Calculation Sheet'!$K$14="","",'Final Calculation Sheet'!$K$14)</f>
        <v/>
      </c>
      <c r="O16" s="679">
        <f>IF('Final Calculation Sheet'!$K$13="","",'Final Calculation Sheet'!$K$13)</f>
        <v/>
      </c>
      <c r="P16" s="718">
        <f>IF('Final Calculation Sheet'!$K$16="","",'Final Calculation Sheet'!$K$16)</f>
        <v/>
      </c>
      <c r="R16" s="679">
        <f>IF('Final Calculation Sheet'!$K$27="","",'Final Calculation Sheet'!$K$27)</f>
        <v/>
      </c>
      <c r="T16" s="716">
        <f>IF('Final Calculation Sheet'!$K$18="","",'Final Calculation Sheet'!$K$18)</f>
        <v/>
      </c>
      <c r="U16" s="679">
        <f>IF('Final Calculation Sheet'!$K$19="","",'Final Calculation Sheet'!$K$19)</f>
        <v/>
      </c>
      <c r="V16" s="716">
        <f>IF('Final Calculation Sheet'!$K$22="","",'Final Calculation Sheet'!$K$22)</f>
        <v/>
      </c>
      <c r="W16" s="679">
        <f>IF('Final Calculation Sheet'!$K$24="","",'Final Calculation Sheet'!$K$24)</f>
        <v/>
      </c>
      <c r="X16" s="716">
        <f>IF('Final Calculation Sheet'!$K$26="","",'Final Calculation Sheet'!$K$26)</f>
        <v/>
      </c>
      <c r="Z16" s="679">
        <f>IF('Final Calculation Sheet'!$K$21="","",'Final Calculation Sheet'!$K$21)</f>
        <v/>
      </c>
      <c r="AB16" s="719">
        <f>IF('Final Calculation Sheet'!$K$20="","",'Final Calculation Sheet'!$K$20)</f>
        <v/>
      </c>
      <c r="AD16" s="679">
        <f>IF('Final Calculation Sheet'!$K$17="","",'Final Calculation Sheet'!$K$17)</f>
        <v/>
      </c>
      <c r="AE16" s="718">
        <f>IF('Final Calculation Sheet'!$K$23="","",'Final Calculation Sheet'!$K$23)</f>
        <v/>
      </c>
      <c r="AF16" s="679">
        <f>IF('Final Calculation Sheet'!$K$29="","",'Final Calculation Sheet'!$K$29)</f>
        <v/>
      </c>
      <c r="AH16" s="714">
        <f>IF('Final Calculation Sheet'!$K$25="","",'Final Calculation Sheet'!$K$25)</f>
        <v/>
      </c>
      <c r="AI16" s="679">
        <f>IF('Final Calculation Sheet'!$K$28="","",'Final Calculation Sheet'!$K$28)</f>
        <v/>
      </c>
      <c r="AK16" s="716">
        <f>IF('Final Calculation Sheet'!$K$30="","",'Final Calculation Sheet'!$K$30)</f>
        <v/>
      </c>
      <c r="AL16" s="679">
        <f>IF('Final Calculation Sheet'!$K$32="","",'Final Calculation Sheet'!$K$32)</f>
        <v/>
      </c>
      <c r="AM16" s="716">
        <f>IF('Final Calculation Sheet'!$K$33="","",'Final Calculation Sheet'!$K$33)</f>
        <v/>
      </c>
      <c r="AO16" s="679">
        <f>IF('Final Calculation Sheet'!$K$31="","",'Final Calculation Sheet'!$K$31)</f>
        <v/>
      </c>
      <c r="AQ16" s="718">
        <f>IF('Final Calculation Sheet'!$K$34="","",'Final Calculation Sheet'!$K$34)</f>
        <v/>
      </c>
      <c r="AS16" s="679">
        <f>IF('Final Calculation Sheet'!$K$4="","",'Final Calculation Sheet'!$K$4)</f>
        <v/>
      </c>
      <c r="AU16" s="717">
        <f>IF('Final Calculation Sheet'!$K$38="","",'Final Calculation Sheet'!$K$38)</f>
        <v/>
      </c>
      <c r="AW16" s="679">
        <f>IF('Final Calculation Sheet'!$K$37="","",'Final Calculation Sheet'!$K$37)</f>
        <v/>
      </c>
      <c r="AY16" s="719">
        <f>IF('Final Calculation Sheet'!$K$8="","",'Final Calculation Sheet'!$K$8)</f>
        <v/>
      </c>
      <c r="BA16" s="679">
        <f>IF('Final Calculation Sheet'!$K$39="","",'Final Calculation Sheet'!$K$39)</f>
        <v/>
      </c>
      <c r="BB16" s="718">
        <f>IF('Final Calculation Sheet'!$K$40="","",'Final Calculation Sheet'!$K$40)</f>
        <v/>
      </c>
      <c r="BD16" s="679">
        <f>IF('Final Calculation Sheet'!$K$36="","",'Final Calculation Sheet'!$K$36)</f>
        <v/>
      </c>
      <c r="BF16" s="714">
        <f>IF('Final Calculation Sheet'!$K$35="","",'Final Calculation Sheet'!$K$35)</f>
        <v/>
      </c>
      <c r="BG16" s="680">
        <f>IF('Final Calculation Sheet'!$K$41="","",'Final Calculation Sheet'!$K$41)</f>
        <v/>
      </c>
    </row>
    <row r="17" ht="15" customHeight="1">
      <c r="A17" s="678" t="inlineStr">
        <is>
          <t>TDS u/s 194(O)</t>
        </is>
      </c>
      <c r="B17" s="714">
        <f>IF('Final Calculation Sheet'!$L$6="","",'Final Calculation Sheet'!$L$6)</f>
        <v/>
      </c>
      <c r="C17" s="679">
        <f>IF('Final Calculation Sheet'!$L$7="","",'Final Calculation Sheet'!$L$7)</f>
        <v/>
      </c>
      <c r="E17" s="715">
        <f>IF('Final Calculation Sheet'!$L$15="","",'Final Calculation Sheet'!$L$15)</f>
        <v/>
      </c>
      <c r="G17" s="679">
        <f>IF('Final Calculation Sheet'!$L$5="","",'Final Calculation Sheet'!$L$5)</f>
        <v/>
      </c>
      <c r="H17" s="716">
        <f>IF('Final Calculation Sheet'!$L$10="","",'Final Calculation Sheet'!$L$10)</f>
        <v/>
      </c>
      <c r="I17" s="679">
        <f>IF('Final Calculation Sheet'!$L$11="","",'Final Calculation Sheet'!$L$11)</f>
        <v/>
      </c>
      <c r="J17" s="716">
        <f>IF('Final Calculation Sheet'!$L$12="","",'Final Calculation Sheet'!$L$12)</f>
        <v/>
      </c>
      <c r="L17" s="679">
        <f>IF('Final Calculation Sheet'!$L$9="","",'Final Calculation Sheet'!$L$9)</f>
        <v/>
      </c>
      <c r="M17" s="717">
        <f>IF('Final Calculation Sheet'!$L$14="","",'Final Calculation Sheet'!$L$14)</f>
        <v/>
      </c>
      <c r="O17" s="679">
        <f>IF('Final Calculation Sheet'!$L$13="","",'Final Calculation Sheet'!$L$13)</f>
        <v/>
      </c>
      <c r="P17" s="718">
        <f>IF('Final Calculation Sheet'!$L$16="","",'Final Calculation Sheet'!$L$16)</f>
        <v/>
      </c>
      <c r="R17" s="679">
        <f>IF('Final Calculation Sheet'!$L$27="","",'Final Calculation Sheet'!$L$27)</f>
        <v/>
      </c>
      <c r="T17" s="716">
        <f>IF('Final Calculation Sheet'!$L$18="","",'Final Calculation Sheet'!$L$18)</f>
        <v/>
      </c>
      <c r="U17" s="679">
        <f>IF('Final Calculation Sheet'!$L$19="","",'Final Calculation Sheet'!$L$19)</f>
        <v/>
      </c>
      <c r="V17" s="716">
        <f>IF('Final Calculation Sheet'!$L$22="","",'Final Calculation Sheet'!$L$22)</f>
        <v/>
      </c>
      <c r="W17" s="679">
        <f>IF('Final Calculation Sheet'!$L$24="","",'Final Calculation Sheet'!$L$24)</f>
        <v/>
      </c>
      <c r="X17" s="716">
        <f>IF('Final Calculation Sheet'!$L$26="","",'Final Calculation Sheet'!$L$26)</f>
        <v/>
      </c>
      <c r="Z17" s="679">
        <f>IF('Final Calculation Sheet'!$L$21="","",'Final Calculation Sheet'!$L$21)</f>
        <v/>
      </c>
      <c r="AB17" s="719">
        <f>IF('Final Calculation Sheet'!$L$20="","",'Final Calculation Sheet'!$L$20)</f>
        <v/>
      </c>
      <c r="AD17" s="679">
        <f>IF('Final Calculation Sheet'!$L$17="","",'Final Calculation Sheet'!$L$17)</f>
        <v/>
      </c>
      <c r="AE17" s="718">
        <f>IF('Final Calculation Sheet'!$L$23="","",'Final Calculation Sheet'!$L$23)</f>
        <v/>
      </c>
      <c r="AF17" s="679">
        <f>IF('Final Calculation Sheet'!$L$29="","",'Final Calculation Sheet'!$L$29)</f>
        <v/>
      </c>
      <c r="AH17" s="714">
        <f>IF('Final Calculation Sheet'!$L$25="","",'Final Calculation Sheet'!$L$25)</f>
        <v/>
      </c>
      <c r="AI17" s="679">
        <f>IF('Final Calculation Sheet'!$L$28="","",'Final Calculation Sheet'!$L$28)</f>
        <v/>
      </c>
      <c r="AK17" s="716">
        <f>IF('Final Calculation Sheet'!$L$30="","",'Final Calculation Sheet'!$L$30)</f>
        <v/>
      </c>
      <c r="AL17" s="679">
        <f>IF('Final Calculation Sheet'!$L$32="","",'Final Calculation Sheet'!$L$32)</f>
        <v/>
      </c>
      <c r="AM17" s="716">
        <f>IF('Final Calculation Sheet'!$L$33="","",'Final Calculation Sheet'!$L$33)</f>
        <v/>
      </c>
      <c r="AO17" s="679">
        <f>IF('Final Calculation Sheet'!$L$31="","",'Final Calculation Sheet'!$L$31)</f>
        <v/>
      </c>
      <c r="AQ17" s="718">
        <f>IF('Final Calculation Sheet'!$L$34="","",'Final Calculation Sheet'!$L$34)</f>
        <v/>
      </c>
      <c r="AS17" s="679">
        <f>IF('Final Calculation Sheet'!$L$4="","",'Final Calculation Sheet'!$L$4)</f>
        <v/>
      </c>
      <c r="AU17" s="717">
        <f>IF('Final Calculation Sheet'!$L$38="","",'Final Calculation Sheet'!$L$38)</f>
        <v/>
      </c>
      <c r="AW17" s="679">
        <f>IF('Final Calculation Sheet'!$L$37="","",'Final Calculation Sheet'!$L$37)</f>
        <v/>
      </c>
      <c r="AY17" s="719">
        <f>IF('Final Calculation Sheet'!$L$8="","",'Final Calculation Sheet'!$L$8)</f>
        <v/>
      </c>
      <c r="BA17" s="679">
        <f>IF('Final Calculation Sheet'!$L$39="","",'Final Calculation Sheet'!$L$39)</f>
        <v/>
      </c>
      <c r="BB17" s="718">
        <f>IF('Final Calculation Sheet'!$L$40="","",'Final Calculation Sheet'!$L$40)</f>
        <v/>
      </c>
      <c r="BD17" s="679">
        <f>IF('Final Calculation Sheet'!$L$36="","",'Final Calculation Sheet'!$L$36)</f>
        <v/>
      </c>
      <c r="BF17" s="714">
        <f>IF('Final Calculation Sheet'!$L$35="","",'Final Calculation Sheet'!$L$35)</f>
        <v/>
      </c>
      <c r="BG17" s="680">
        <f>IF('Final Calculation Sheet'!$L$41="","",'Final Calculation Sheet'!$L$41)</f>
        <v/>
      </c>
    </row>
    <row r="18" ht="15" customHeight="1">
      <c r="A18" s="675" t="inlineStr">
        <is>
          <t>Service Charge to MSTC</t>
        </is>
      </c>
      <c r="B18" s="714">
        <f>IF('Final Calculation Sheet'!$M$6="","",'Final Calculation Sheet'!$M$6)</f>
        <v/>
      </c>
      <c r="C18" s="679">
        <f>IF('Final Calculation Sheet'!$M$7="","",'Final Calculation Sheet'!$M$7)</f>
        <v/>
      </c>
      <c r="E18" s="715">
        <f>IF('Final Calculation Sheet'!$M$15="","",'Final Calculation Sheet'!$M$15)</f>
        <v/>
      </c>
      <c r="G18" s="679">
        <f>IF('Final Calculation Sheet'!$M$5="","",'Final Calculation Sheet'!$M$5)</f>
        <v/>
      </c>
      <c r="H18" s="716">
        <f>IF('Final Calculation Sheet'!$M$10="","",'Final Calculation Sheet'!$M$10)</f>
        <v/>
      </c>
      <c r="I18" s="679">
        <f>IF('Final Calculation Sheet'!$M$11="","",'Final Calculation Sheet'!$M$11)</f>
        <v/>
      </c>
      <c r="J18" s="716">
        <f>IF('Final Calculation Sheet'!$M$12="","",'Final Calculation Sheet'!$M$12)</f>
        <v/>
      </c>
      <c r="L18" s="679">
        <f>IF('Final Calculation Sheet'!$M$9="","",'Final Calculation Sheet'!$M$9)</f>
        <v/>
      </c>
      <c r="M18" s="717">
        <f>IF('Final Calculation Sheet'!$M$14="","",'Final Calculation Sheet'!$M$14)</f>
        <v/>
      </c>
      <c r="O18" s="679">
        <f>IF('Final Calculation Sheet'!$M$13="","",'Final Calculation Sheet'!$M$13)</f>
        <v/>
      </c>
      <c r="P18" s="718">
        <f>IF('Final Calculation Sheet'!$M$16="","",'Final Calculation Sheet'!$M$16)</f>
        <v/>
      </c>
      <c r="R18" s="679">
        <f>IF('Final Calculation Sheet'!$M$27="","",'Final Calculation Sheet'!$M$27)</f>
        <v/>
      </c>
      <c r="T18" s="716">
        <f>IF('Final Calculation Sheet'!$M$18="","",'Final Calculation Sheet'!$M$18)</f>
        <v/>
      </c>
      <c r="U18" s="679">
        <f>IF('Final Calculation Sheet'!$M$19="","",'Final Calculation Sheet'!$M$19)</f>
        <v/>
      </c>
      <c r="V18" s="716">
        <f>IF('Final Calculation Sheet'!$M$22="","",'Final Calculation Sheet'!$M$22)</f>
        <v/>
      </c>
      <c r="W18" s="679">
        <f>IF('Final Calculation Sheet'!$M$24="","",'Final Calculation Sheet'!$M$24)</f>
        <v/>
      </c>
      <c r="X18" s="716">
        <f>IF('Final Calculation Sheet'!$M$26="","",'Final Calculation Sheet'!$M$26)</f>
        <v/>
      </c>
      <c r="Z18" s="679">
        <f>IF('Final Calculation Sheet'!$M$21="","",'Final Calculation Sheet'!$M$21)</f>
        <v/>
      </c>
      <c r="AB18" s="719">
        <f>IF('Final Calculation Sheet'!$M$20="","",'Final Calculation Sheet'!$M$20)</f>
        <v/>
      </c>
      <c r="AD18" s="679">
        <f>IF('Final Calculation Sheet'!$M$17="","",'Final Calculation Sheet'!$M$17)</f>
        <v/>
      </c>
      <c r="AE18" s="718">
        <f>IF('Final Calculation Sheet'!$M$23="","",'Final Calculation Sheet'!$M$23)</f>
        <v/>
      </c>
      <c r="AF18" s="679">
        <f>IF('Final Calculation Sheet'!$M$29="","",'Final Calculation Sheet'!$M$29)</f>
        <v/>
      </c>
      <c r="AH18" s="714">
        <f>IF('Final Calculation Sheet'!$M$25="","",'Final Calculation Sheet'!$M$25)</f>
        <v/>
      </c>
      <c r="AI18" s="679">
        <f>IF('Final Calculation Sheet'!$M$28="","",'Final Calculation Sheet'!$M$28)</f>
        <v/>
      </c>
      <c r="AK18" s="716">
        <f>IF('Final Calculation Sheet'!$M$30="","",'Final Calculation Sheet'!$M$30)</f>
        <v/>
      </c>
      <c r="AL18" s="679">
        <f>IF('Final Calculation Sheet'!$M$32="","",'Final Calculation Sheet'!$M$32)</f>
        <v/>
      </c>
      <c r="AM18" s="716">
        <f>IF('Final Calculation Sheet'!$M$33="","",'Final Calculation Sheet'!$M$33)</f>
        <v/>
      </c>
      <c r="AO18" s="679">
        <f>IF('Final Calculation Sheet'!$M$31="","",'Final Calculation Sheet'!$M$31)</f>
        <v/>
      </c>
      <c r="AQ18" s="718">
        <f>IF('Final Calculation Sheet'!$M$34="","",'Final Calculation Sheet'!$M$34)</f>
        <v/>
      </c>
      <c r="AS18" s="679">
        <f>IF('Final Calculation Sheet'!$M$4="","",'Final Calculation Sheet'!$M$4)</f>
        <v/>
      </c>
      <c r="AU18" s="717">
        <f>IF('Final Calculation Sheet'!$M$38="","",'Final Calculation Sheet'!$M$38)</f>
        <v/>
      </c>
      <c r="AW18" s="679">
        <f>IF('Final Calculation Sheet'!$M$37="","",'Final Calculation Sheet'!$M$37)</f>
        <v/>
      </c>
      <c r="AY18" s="719">
        <f>IF('Final Calculation Sheet'!$M$8="","",'Final Calculation Sheet'!$M$8)</f>
        <v/>
      </c>
      <c r="BA18" s="679">
        <f>IF('Final Calculation Sheet'!$M$39="","",'Final Calculation Sheet'!$M$39)</f>
        <v/>
      </c>
      <c r="BB18" s="718">
        <f>IF('Final Calculation Sheet'!$M$40="","",'Final Calculation Sheet'!$M$40)</f>
        <v/>
      </c>
      <c r="BD18" s="679">
        <f>IF('Final Calculation Sheet'!$M$36="","",'Final Calculation Sheet'!$M$36)</f>
        <v/>
      </c>
      <c r="BF18" s="714">
        <f>IF('Final Calculation Sheet'!$M$35="","",'Final Calculation Sheet'!$M$35)</f>
        <v/>
      </c>
      <c r="BG18" s="680">
        <f>IF('Final Calculation Sheet'!$M$41="","",'Final Calculation Sheet'!$M$41)</f>
        <v/>
      </c>
    </row>
    <row r="19" ht="15" customHeight="1">
      <c r="A19" s="678" t="inlineStr">
        <is>
          <t>TDS u/s 194(H)</t>
        </is>
      </c>
      <c r="B19" s="720">
        <f>IF('Final Calculation Sheet'!$N$6="","",'Final Calculation Sheet'!$N$6)</f>
        <v/>
      </c>
      <c r="C19" s="681">
        <f>IF('Final Calculation Sheet'!$N$7="","",'Final Calculation Sheet'!$N$7)</f>
        <v/>
      </c>
      <c r="E19" s="721">
        <f>IF('Final Calculation Sheet'!$N$15="","",'Final Calculation Sheet'!$N$15)</f>
        <v/>
      </c>
      <c r="G19" s="681">
        <f>IF('Final Calculation Sheet'!$N$5="","",'Final Calculation Sheet'!$N$5)</f>
        <v/>
      </c>
      <c r="H19" s="722">
        <f>IF('Final Calculation Sheet'!$N$10="","",'Final Calculation Sheet'!$N$10)</f>
        <v/>
      </c>
      <c r="I19" s="681">
        <f>IF('Final Calculation Sheet'!$N$11="","",'Final Calculation Sheet'!$N$11)</f>
        <v/>
      </c>
      <c r="J19" s="722">
        <f>IF('Final Calculation Sheet'!$N$12="","",'Final Calculation Sheet'!$N$12)</f>
        <v/>
      </c>
      <c r="L19" s="681">
        <f>IF('Final Calculation Sheet'!$N$9="","",'Final Calculation Sheet'!$N$9)</f>
        <v/>
      </c>
      <c r="M19" s="723">
        <f>IF('Final Calculation Sheet'!$N$14="","",'Final Calculation Sheet'!$N$14)</f>
        <v/>
      </c>
      <c r="O19" s="681">
        <f>IF('Final Calculation Sheet'!$N$13="","",'Final Calculation Sheet'!$N$13)</f>
        <v/>
      </c>
      <c r="P19" s="724">
        <f>IF('Final Calculation Sheet'!$N$16="","",'Final Calculation Sheet'!$N$16)</f>
        <v/>
      </c>
      <c r="R19" s="681">
        <f>IF('Final Calculation Sheet'!$N$27="","",'Final Calculation Sheet'!$N$27)</f>
        <v/>
      </c>
      <c r="T19" s="722">
        <f>IF('Final Calculation Sheet'!$N$18="","",'Final Calculation Sheet'!$N$18)</f>
        <v/>
      </c>
      <c r="U19" s="681">
        <f>IF('Final Calculation Sheet'!$N$19="","",'Final Calculation Sheet'!$N$19)</f>
        <v/>
      </c>
      <c r="V19" s="722">
        <f>IF('Final Calculation Sheet'!$N$22="","",'Final Calculation Sheet'!$N$22)</f>
        <v/>
      </c>
      <c r="W19" s="681">
        <f>IF('Final Calculation Sheet'!$N$24="","",'Final Calculation Sheet'!$N$24)</f>
        <v/>
      </c>
      <c r="X19" s="722">
        <f>IF('Final Calculation Sheet'!$N$26="","",'Final Calculation Sheet'!$N$26)</f>
        <v/>
      </c>
      <c r="Z19" s="681">
        <f>IF('Final Calculation Sheet'!$N$21="","",'Final Calculation Sheet'!$N$21)</f>
        <v/>
      </c>
      <c r="AB19" s="725">
        <f>IF('Final Calculation Sheet'!$N$20="","",'Final Calculation Sheet'!$N$20)</f>
        <v/>
      </c>
      <c r="AD19" s="681">
        <f>IF('Final Calculation Sheet'!$N$17="","",'Final Calculation Sheet'!$N$17)</f>
        <v/>
      </c>
      <c r="AE19" s="724">
        <f>IF('Final Calculation Sheet'!$N$23="","",'Final Calculation Sheet'!$N$23)</f>
        <v/>
      </c>
      <c r="AF19" s="681">
        <f>IF('Final Calculation Sheet'!$N$29="","",'Final Calculation Sheet'!$N$29)</f>
        <v/>
      </c>
      <c r="AH19" s="720">
        <f>IF('Final Calculation Sheet'!$N$25="","",'Final Calculation Sheet'!$N$25)</f>
        <v/>
      </c>
      <c r="AI19" s="681">
        <f>IF('Final Calculation Sheet'!$N$28="","",'Final Calculation Sheet'!$N$28)</f>
        <v/>
      </c>
      <c r="AK19" s="722">
        <f>IF('Final Calculation Sheet'!$N$30="","",'Final Calculation Sheet'!$N$30)</f>
        <v/>
      </c>
      <c r="AL19" s="681">
        <f>IF('Final Calculation Sheet'!$N$32="","",'Final Calculation Sheet'!$N$32)</f>
        <v/>
      </c>
      <c r="AM19" s="722">
        <f>IF('Final Calculation Sheet'!$N$33="","",'Final Calculation Sheet'!$N$33)</f>
        <v/>
      </c>
      <c r="AO19" s="681">
        <f>IF('Final Calculation Sheet'!$N$31="","",'Final Calculation Sheet'!$N$31)</f>
        <v/>
      </c>
      <c r="AQ19" s="724">
        <f>IF('Final Calculation Sheet'!$N$34="","",'Final Calculation Sheet'!$N$34)</f>
        <v/>
      </c>
      <c r="AS19" s="681">
        <f>IF('Final Calculation Sheet'!$N$4="","",'Final Calculation Sheet'!$N$4)</f>
        <v/>
      </c>
      <c r="AU19" s="723">
        <f>IF('Final Calculation Sheet'!$N$38="","",'Final Calculation Sheet'!$N$38)</f>
        <v/>
      </c>
      <c r="AW19" s="681">
        <f>IF('Final Calculation Sheet'!$N$37="","",'Final Calculation Sheet'!$N$37)</f>
        <v/>
      </c>
      <c r="AY19" s="725">
        <f>IF('Final Calculation Sheet'!$N$8="","",'Final Calculation Sheet'!$N$8)</f>
        <v/>
      </c>
      <c r="BA19" s="681">
        <f>IF('Final Calculation Sheet'!$N$39="","",'Final Calculation Sheet'!$N$39)</f>
        <v/>
      </c>
      <c r="BB19" s="724">
        <f>IF('Final Calculation Sheet'!$N$40="","",'Final Calculation Sheet'!$N$40)</f>
        <v/>
      </c>
      <c r="BD19" s="681">
        <f>IF('Final Calculation Sheet'!$N$36="","",'Final Calculation Sheet'!$N$36)</f>
        <v/>
      </c>
      <c r="BF19" s="720">
        <f>IF('Final Calculation Sheet'!$N$35="","",'Final Calculation Sheet'!$N$35)</f>
        <v/>
      </c>
      <c r="BG19" s="682">
        <f>IF('Final Calculation Sheet'!$N$41="","",'Final Calculation Sheet'!$N$41)</f>
        <v/>
      </c>
    </row>
    <row r="20" ht="15" customHeight="1">
      <c r="A20" s="675" t="inlineStr">
        <is>
          <t>Net Service Charge (post TDS 194H)</t>
        </is>
      </c>
      <c r="B20" s="714">
        <f>IF('Final Calculation Sheet'!$O$6="","",'Final Calculation Sheet'!$O$6)</f>
        <v/>
      </c>
      <c r="C20" s="679">
        <f>IF('Final Calculation Sheet'!$O$7="","",'Final Calculation Sheet'!$O$7)</f>
        <v/>
      </c>
      <c r="E20" s="715">
        <f>IF('Final Calculation Sheet'!$O$15="","",'Final Calculation Sheet'!$O$15)</f>
        <v/>
      </c>
      <c r="G20" s="679">
        <f>IF('Final Calculation Sheet'!$O$5="","",'Final Calculation Sheet'!$O$5)</f>
        <v/>
      </c>
      <c r="H20" s="716">
        <f>IF('Final Calculation Sheet'!$O$10="","",'Final Calculation Sheet'!$O$10)</f>
        <v/>
      </c>
      <c r="I20" s="679">
        <f>IF('Final Calculation Sheet'!$O$11="","",'Final Calculation Sheet'!$O$11)</f>
        <v/>
      </c>
      <c r="J20" s="716">
        <f>IF('Final Calculation Sheet'!$O$12="","",'Final Calculation Sheet'!$O$12)</f>
        <v/>
      </c>
      <c r="L20" s="679">
        <f>IF('Final Calculation Sheet'!$O$9="","",'Final Calculation Sheet'!$O$9)</f>
        <v/>
      </c>
      <c r="M20" s="717">
        <f>IF('Final Calculation Sheet'!$O$14="","",'Final Calculation Sheet'!$O$14)</f>
        <v/>
      </c>
      <c r="O20" s="679">
        <f>IF('Final Calculation Sheet'!$O$13="","",'Final Calculation Sheet'!$O$13)</f>
        <v/>
      </c>
      <c r="P20" s="718">
        <f>IF('Final Calculation Sheet'!$O$16="","",'Final Calculation Sheet'!$O$16)</f>
        <v/>
      </c>
      <c r="R20" s="679">
        <f>IF('Final Calculation Sheet'!$O$27="","",'Final Calculation Sheet'!$O$27)</f>
        <v/>
      </c>
      <c r="T20" s="716">
        <f>IF('Final Calculation Sheet'!$O$18="","",'Final Calculation Sheet'!$O$18)</f>
        <v/>
      </c>
      <c r="U20" s="679">
        <f>IF('Final Calculation Sheet'!$O$19="","",'Final Calculation Sheet'!$O$19)</f>
        <v/>
      </c>
      <c r="V20" s="716">
        <f>IF('Final Calculation Sheet'!$O$22="","",'Final Calculation Sheet'!$O$22)</f>
        <v/>
      </c>
      <c r="W20" s="679">
        <f>IF('Final Calculation Sheet'!$O$24="","",'Final Calculation Sheet'!$O$24)</f>
        <v/>
      </c>
      <c r="X20" s="716">
        <f>IF('Final Calculation Sheet'!$O$26="","",'Final Calculation Sheet'!$O$26)</f>
        <v/>
      </c>
      <c r="Z20" s="679">
        <f>IF('Final Calculation Sheet'!$O$21="","",'Final Calculation Sheet'!$O$21)</f>
        <v/>
      </c>
      <c r="AB20" s="719">
        <f>IF('Final Calculation Sheet'!$O$20="","",'Final Calculation Sheet'!$O$20)</f>
        <v/>
      </c>
      <c r="AD20" s="679">
        <f>IF('Final Calculation Sheet'!$O$17="","",'Final Calculation Sheet'!$O$17)</f>
        <v/>
      </c>
      <c r="AE20" s="718">
        <f>IF('Final Calculation Sheet'!$O$23="","",'Final Calculation Sheet'!$O$23)</f>
        <v/>
      </c>
      <c r="AF20" s="679">
        <f>IF('Final Calculation Sheet'!$O$29="","",'Final Calculation Sheet'!$O$29)</f>
        <v/>
      </c>
      <c r="AH20" s="714">
        <f>IF('Final Calculation Sheet'!$O$25="","",'Final Calculation Sheet'!$O$25)</f>
        <v/>
      </c>
      <c r="AI20" s="679">
        <f>IF('Final Calculation Sheet'!$O$28="","",'Final Calculation Sheet'!$O$28)</f>
        <v/>
      </c>
      <c r="AK20" s="716">
        <f>IF('Final Calculation Sheet'!$O$30="","",'Final Calculation Sheet'!$O$30)</f>
        <v/>
      </c>
      <c r="AL20" s="679">
        <f>IF('Final Calculation Sheet'!$O$32="","",'Final Calculation Sheet'!$O$32)</f>
        <v/>
      </c>
      <c r="AM20" s="716">
        <f>IF('Final Calculation Sheet'!$O$33="","",'Final Calculation Sheet'!$O$33)</f>
        <v/>
      </c>
      <c r="AO20" s="679">
        <f>IF('Final Calculation Sheet'!$O$31="","",'Final Calculation Sheet'!$O$31)</f>
        <v/>
      </c>
      <c r="AQ20" s="718">
        <f>IF('Final Calculation Sheet'!$O$34="","",'Final Calculation Sheet'!$O$34)</f>
        <v/>
      </c>
      <c r="AS20" s="679">
        <f>IF('Final Calculation Sheet'!$O$4="","",'Final Calculation Sheet'!$O$4)</f>
        <v/>
      </c>
      <c r="AU20" s="717">
        <f>IF('Final Calculation Sheet'!$O$38="","",'Final Calculation Sheet'!$O$38)</f>
        <v/>
      </c>
      <c r="AW20" s="679">
        <f>IF('Final Calculation Sheet'!$O$37="","",'Final Calculation Sheet'!$O$37)</f>
        <v/>
      </c>
      <c r="AY20" s="719">
        <f>IF('Final Calculation Sheet'!$O$8="","",'Final Calculation Sheet'!$O$8)</f>
        <v/>
      </c>
      <c r="BA20" s="679">
        <f>IF('Final Calculation Sheet'!$O$39="","",'Final Calculation Sheet'!$O$39)</f>
        <v/>
      </c>
      <c r="BB20" s="718">
        <f>IF('Final Calculation Sheet'!$O$40="","",'Final Calculation Sheet'!$O$40)</f>
        <v/>
      </c>
      <c r="BD20" s="679">
        <f>IF('Final Calculation Sheet'!$O$36="","",'Final Calculation Sheet'!$O$36)</f>
        <v/>
      </c>
      <c r="BF20" s="714">
        <f>IF('Final Calculation Sheet'!$O$35="","",'Final Calculation Sheet'!$O$35)</f>
        <v/>
      </c>
      <c r="BG20" s="680">
        <f>IF('Final Calculation Sheet'!$O$41="","",'Final Calculation Sheet'!$O$41)</f>
        <v/>
      </c>
    </row>
    <row r="21" ht="15" customHeight="1">
      <c r="A21" s="678" t="inlineStr">
        <is>
          <t>Service charge to MSTC</t>
        </is>
      </c>
      <c r="B21" s="714">
        <f>IF('Final Calculation Sheet'!$P$6="","",'Final Calculation Sheet'!$P$6)</f>
        <v/>
      </c>
      <c r="C21" s="679">
        <f>IF('Final Calculation Sheet'!$P$7="","",'Final Calculation Sheet'!$P$7)</f>
        <v/>
      </c>
      <c r="E21" s="715">
        <f>IF('Final Calculation Sheet'!$P$15="","",'Final Calculation Sheet'!$P$15)</f>
        <v/>
      </c>
      <c r="G21" s="679">
        <f>IF('Final Calculation Sheet'!$P$5="","",'Final Calculation Sheet'!$P$5)</f>
        <v/>
      </c>
      <c r="H21" s="716">
        <f>IF('Final Calculation Sheet'!$P$10="","",'Final Calculation Sheet'!$P$10)</f>
        <v/>
      </c>
      <c r="I21" s="679">
        <f>IF('Final Calculation Sheet'!$P$11="","",'Final Calculation Sheet'!$P$11)</f>
        <v/>
      </c>
      <c r="J21" s="716">
        <f>IF('Final Calculation Sheet'!$P$12="","",'Final Calculation Sheet'!$P$12)</f>
        <v/>
      </c>
      <c r="L21" s="679">
        <f>IF('Final Calculation Sheet'!$P$9="","",'Final Calculation Sheet'!$P$9)</f>
        <v/>
      </c>
      <c r="M21" s="717">
        <f>IF('Final Calculation Sheet'!$P$14="","",'Final Calculation Sheet'!$P$14)</f>
        <v/>
      </c>
      <c r="O21" s="679">
        <f>IF('Final Calculation Sheet'!$P$13="","",'Final Calculation Sheet'!$P$13)</f>
        <v/>
      </c>
      <c r="P21" s="718">
        <f>IF('Final Calculation Sheet'!$P$16="","",'Final Calculation Sheet'!$P$16)</f>
        <v/>
      </c>
      <c r="R21" s="679">
        <f>IF('Final Calculation Sheet'!$P$27="","",'Final Calculation Sheet'!$P$27)</f>
        <v/>
      </c>
      <c r="T21" s="716">
        <f>IF('Final Calculation Sheet'!$P$18="","",'Final Calculation Sheet'!$P$18)</f>
        <v/>
      </c>
      <c r="U21" s="679">
        <f>IF('Final Calculation Sheet'!$P$19="","",'Final Calculation Sheet'!$P$19)</f>
        <v/>
      </c>
      <c r="V21" s="716">
        <f>IF('Final Calculation Sheet'!$P$22="","",'Final Calculation Sheet'!$P$22)</f>
        <v/>
      </c>
      <c r="W21" s="679">
        <f>IF('Final Calculation Sheet'!$P$24="","",'Final Calculation Sheet'!$P$24)</f>
        <v/>
      </c>
      <c r="X21" s="716">
        <f>IF('Final Calculation Sheet'!$P$26="","",'Final Calculation Sheet'!$P$26)</f>
        <v/>
      </c>
      <c r="Z21" s="679">
        <f>IF('Final Calculation Sheet'!$P$21="","",'Final Calculation Sheet'!$P$21)</f>
        <v/>
      </c>
      <c r="AB21" s="719">
        <f>IF('Final Calculation Sheet'!$P$20="","",'Final Calculation Sheet'!$P$20)</f>
        <v/>
      </c>
      <c r="AD21" s="679">
        <f>IF('Final Calculation Sheet'!$P$17="","",'Final Calculation Sheet'!$P$17)</f>
        <v/>
      </c>
      <c r="AE21" s="718">
        <f>IF('Final Calculation Sheet'!$P$23="","",'Final Calculation Sheet'!$P$23)</f>
        <v/>
      </c>
      <c r="AF21" s="679">
        <f>IF('Final Calculation Sheet'!$P$29="","",'Final Calculation Sheet'!$P$29)</f>
        <v/>
      </c>
      <c r="AH21" s="714">
        <f>IF('Final Calculation Sheet'!$P$25="","",'Final Calculation Sheet'!$P$25)</f>
        <v/>
      </c>
      <c r="AI21" s="679">
        <f>IF('Final Calculation Sheet'!$P$28="","",'Final Calculation Sheet'!$P$28)</f>
        <v/>
      </c>
      <c r="AK21" s="716">
        <f>IF('Final Calculation Sheet'!$P$30="","",'Final Calculation Sheet'!$P$30)</f>
        <v/>
      </c>
      <c r="AL21" s="679">
        <f>IF('Final Calculation Sheet'!$P$32="","",'Final Calculation Sheet'!$P$32)</f>
        <v/>
      </c>
      <c r="AM21" s="716">
        <f>IF('Final Calculation Sheet'!$P$33="","",'Final Calculation Sheet'!$P$33)</f>
        <v/>
      </c>
      <c r="AO21" s="679">
        <f>IF('Final Calculation Sheet'!$P$31="","",'Final Calculation Sheet'!$P$31)</f>
        <v/>
      </c>
      <c r="AQ21" s="718">
        <f>IF('Final Calculation Sheet'!$P$34="","",'Final Calculation Sheet'!$P$34)</f>
        <v/>
      </c>
      <c r="AS21" s="679">
        <f>IF('Final Calculation Sheet'!$P$4="","",'Final Calculation Sheet'!$P$4)</f>
        <v/>
      </c>
      <c r="AU21" s="717">
        <f>IF('Final Calculation Sheet'!$P$38="","",'Final Calculation Sheet'!$P$38)</f>
        <v/>
      </c>
      <c r="AW21" s="679">
        <f>IF('Final Calculation Sheet'!$P$37="","",'Final Calculation Sheet'!$P$37)</f>
        <v/>
      </c>
      <c r="AY21" s="719">
        <f>IF('Final Calculation Sheet'!$P$8="","",'Final Calculation Sheet'!$P$8)</f>
        <v/>
      </c>
      <c r="BA21" s="679">
        <f>IF('Final Calculation Sheet'!$P$39="","",'Final Calculation Sheet'!$P$39)</f>
        <v/>
      </c>
      <c r="BB21" s="718">
        <f>IF('Final Calculation Sheet'!$P$40="","",'Final Calculation Sheet'!$P$40)</f>
        <v/>
      </c>
      <c r="BD21" s="679">
        <f>IF('Final Calculation Sheet'!$P$36="","",'Final Calculation Sheet'!$P$36)</f>
        <v/>
      </c>
      <c r="BF21" s="714">
        <f>IF('Final Calculation Sheet'!$P$35="","",'Final Calculation Sheet'!$P$35)</f>
        <v/>
      </c>
      <c r="BG21" s="680">
        <f>IF('Final Calculation Sheet'!$P$41="","",'Final Calculation Sheet'!$P$41)</f>
        <v/>
      </c>
    </row>
    <row r="22" ht="15" customHeight="1">
      <c r="A22" s="675" t="inlineStr">
        <is>
          <t>GST TDS Rate</t>
        </is>
      </c>
      <c r="B22" s="726">
        <f>IF('Final Calculation Sheet'!$Q$6="","",'Final Calculation Sheet'!$Q$6)</f>
        <v/>
      </c>
      <c r="C22" s="683">
        <f>IF('Final Calculation Sheet'!$Q$7="","",'Final Calculation Sheet'!$Q$7)</f>
        <v/>
      </c>
      <c r="E22" s="727">
        <f>IF('Final Calculation Sheet'!$Q$15="","",'Final Calculation Sheet'!$Q$15)</f>
        <v/>
      </c>
      <c r="G22" s="683">
        <f>IF('Final Calculation Sheet'!$Q$5="","",'Final Calculation Sheet'!$Q$5)</f>
        <v/>
      </c>
      <c r="H22" s="728">
        <f>IF('Final Calculation Sheet'!$Q$10="","",'Final Calculation Sheet'!$Q$10)</f>
        <v/>
      </c>
      <c r="I22" s="683">
        <f>IF('Final Calculation Sheet'!$Q$11="","",'Final Calculation Sheet'!$Q$11)</f>
        <v/>
      </c>
      <c r="J22" s="728">
        <f>IF('Final Calculation Sheet'!$Q$12="","",'Final Calculation Sheet'!$Q$12)</f>
        <v/>
      </c>
      <c r="L22" s="683">
        <f>IF('Final Calculation Sheet'!$Q$9="","",'Final Calculation Sheet'!$Q$9)</f>
        <v/>
      </c>
      <c r="M22" s="729">
        <f>IF('Final Calculation Sheet'!$Q$14="","",'Final Calculation Sheet'!$Q$14)</f>
        <v/>
      </c>
      <c r="O22" s="683">
        <f>IF('Final Calculation Sheet'!$Q$13="","",'Final Calculation Sheet'!$Q$13)</f>
        <v/>
      </c>
      <c r="P22" s="730">
        <f>IF('Final Calculation Sheet'!$Q$16="","",'Final Calculation Sheet'!$Q$16)</f>
        <v/>
      </c>
      <c r="R22" s="683">
        <f>IF('Final Calculation Sheet'!$Q$27="","",'Final Calculation Sheet'!$Q$27)</f>
        <v/>
      </c>
      <c r="T22" s="728">
        <f>IF('Final Calculation Sheet'!$Q$18="","",'Final Calculation Sheet'!$Q$18)</f>
        <v/>
      </c>
      <c r="U22" s="683">
        <f>IF('Final Calculation Sheet'!$Q$19="","",'Final Calculation Sheet'!$Q$19)</f>
        <v/>
      </c>
      <c r="V22" s="728">
        <f>IF('Final Calculation Sheet'!$Q$22="","",'Final Calculation Sheet'!$Q$22)</f>
        <v/>
      </c>
      <c r="W22" s="683">
        <f>IF('Final Calculation Sheet'!$Q$24="","",'Final Calculation Sheet'!$Q$24)</f>
        <v/>
      </c>
      <c r="X22" s="728">
        <f>IF('Final Calculation Sheet'!$Q$26="","",'Final Calculation Sheet'!$Q$26)</f>
        <v/>
      </c>
      <c r="Z22" s="683">
        <f>IF('Final Calculation Sheet'!$Q$21="","",'Final Calculation Sheet'!$Q$21)</f>
        <v/>
      </c>
      <c r="AB22" s="731">
        <f>IF('Final Calculation Sheet'!$Q$20="","",'Final Calculation Sheet'!$Q$20)</f>
        <v/>
      </c>
      <c r="AD22" s="683">
        <f>IF('Final Calculation Sheet'!$Q$17="","",'Final Calculation Sheet'!$Q$17)</f>
        <v/>
      </c>
      <c r="AE22" s="730">
        <f>IF('Final Calculation Sheet'!$Q$23="","",'Final Calculation Sheet'!$Q$23)</f>
        <v/>
      </c>
      <c r="AF22" s="683">
        <f>IF('Final Calculation Sheet'!$Q$29="","",'Final Calculation Sheet'!$Q$29)</f>
        <v/>
      </c>
      <c r="AH22" s="726">
        <f>IF('Final Calculation Sheet'!$Q$25="","",'Final Calculation Sheet'!$Q$25)</f>
        <v/>
      </c>
      <c r="AI22" s="683">
        <f>IF('Final Calculation Sheet'!$Q$28="","",'Final Calculation Sheet'!$Q$28)</f>
        <v/>
      </c>
      <c r="AK22" s="728">
        <f>IF('Final Calculation Sheet'!$Q$30="","",'Final Calculation Sheet'!$Q$30)</f>
        <v/>
      </c>
      <c r="AL22" s="683">
        <f>IF('Final Calculation Sheet'!$Q$32="","",'Final Calculation Sheet'!$Q$32)</f>
        <v/>
      </c>
      <c r="AM22" s="728">
        <f>IF('Final Calculation Sheet'!$Q$33="","",'Final Calculation Sheet'!$Q$33)</f>
        <v/>
      </c>
      <c r="AO22" s="683">
        <f>IF('Final Calculation Sheet'!$Q$31="","",'Final Calculation Sheet'!$Q$31)</f>
        <v/>
      </c>
      <c r="AQ22" s="730">
        <f>IF('Final Calculation Sheet'!$Q$34="","",'Final Calculation Sheet'!$Q$34)</f>
        <v/>
      </c>
      <c r="AS22" s="683">
        <f>IF('Final Calculation Sheet'!$Q$4="","",'Final Calculation Sheet'!$Q$4)</f>
        <v/>
      </c>
      <c r="AU22" s="729">
        <f>IF('Final Calculation Sheet'!$Q$38="","",'Final Calculation Sheet'!$Q$38)</f>
        <v/>
      </c>
      <c r="AW22" s="683">
        <f>IF('Final Calculation Sheet'!$Q$37="","",'Final Calculation Sheet'!$Q$37)</f>
        <v/>
      </c>
      <c r="AY22" s="731">
        <f>IF('Final Calculation Sheet'!$Q$8="","",'Final Calculation Sheet'!$Q$8)</f>
        <v/>
      </c>
      <c r="BA22" s="683">
        <f>IF('Final Calculation Sheet'!$Q$39="","",'Final Calculation Sheet'!$Q$39)</f>
        <v/>
      </c>
      <c r="BB22" s="730">
        <f>IF('Final Calculation Sheet'!$Q$40="","",'Final Calculation Sheet'!$Q$40)</f>
        <v/>
      </c>
      <c r="BD22" s="683">
        <f>IF('Final Calculation Sheet'!$Q$36="","",'Final Calculation Sheet'!$Q$36)</f>
        <v/>
      </c>
      <c r="BF22" s="726">
        <f>IF('Final Calculation Sheet'!$Q$35="","",'Final Calculation Sheet'!$Q$35)</f>
        <v/>
      </c>
      <c r="BG22" s="684">
        <f>IF('Final Calculation Sheet'!$Q$41="","",'Final Calculation Sheet'!$Q$41)</f>
        <v/>
      </c>
    </row>
    <row r="23" ht="15" customHeight="1">
      <c r="A23" s="678" t="inlineStr">
        <is>
          <t>GST TDS</t>
        </is>
      </c>
      <c r="B23" s="714">
        <f>IF('Final Calculation Sheet'!$R$6="","",'Final Calculation Sheet'!$R$6)</f>
        <v/>
      </c>
      <c r="C23" s="679">
        <f>IF('Final Calculation Sheet'!$R$7="","",'Final Calculation Sheet'!$R$7)</f>
        <v/>
      </c>
      <c r="E23" s="715">
        <f>IF('Final Calculation Sheet'!$R$15="","",'Final Calculation Sheet'!$R$15)</f>
        <v/>
      </c>
      <c r="G23" s="679">
        <f>IF('Final Calculation Sheet'!$R$5="","",'Final Calculation Sheet'!$R$5)</f>
        <v/>
      </c>
      <c r="H23" s="716">
        <f>IF('Final Calculation Sheet'!$R$10="","",'Final Calculation Sheet'!$R$10)</f>
        <v/>
      </c>
      <c r="I23" s="679">
        <f>IF('Final Calculation Sheet'!$R$11="","",'Final Calculation Sheet'!$R$11)</f>
        <v/>
      </c>
      <c r="J23" s="716">
        <f>IF('Final Calculation Sheet'!$R$12="","",'Final Calculation Sheet'!$R$12)</f>
        <v/>
      </c>
      <c r="L23" s="679">
        <f>IF('Final Calculation Sheet'!$R$9="","",'Final Calculation Sheet'!$R$9)</f>
        <v/>
      </c>
      <c r="M23" s="717">
        <f>IF('Final Calculation Sheet'!$R$14="","",'Final Calculation Sheet'!$R$14)</f>
        <v/>
      </c>
      <c r="O23" s="679">
        <f>IF('Final Calculation Sheet'!$R$13="","",'Final Calculation Sheet'!$R$13)</f>
        <v/>
      </c>
      <c r="P23" s="718">
        <f>IF('Final Calculation Sheet'!$R$16="","",'Final Calculation Sheet'!$R$16)</f>
        <v/>
      </c>
      <c r="R23" s="679">
        <f>IF('Final Calculation Sheet'!$R$27="","",'Final Calculation Sheet'!$R$27)</f>
        <v/>
      </c>
      <c r="T23" s="716">
        <f>IF('Final Calculation Sheet'!$R$18="","",'Final Calculation Sheet'!$R$18)</f>
        <v/>
      </c>
      <c r="U23" s="679">
        <f>IF('Final Calculation Sheet'!$R$19="","",'Final Calculation Sheet'!$R$19)</f>
        <v/>
      </c>
      <c r="V23" s="716">
        <f>IF('Final Calculation Sheet'!$R$22="","",'Final Calculation Sheet'!$R$22)</f>
        <v/>
      </c>
      <c r="W23" s="679">
        <f>IF('Final Calculation Sheet'!$R$24="","",'Final Calculation Sheet'!$R$24)</f>
        <v/>
      </c>
      <c r="X23" s="716">
        <f>IF('Final Calculation Sheet'!$R$26="","",'Final Calculation Sheet'!$R$26)</f>
        <v/>
      </c>
      <c r="Z23" s="679">
        <f>IF('Final Calculation Sheet'!$R$21="","",'Final Calculation Sheet'!$R$21)</f>
        <v/>
      </c>
      <c r="AB23" s="719">
        <f>IF('Final Calculation Sheet'!$R$20="","",'Final Calculation Sheet'!$R$20)</f>
        <v/>
      </c>
      <c r="AD23" s="679">
        <f>IF('Final Calculation Sheet'!$R$17="","",'Final Calculation Sheet'!$R$17)</f>
        <v/>
      </c>
      <c r="AE23" s="718">
        <f>IF('Final Calculation Sheet'!$R$23="","",'Final Calculation Sheet'!$R$23)</f>
        <v/>
      </c>
      <c r="AF23" s="679">
        <f>IF('Final Calculation Sheet'!$R$29="","",'Final Calculation Sheet'!$R$29)</f>
        <v/>
      </c>
      <c r="AH23" s="714">
        <f>IF('Final Calculation Sheet'!$R$25="","",'Final Calculation Sheet'!$R$25)</f>
        <v/>
      </c>
      <c r="AI23" s="679">
        <f>IF('Final Calculation Sheet'!$R$28="","",'Final Calculation Sheet'!$R$28)</f>
        <v/>
      </c>
      <c r="AK23" s="716">
        <f>IF('Final Calculation Sheet'!$R$30="","",'Final Calculation Sheet'!$R$30)</f>
        <v/>
      </c>
      <c r="AL23" s="679">
        <f>IF('Final Calculation Sheet'!$R$32="","",'Final Calculation Sheet'!$R$32)</f>
        <v/>
      </c>
      <c r="AM23" s="716">
        <f>IF('Final Calculation Sheet'!$R$33="","",'Final Calculation Sheet'!$R$33)</f>
        <v/>
      </c>
      <c r="AO23" s="679">
        <f>IF('Final Calculation Sheet'!$R$31="","",'Final Calculation Sheet'!$R$31)</f>
        <v/>
      </c>
      <c r="AQ23" s="718">
        <f>IF('Final Calculation Sheet'!$R$34="","",'Final Calculation Sheet'!$R$34)</f>
        <v/>
      </c>
      <c r="AS23" s="679">
        <f>IF('Final Calculation Sheet'!$R$4="","",'Final Calculation Sheet'!$R$4)</f>
        <v/>
      </c>
      <c r="AU23" s="717">
        <f>IF('Final Calculation Sheet'!$R$38="","",'Final Calculation Sheet'!$R$38)</f>
        <v/>
      </c>
      <c r="AW23" s="679">
        <f>IF('Final Calculation Sheet'!$R$37="","",'Final Calculation Sheet'!$R$37)</f>
        <v/>
      </c>
      <c r="AY23" s="719">
        <f>IF('Final Calculation Sheet'!$R$8="","",'Final Calculation Sheet'!$R$8)</f>
        <v/>
      </c>
      <c r="BA23" s="679">
        <f>IF('Final Calculation Sheet'!$R$39="","",'Final Calculation Sheet'!$R$39)</f>
        <v/>
      </c>
      <c r="BB23" s="718">
        <f>IF('Final Calculation Sheet'!$R$40="","",'Final Calculation Sheet'!$R$40)</f>
        <v/>
      </c>
      <c r="BD23" s="679">
        <f>IF('Final Calculation Sheet'!$R$36="","",'Final Calculation Sheet'!$R$36)</f>
        <v/>
      </c>
      <c r="BF23" s="714">
        <f>IF('Final Calculation Sheet'!$R$35="","",'Final Calculation Sheet'!$R$35)</f>
        <v/>
      </c>
      <c r="BG23" s="680">
        <f>IF('Final Calculation Sheet'!$R$41="","",'Final Calculation Sheet'!$R$41)</f>
        <v/>
      </c>
    </row>
    <row r="24" ht="15" customHeight="1">
      <c r="A24" s="675" t="inlineStr">
        <is>
          <t>Total Receivables in Cash</t>
        </is>
      </c>
      <c r="B24" s="714">
        <f>IF('Final Calculation Sheet'!$S$6="","",'Final Calculation Sheet'!$S$6)</f>
        <v/>
      </c>
      <c r="C24" s="679">
        <f>IF('Final Calculation Sheet'!$S$7="","",'Final Calculation Sheet'!$S$7)</f>
        <v/>
      </c>
      <c r="E24" s="715">
        <f>IF('Final Calculation Sheet'!$S$15="","",'Final Calculation Sheet'!$S$15)</f>
        <v/>
      </c>
      <c r="G24" s="679">
        <f>IF('Final Calculation Sheet'!$S$5="","",'Final Calculation Sheet'!$S$5)</f>
        <v/>
      </c>
      <c r="H24" s="716">
        <f>IF('Final Calculation Sheet'!$S$10="","",'Final Calculation Sheet'!$S$10)</f>
        <v/>
      </c>
      <c r="I24" s="679">
        <f>IF('Final Calculation Sheet'!$S$11="","",'Final Calculation Sheet'!$S$11)</f>
        <v/>
      </c>
      <c r="J24" s="716">
        <f>IF('Final Calculation Sheet'!$S$12="","",'Final Calculation Sheet'!$S$12)</f>
        <v/>
      </c>
      <c r="L24" s="679">
        <f>IF('Final Calculation Sheet'!$S$9="","",'Final Calculation Sheet'!$S$9)</f>
        <v/>
      </c>
      <c r="M24" s="717">
        <f>IF('Final Calculation Sheet'!$S$14="","",'Final Calculation Sheet'!$S$14)</f>
        <v/>
      </c>
      <c r="O24" s="679">
        <f>IF('Final Calculation Sheet'!$S$13="","",'Final Calculation Sheet'!$S$13)</f>
        <v/>
      </c>
      <c r="P24" s="718">
        <f>IF('Final Calculation Sheet'!$S$16="","",'Final Calculation Sheet'!$S$16)</f>
        <v/>
      </c>
      <c r="R24" s="679">
        <f>IF('Final Calculation Sheet'!$S$27="","",'Final Calculation Sheet'!$S$27)</f>
        <v/>
      </c>
      <c r="T24" s="716">
        <f>IF('Final Calculation Sheet'!$S$18="","",'Final Calculation Sheet'!$S$18)</f>
        <v/>
      </c>
      <c r="U24" s="679">
        <f>IF('Final Calculation Sheet'!$S$19="","",'Final Calculation Sheet'!$S$19)</f>
        <v/>
      </c>
      <c r="V24" s="716">
        <f>IF('Final Calculation Sheet'!$S$22="","",'Final Calculation Sheet'!$S$22)</f>
        <v/>
      </c>
      <c r="W24" s="679">
        <f>IF('Final Calculation Sheet'!$S$24="","",'Final Calculation Sheet'!$S$24)</f>
        <v/>
      </c>
      <c r="X24" s="716">
        <f>IF('Final Calculation Sheet'!$S$26="","",'Final Calculation Sheet'!$S$26)</f>
        <v/>
      </c>
      <c r="Z24" s="679">
        <f>IF('Final Calculation Sheet'!$S$21="","",'Final Calculation Sheet'!$S$21)</f>
        <v/>
      </c>
      <c r="AB24" s="719">
        <f>IF('Final Calculation Sheet'!$S$20="","",'Final Calculation Sheet'!$S$20)</f>
        <v/>
      </c>
      <c r="AD24" s="679">
        <f>IF('Final Calculation Sheet'!$S$17="","",'Final Calculation Sheet'!$S$17)</f>
        <v/>
      </c>
      <c r="AE24" s="718">
        <f>IF('Final Calculation Sheet'!$S$23="","",'Final Calculation Sheet'!$S$23)</f>
        <v/>
      </c>
      <c r="AF24" s="679">
        <f>IF('Final Calculation Sheet'!$S$29="","",'Final Calculation Sheet'!$S$29)</f>
        <v/>
      </c>
      <c r="AH24" s="714">
        <f>IF('Final Calculation Sheet'!$S$25="","",'Final Calculation Sheet'!$S$25)</f>
        <v/>
      </c>
      <c r="AI24" s="679">
        <f>IF('Final Calculation Sheet'!$S$28="","",'Final Calculation Sheet'!$S$28)</f>
        <v/>
      </c>
      <c r="AK24" s="716">
        <f>IF('Final Calculation Sheet'!$S$30="","",'Final Calculation Sheet'!$S$30)</f>
        <v/>
      </c>
      <c r="AL24" s="679">
        <f>IF('Final Calculation Sheet'!$S$32="","",'Final Calculation Sheet'!$S$32)</f>
        <v/>
      </c>
      <c r="AM24" s="716">
        <f>IF('Final Calculation Sheet'!$S$33="","",'Final Calculation Sheet'!$S$33)</f>
        <v/>
      </c>
      <c r="AO24" s="679">
        <f>IF('Final Calculation Sheet'!$S$31="","",'Final Calculation Sheet'!$S$31)</f>
        <v/>
      </c>
      <c r="AQ24" s="718">
        <f>IF('Final Calculation Sheet'!$S$34="","",'Final Calculation Sheet'!$S$34)</f>
        <v/>
      </c>
      <c r="AS24" s="679">
        <f>IF('Final Calculation Sheet'!$S$4="","",'Final Calculation Sheet'!$S$4)</f>
        <v/>
      </c>
      <c r="AU24" s="717">
        <f>IF('Final Calculation Sheet'!$S$38="","",'Final Calculation Sheet'!$S$38)</f>
        <v/>
      </c>
      <c r="AW24" s="679">
        <f>IF('Final Calculation Sheet'!$S$37="","",'Final Calculation Sheet'!$S$37)</f>
        <v/>
      </c>
      <c r="AY24" s="719">
        <f>IF('Final Calculation Sheet'!$S$8="","",'Final Calculation Sheet'!$S$8)</f>
        <v/>
      </c>
      <c r="BA24" s="679">
        <f>IF('Final Calculation Sheet'!$S$39="","",'Final Calculation Sheet'!$S$39)</f>
        <v/>
      </c>
      <c r="BB24" s="718">
        <f>IF('Final Calculation Sheet'!$S$40="","",'Final Calculation Sheet'!$S$40)</f>
        <v/>
      </c>
      <c r="BD24" s="679">
        <f>IF('Final Calculation Sheet'!$S$36="","",'Final Calculation Sheet'!$S$36)</f>
        <v/>
      </c>
      <c r="BF24" s="714">
        <f>IF('Final Calculation Sheet'!$S$35="","",'Final Calculation Sheet'!$S$35)</f>
        <v/>
      </c>
      <c r="BG24" s="680">
        <f>IF('Final Calculation Sheet'!$S$41="","",'Final Calculation Sheet'!$S$41)</f>
        <v/>
      </c>
    </row>
    <row r="25" ht="15" customHeight="1">
      <c r="A25" s="678" t="inlineStr">
        <is>
          <t>Security Deposit (Expected)</t>
        </is>
      </c>
      <c r="B25" s="714">
        <f>IF('Final Calculation Sheet'!$T$6="","",'Final Calculation Sheet'!$T$6)</f>
        <v/>
      </c>
      <c r="C25" s="679">
        <f>IF('Final Calculation Sheet'!$T$7="","",'Final Calculation Sheet'!$T$7)</f>
        <v/>
      </c>
      <c r="E25" s="715">
        <f>IF('Final Calculation Sheet'!$T$15="","",'Final Calculation Sheet'!$T$15)</f>
        <v/>
      </c>
      <c r="G25" s="679">
        <f>IF('Final Calculation Sheet'!$T$5="","",'Final Calculation Sheet'!$T$5)</f>
        <v/>
      </c>
      <c r="H25" s="716">
        <f>IF('Final Calculation Sheet'!$T$10="","",'Final Calculation Sheet'!$T$10)</f>
        <v/>
      </c>
      <c r="I25" s="679">
        <f>IF('Final Calculation Sheet'!$T$11="","",'Final Calculation Sheet'!$T$11)</f>
        <v/>
      </c>
      <c r="J25" s="716">
        <f>IF('Final Calculation Sheet'!$T$12="","",'Final Calculation Sheet'!$T$12)</f>
        <v/>
      </c>
      <c r="L25" s="679">
        <f>IF('Final Calculation Sheet'!$T$9="","",'Final Calculation Sheet'!$T$9)</f>
        <v/>
      </c>
      <c r="M25" s="717">
        <f>IF('Final Calculation Sheet'!$T$14="","",'Final Calculation Sheet'!$T$14)</f>
        <v/>
      </c>
      <c r="O25" s="679">
        <f>IF('Final Calculation Sheet'!$T$13="","",'Final Calculation Sheet'!$T$13)</f>
        <v/>
      </c>
      <c r="P25" s="718">
        <f>IF('Final Calculation Sheet'!$T$16="","",'Final Calculation Sheet'!$T$16)</f>
        <v/>
      </c>
      <c r="R25" s="679">
        <f>IF('Final Calculation Sheet'!$T$27="","",'Final Calculation Sheet'!$T$27)</f>
        <v/>
      </c>
      <c r="T25" s="716">
        <f>IF('Final Calculation Sheet'!$T$18="","",'Final Calculation Sheet'!$T$18)</f>
        <v/>
      </c>
      <c r="U25" s="679">
        <f>IF('Final Calculation Sheet'!$T$19="","",'Final Calculation Sheet'!$T$19)</f>
        <v/>
      </c>
      <c r="V25" s="716">
        <f>IF('Final Calculation Sheet'!$T$22="","",'Final Calculation Sheet'!$T$22)</f>
        <v/>
      </c>
      <c r="W25" s="679">
        <f>IF('Final Calculation Sheet'!$T$24="","",'Final Calculation Sheet'!$T$24)</f>
        <v/>
      </c>
      <c r="X25" s="716">
        <f>IF('Final Calculation Sheet'!$T$26="","",'Final Calculation Sheet'!$T$26)</f>
        <v/>
      </c>
      <c r="Z25" s="679">
        <f>IF('Final Calculation Sheet'!$T$21="","",'Final Calculation Sheet'!$T$21)</f>
        <v/>
      </c>
      <c r="AB25" s="719">
        <f>IF('Final Calculation Sheet'!$T$20="","",'Final Calculation Sheet'!$T$20)</f>
        <v/>
      </c>
      <c r="AD25" s="679">
        <f>IF('Final Calculation Sheet'!$T$17="","",'Final Calculation Sheet'!$T$17)</f>
        <v/>
      </c>
      <c r="AE25" s="718">
        <f>IF('Final Calculation Sheet'!$T$23="","",'Final Calculation Sheet'!$T$23)</f>
        <v/>
      </c>
      <c r="AF25" s="679">
        <f>IF('Final Calculation Sheet'!$T$29="","",'Final Calculation Sheet'!$T$29)</f>
        <v/>
      </c>
      <c r="AH25" s="714">
        <f>IF('Final Calculation Sheet'!$T$25="","",'Final Calculation Sheet'!$T$25)</f>
        <v/>
      </c>
      <c r="AI25" s="679">
        <f>IF('Final Calculation Sheet'!$T$28="","",'Final Calculation Sheet'!$T$28)</f>
        <v/>
      </c>
      <c r="AK25" s="716">
        <f>IF('Final Calculation Sheet'!$T$30="","",'Final Calculation Sheet'!$T$30)</f>
        <v/>
      </c>
      <c r="AL25" s="679">
        <f>IF('Final Calculation Sheet'!$T$32="","",'Final Calculation Sheet'!$T$32)</f>
        <v/>
      </c>
      <c r="AM25" s="716">
        <f>IF('Final Calculation Sheet'!$T$33="","",'Final Calculation Sheet'!$T$33)</f>
        <v/>
      </c>
      <c r="AO25" s="679">
        <f>IF('Final Calculation Sheet'!$T$31="","",'Final Calculation Sheet'!$T$31)</f>
        <v/>
      </c>
      <c r="AQ25" s="718">
        <f>IF('Final Calculation Sheet'!$T$34="","",'Final Calculation Sheet'!$T$34)</f>
        <v/>
      </c>
      <c r="AS25" s="679">
        <f>IF('Final Calculation Sheet'!$T$4="","",'Final Calculation Sheet'!$T$4)</f>
        <v/>
      </c>
      <c r="AU25" s="717">
        <f>IF('Final Calculation Sheet'!$T$38="","",'Final Calculation Sheet'!$T$38)</f>
        <v/>
      </c>
      <c r="AW25" s="679">
        <f>IF('Final Calculation Sheet'!$T$37="","",'Final Calculation Sheet'!$T$37)</f>
        <v/>
      </c>
      <c r="AY25" s="719">
        <f>IF('Final Calculation Sheet'!$T$8="","",'Final Calculation Sheet'!$T$8)</f>
        <v/>
      </c>
      <c r="BA25" s="679">
        <f>IF('Final Calculation Sheet'!$T$39="","",'Final Calculation Sheet'!$T$39)</f>
        <v/>
      </c>
      <c r="BB25" s="718">
        <f>IF('Final Calculation Sheet'!$T$40="","",'Final Calculation Sheet'!$T$40)</f>
        <v/>
      </c>
      <c r="BD25" s="679">
        <f>IF('Final Calculation Sheet'!$T$36="","",'Final Calculation Sheet'!$T$36)</f>
        <v/>
      </c>
      <c r="BF25" s="714">
        <f>IF('Final Calculation Sheet'!$T$35="","",'Final Calculation Sheet'!$T$35)</f>
        <v/>
      </c>
      <c r="BG25" s="680">
        <f>IF('Final Calculation Sheet'!$T$41="","",'Final Calculation Sheet'!$T$41)</f>
        <v/>
      </c>
    </row>
    <row r="26" ht="15" customHeight="1">
      <c r="A26" s="675" t="inlineStr">
        <is>
          <t>Security Deposit (Received)</t>
        </is>
      </c>
      <c r="B26" s="732">
        <f>IF('Final Calculation Sheet'!$U$6="","",'Final Calculation Sheet'!$U$6)</f>
        <v/>
      </c>
      <c r="C26" s="685">
        <f>IF('Final Calculation Sheet'!$U$7="","",'Final Calculation Sheet'!$U$7)</f>
        <v/>
      </c>
      <c r="E26" s="733">
        <f>IF('Final Calculation Sheet'!$U$15="","",'Final Calculation Sheet'!$U$15)</f>
        <v/>
      </c>
      <c r="G26" s="685">
        <f>IF('Final Calculation Sheet'!$U$5="","",'Final Calculation Sheet'!$U$5)</f>
        <v/>
      </c>
      <c r="H26" s="734">
        <f>IF('Final Calculation Sheet'!$U$10="","",'Final Calculation Sheet'!$U$10)</f>
        <v/>
      </c>
      <c r="I26" s="685">
        <f>IF('Final Calculation Sheet'!$U$11="","",'Final Calculation Sheet'!$U$11)</f>
        <v/>
      </c>
      <c r="J26" s="734">
        <f>IF('Final Calculation Sheet'!$U$12="","",'Final Calculation Sheet'!$U$12)</f>
        <v/>
      </c>
      <c r="L26" s="685">
        <f>IF('Final Calculation Sheet'!$U$9="","",'Final Calculation Sheet'!$U$9)</f>
        <v/>
      </c>
      <c r="M26" s="735">
        <f>IF('Final Calculation Sheet'!$U$14="","",'Final Calculation Sheet'!$U$14)</f>
        <v/>
      </c>
      <c r="O26" s="685">
        <f>IF('Final Calculation Sheet'!$U$13="","",'Final Calculation Sheet'!$U$13)</f>
        <v/>
      </c>
      <c r="P26" s="736">
        <f>IF('Final Calculation Sheet'!$U$16="","",'Final Calculation Sheet'!$U$16)</f>
        <v/>
      </c>
      <c r="R26" s="685">
        <f>IF('Final Calculation Sheet'!$U$27="","",'Final Calculation Sheet'!$U$27)</f>
        <v/>
      </c>
      <c r="T26" s="734">
        <f>IF('Final Calculation Sheet'!$U$18="","",'Final Calculation Sheet'!$U$18)</f>
        <v/>
      </c>
      <c r="U26" s="685">
        <f>IF('Final Calculation Sheet'!$U$19="","",'Final Calculation Sheet'!$U$19)</f>
        <v/>
      </c>
      <c r="V26" s="734">
        <f>IF('Final Calculation Sheet'!$U$22="","",'Final Calculation Sheet'!$U$22)</f>
        <v/>
      </c>
      <c r="W26" s="685">
        <f>IF('Final Calculation Sheet'!$U$24="","",'Final Calculation Sheet'!$U$24)</f>
        <v/>
      </c>
      <c r="X26" s="734">
        <f>IF('Final Calculation Sheet'!$U$26="","",'Final Calculation Sheet'!$U$26)</f>
        <v/>
      </c>
      <c r="Z26" s="685">
        <f>IF('Final Calculation Sheet'!$U$21="","",'Final Calculation Sheet'!$U$21)</f>
        <v/>
      </c>
      <c r="AB26" s="737">
        <f>IF('Final Calculation Sheet'!$U$20="","",'Final Calculation Sheet'!$U$20)</f>
        <v/>
      </c>
      <c r="AD26" s="685">
        <f>IF('Final Calculation Sheet'!$U$17="","",'Final Calculation Sheet'!$U$17)</f>
        <v/>
      </c>
      <c r="AE26" s="736">
        <f>IF('Final Calculation Sheet'!$U$23="","",'Final Calculation Sheet'!$U$23)</f>
        <v/>
      </c>
      <c r="AF26" s="685">
        <f>IF('Final Calculation Sheet'!$U$29="","",'Final Calculation Sheet'!$U$29)</f>
        <v/>
      </c>
      <c r="AH26" s="732">
        <f>IF('Final Calculation Sheet'!$U$25="","",'Final Calculation Sheet'!$U$25)</f>
        <v/>
      </c>
      <c r="AI26" s="685">
        <f>IF('Final Calculation Sheet'!$U$28="","",'Final Calculation Sheet'!$U$28)</f>
        <v/>
      </c>
      <c r="AK26" s="734">
        <f>IF('Final Calculation Sheet'!$U$30="","",'Final Calculation Sheet'!$U$30)</f>
        <v/>
      </c>
      <c r="AL26" s="685">
        <f>IF('Final Calculation Sheet'!$U$32="","",'Final Calculation Sheet'!$U$32)</f>
        <v/>
      </c>
      <c r="AM26" s="734">
        <f>IF('Final Calculation Sheet'!$U$33="","",'Final Calculation Sheet'!$U$33)</f>
        <v/>
      </c>
      <c r="AO26" s="685">
        <f>IF('Final Calculation Sheet'!$U$31="","",'Final Calculation Sheet'!$U$31)</f>
        <v/>
      </c>
      <c r="AQ26" s="736">
        <f>IF('Final Calculation Sheet'!$U$34="","",'Final Calculation Sheet'!$U$34)</f>
        <v/>
      </c>
      <c r="AS26" s="685">
        <f>IF('Final Calculation Sheet'!$U$4="","",'Final Calculation Sheet'!$U$4)</f>
        <v/>
      </c>
      <c r="AU26" s="735">
        <f>IF('Final Calculation Sheet'!$U$38="","",'Final Calculation Sheet'!$U$38)</f>
        <v/>
      </c>
      <c r="AW26" s="685">
        <f>IF('Final Calculation Sheet'!$U$37="","",'Final Calculation Sheet'!$U$37)</f>
        <v/>
      </c>
      <c r="AY26" s="737">
        <f>IF('Final Calculation Sheet'!$U$8="","",'Final Calculation Sheet'!$U$8)</f>
        <v/>
      </c>
      <c r="BA26" s="685">
        <f>IF('Final Calculation Sheet'!$U$39="","",'Final Calculation Sheet'!$U$39)</f>
        <v/>
      </c>
      <c r="BB26" s="736">
        <f>IF('Final Calculation Sheet'!$U$40="","",'Final Calculation Sheet'!$U$40)</f>
        <v/>
      </c>
      <c r="BD26" s="685">
        <f>IF('Final Calculation Sheet'!$U$36="","",'Final Calculation Sheet'!$U$36)</f>
        <v/>
      </c>
      <c r="BF26" s="732">
        <f>IF('Final Calculation Sheet'!$U$35="","",'Final Calculation Sheet'!$U$35)</f>
        <v/>
      </c>
      <c r="BG26" s="686">
        <f>IF('Final Calculation Sheet'!$U$41="","",'Final Calculation Sheet'!$U$41)</f>
        <v/>
      </c>
    </row>
    <row r="27" ht="15" customHeight="1">
      <c r="A27" s="678" t="inlineStr">
        <is>
          <t>Date of Receipt (col V)</t>
        </is>
      </c>
      <c r="B27" s="714">
        <f>IF('Final Calculation Sheet'!$V$6="","",'Final Calculation Sheet'!$V$6)</f>
        <v/>
      </c>
      <c r="C27" s="679">
        <f>IF('Final Calculation Sheet'!$V$7="","",'Final Calculation Sheet'!$V$7)</f>
        <v/>
      </c>
      <c r="E27" s="715">
        <f>IF('Final Calculation Sheet'!$V$15="","",'Final Calculation Sheet'!$V$15)</f>
        <v/>
      </c>
      <c r="G27" s="679">
        <f>IF('Final Calculation Sheet'!$V$5="","",'Final Calculation Sheet'!$V$5)</f>
        <v/>
      </c>
      <c r="H27" s="716">
        <f>IF('Final Calculation Sheet'!$V$10="","",'Final Calculation Sheet'!$V$10)</f>
        <v/>
      </c>
      <c r="I27" s="679">
        <f>IF('Final Calculation Sheet'!$V$11="","",'Final Calculation Sheet'!$V$11)</f>
        <v/>
      </c>
      <c r="J27" s="716">
        <f>IF('Final Calculation Sheet'!$V$12="","",'Final Calculation Sheet'!$V$12)</f>
        <v/>
      </c>
      <c r="L27" s="679">
        <f>IF('Final Calculation Sheet'!$V$9="","",'Final Calculation Sheet'!$V$9)</f>
        <v/>
      </c>
      <c r="M27" s="717">
        <f>IF('Final Calculation Sheet'!$V$14="","",'Final Calculation Sheet'!$V$14)</f>
        <v/>
      </c>
      <c r="O27" s="679">
        <f>IF('Final Calculation Sheet'!$V$13="","",'Final Calculation Sheet'!$V$13)</f>
        <v/>
      </c>
      <c r="P27" s="718">
        <f>IF('Final Calculation Sheet'!$V$16="","",'Final Calculation Sheet'!$V$16)</f>
        <v/>
      </c>
      <c r="R27" s="679">
        <f>IF('Final Calculation Sheet'!$V$27="","",'Final Calculation Sheet'!$V$27)</f>
        <v/>
      </c>
      <c r="T27" s="716">
        <f>IF('Final Calculation Sheet'!$V$18="","",'Final Calculation Sheet'!$V$18)</f>
        <v/>
      </c>
      <c r="U27" s="679">
        <f>IF('Final Calculation Sheet'!$V$19="","",'Final Calculation Sheet'!$V$19)</f>
        <v/>
      </c>
      <c r="V27" s="716">
        <f>IF('Final Calculation Sheet'!$V$22="","",'Final Calculation Sheet'!$V$22)</f>
        <v/>
      </c>
      <c r="W27" s="679">
        <f>IF('Final Calculation Sheet'!$V$24="","",'Final Calculation Sheet'!$V$24)</f>
        <v/>
      </c>
      <c r="X27" s="716">
        <f>IF('Final Calculation Sheet'!$V$26="","",'Final Calculation Sheet'!$V$26)</f>
        <v/>
      </c>
      <c r="Z27" s="679">
        <f>IF('Final Calculation Sheet'!$V$21="","",'Final Calculation Sheet'!$V$21)</f>
        <v/>
      </c>
      <c r="AB27" s="719">
        <f>IF('Final Calculation Sheet'!$V$20="","",'Final Calculation Sheet'!$V$20)</f>
        <v/>
      </c>
      <c r="AD27" s="679">
        <f>IF('Final Calculation Sheet'!$V$17="","",'Final Calculation Sheet'!$V$17)</f>
        <v/>
      </c>
      <c r="AE27" s="718">
        <f>IF('Final Calculation Sheet'!$V$23="","",'Final Calculation Sheet'!$V$23)</f>
        <v/>
      </c>
      <c r="AF27" s="679">
        <f>IF('Final Calculation Sheet'!$V$29="","",'Final Calculation Sheet'!$V$29)</f>
        <v/>
      </c>
      <c r="AH27" s="714">
        <f>IF('Final Calculation Sheet'!$V$25="","",'Final Calculation Sheet'!$V$25)</f>
        <v/>
      </c>
      <c r="AI27" s="679">
        <f>IF('Final Calculation Sheet'!$V$28="","",'Final Calculation Sheet'!$V$28)</f>
        <v/>
      </c>
      <c r="AK27" s="716">
        <f>IF('Final Calculation Sheet'!$V$30="","",'Final Calculation Sheet'!$V$30)</f>
        <v/>
      </c>
      <c r="AL27" s="679">
        <f>IF('Final Calculation Sheet'!$V$32="","",'Final Calculation Sheet'!$V$32)</f>
        <v/>
      </c>
      <c r="AM27" s="716">
        <f>IF('Final Calculation Sheet'!$V$33="","",'Final Calculation Sheet'!$V$33)</f>
        <v/>
      </c>
      <c r="AO27" s="679">
        <f>IF('Final Calculation Sheet'!$V$31="","",'Final Calculation Sheet'!$V$31)</f>
        <v/>
      </c>
      <c r="AQ27" s="718">
        <f>IF('Final Calculation Sheet'!$V$34="","",'Final Calculation Sheet'!$V$34)</f>
        <v/>
      </c>
      <c r="AS27" s="679">
        <f>IF('Final Calculation Sheet'!$V$4="","",'Final Calculation Sheet'!$V$4)</f>
        <v/>
      </c>
      <c r="AU27" s="717">
        <f>IF('Final Calculation Sheet'!$V$38="","",'Final Calculation Sheet'!$V$38)</f>
        <v/>
      </c>
      <c r="AW27" s="679">
        <f>IF('Final Calculation Sheet'!$V$37="","",'Final Calculation Sheet'!$V$37)</f>
        <v/>
      </c>
      <c r="AY27" s="719">
        <f>IF('Final Calculation Sheet'!$V$8="","",'Final Calculation Sheet'!$V$8)</f>
        <v/>
      </c>
      <c r="BA27" s="679">
        <f>IF('Final Calculation Sheet'!$V$39="","",'Final Calculation Sheet'!$V$39)</f>
        <v/>
      </c>
      <c r="BB27" s="718">
        <f>IF('Final Calculation Sheet'!$V$40="","",'Final Calculation Sheet'!$V$40)</f>
        <v/>
      </c>
      <c r="BD27" s="679">
        <f>IF('Final Calculation Sheet'!$V$36="","",'Final Calculation Sheet'!$V$36)</f>
        <v/>
      </c>
      <c r="BF27" s="714">
        <f>IF('Final Calculation Sheet'!$V$35="","",'Final Calculation Sheet'!$V$35)</f>
        <v/>
      </c>
      <c r="BG27" s="680">
        <f>IF('Final Calculation Sheet'!$V$41="","",'Final Calculation Sheet'!$V$41)</f>
        <v/>
      </c>
    </row>
    <row r="28" ht="15" customHeight="1">
      <c r="A28" s="675" t="inlineStr">
        <is>
          <t>Final Payment (Expected)</t>
        </is>
      </c>
      <c r="B28" s="714">
        <f>IF('Final Calculation Sheet'!$W$6="","",'Final Calculation Sheet'!$W$6)</f>
        <v/>
      </c>
      <c r="C28" s="679">
        <f>IF('Final Calculation Sheet'!$W$7="","",'Final Calculation Sheet'!$W$7)</f>
        <v/>
      </c>
      <c r="E28" s="715">
        <f>IF('Final Calculation Sheet'!$W$15="","",'Final Calculation Sheet'!$W$15)</f>
        <v/>
      </c>
      <c r="G28" s="679">
        <f>IF('Final Calculation Sheet'!$W$5="","",'Final Calculation Sheet'!$W$5)</f>
        <v/>
      </c>
      <c r="H28" s="716">
        <f>IF('Final Calculation Sheet'!$W$10="","",'Final Calculation Sheet'!$W$10)</f>
        <v/>
      </c>
      <c r="I28" s="679">
        <f>IF('Final Calculation Sheet'!$W$11="","",'Final Calculation Sheet'!$W$11)</f>
        <v/>
      </c>
      <c r="J28" s="716">
        <f>IF('Final Calculation Sheet'!$W$12="","",'Final Calculation Sheet'!$W$12)</f>
        <v/>
      </c>
      <c r="L28" s="679">
        <f>IF('Final Calculation Sheet'!$W$9="","",'Final Calculation Sheet'!$W$9)</f>
        <v/>
      </c>
      <c r="M28" s="717">
        <f>IF('Final Calculation Sheet'!$W$14="","",'Final Calculation Sheet'!$W$14)</f>
        <v/>
      </c>
      <c r="O28" s="679">
        <f>IF('Final Calculation Sheet'!$W$13="","",'Final Calculation Sheet'!$W$13)</f>
        <v/>
      </c>
      <c r="P28" s="718">
        <f>IF('Final Calculation Sheet'!$W$16="","",'Final Calculation Sheet'!$W$16)</f>
        <v/>
      </c>
      <c r="R28" s="679">
        <f>IF('Final Calculation Sheet'!$W$27="","",'Final Calculation Sheet'!$W$27)</f>
        <v/>
      </c>
      <c r="T28" s="716">
        <f>IF('Final Calculation Sheet'!$W$18="","",'Final Calculation Sheet'!$W$18)</f>
        <v/>
      </c>
      <c r="U28" s="679">
        <f>IF('Final Calculation Sheet'!$W$19="","",'Final Calculation Sheet'!$W$19)</f>
        <v/>
      </c>
      <c r="V28" s="716">
        <f>IF('Final Calculation Sheet'!$W$22="","",'Final Calculation Sheet'!$W$22)</f>
        <v/>
      </c>
      <c r="W28" s="679">
        <f>IF('Final Calculation Sheet'!$W$24="","",'Final Calculation Sheet'!$W$24)</f>
        <v/>
      </c>
      <c r="X28" s="716">
        <f>IF('Final Calculation Sheet'!$W$26="","",'Final Calculation Sheet'!$W$26)</f>
        <v/>
      </c>
      <c r="Z28" s="679">
        <f>IF('Final Calculation Sheet'!$W$21="","",'Final Calculation Sheet'!$W$21)</f>
        <v/>
      </c>
      <c r="AB28" s="719">
        <f>IF('Final Calculation Sheet'!$W$20="","",'Final Calculation Sheet'!$W$20)</f>
        <v/>
      </c>
      <c r="AD28" s="679">
        <f>IF('Final Calculation Sheet'!$W$17="","",'Final Calculation Sheet'!$W$17)</f>
        <v/>
      </c>
      <c r="AE28" s="718">
        <f>IF('Final Calculation Sheet'!$W$23="","",'Final Calculation Sheet'!$W$23)</f>
        <v/>
      </c>
      <c r="AF28" s="679">
        <f>IF('Final Calculation Sheet'!$W$29="","",'Final Calculation Sheet'!$W$29)</f>
        <v/>
      </c>
      <c r="AH28" s="714">
        <f>IF('Final Calculation Sheet'!$W$25="","",'Final Calculation Sheet'!$W$25)</f>
        <v/>
      </c>
      <c r="AI28" s="679">
        <f>IF('Final Calculation Sheet'!$W$28="","",'Final Calculation Sheet'!$W$28)</f>
        <v/>
      </c>
      <c r="AK28" s="716">
        <f>IF('Final Calculation Sheet'!$W$30="","",'Final Calculation Sheet'!$W$30)</f>
        <v/>
      </c>
      <c r="AL28" s="679">
        <f>IF('Final Calculation Sheet'!$W$32="","",'Final Calculation Sheet'!$W$32)</f>
        <v/>
      </c>
      <c r="AM28" s="716">
        <f>IF('Final Calculation Sheet'!$W$33="","",'Final Calculation Sheet'!$W$33)</f>
        <v/>
      </c>
      <c r="AO28" s="679">
        <f>IF('Final Calculation Sheet'!$W$31="","",'Final Calculation Sheet'!$W$31)</f>
        <v/>
      </c>
      <c r="AQ28" s="718">
        <f>IF('Final Calculation Sheet'!$W$34="","",'Final Calculation Sheet'!$W$34)</f>
        <v/>
      </c>
      <c r="AS28" s="679">
        <f>IF('Final Calculation Sheet'!$W$4="","",'Final Calculation Sheet'!$W$4)</f>
        <v/>
      </c>
      <c r="AU28" s="717">
        <f>IF('Final Calculation Sheet'!$W$38="","",'Final Calculation Sheet'!$W$38)</f>
        <v/>
      </c>
      <c r="AW28" s="679">
        <f>IF('Final Calculation Sheet'!$W$37="","",'Final Calculation Sheet'!$W$37)</f>
        <v/>
      </c>
      <c r="AY28" s="719">
        <f>IF('Final Calculation Sheet'!$W$8="","",'Final Calculation Sheet'!$W$8)</f>
        <v/>
      </c>
      <c r="BA28" s="679">
        <f>IF('Final Calculation Sheet'!$W$39="","",'Final Calculation Sheet'!$W$39)</f>
        <v/>
      </c>
      <c r="BB28" s="718">
        <f>IF('Final Calculation Sheet'!$W$40="","",'Final Calculation Sheet'!$W$40)</f>
        <v/>
      </c>
      <c r="BD28" s="679">
        <f>IF('Final Calculation Sheet'!$W$36="","",'Final Calculation Sheet'!$W$36)</f>
        <v/>
      </c>
      <c r="BF28" s="714">
        <f>IF('Final Calculation Sheet'!$W$35="","",'Final Calculation Sheet'!$W$35)</f>
        <v/>
      </c>
      <c r="BG28" s="680">
        <f>IF('Final Calculation Sheet'!$W$41="","",'Final Calculation Sheet'!$W$41)</f>
        <v/>
      </c>
    </row>
    <row r="29" ht="15" customHeight="1">
      <c r="A29" s="678" t="inlineStr">
        <is>
          <t>Final Payment (Received)</t>
        </is>
      </c>
      <c r="B29" s="714">
        <f>IF('Final Calculation Sheet'!$X$6="","",'Final Calculation Sheet'!$X$6)</f>
        <v/>
      </c>
      <c r="C29" s="679">
        <f>IF('Final Calculation Sheet'!$X$7="","",'Final Calculation Sheet'!$X$7)</f>
        <v/>
      </c>
      <c r="E29" s="715">
        <f>IF('Final Calculation Sheet'!$X$15="","",'Final Calculation Sheet'!$X$15)</f>
        <v/>
      </c>
      <c r="G29" s="679">
        <f>IF('Final Calculation Sheet'!$X$5="","",'Final Calculation Sheet'!$X$5)</f>
        <v/>
      </c>
      <c r="H29" s="716">
        <f>IF('Final Calculation Sheet'!$X$10="","",'Final Calculation Sheet'!$X$10)</f>
        <v/>
      </c>
      <c r="I29" s="679">
        <f>IF('Final Calculation Sheet'!$X$11="","",'Final Calculation Sheet'!$X$11)</f>
        <v/>
      </c>
      <c r="J29" s="716">
        <f>IF('Final Calculation Sheet'!$X$12="","",'Final Calculation Sheet'!$X$12)</f>
        <v/>
      </c>
      <c r="L29" s="679">
        <f>IF('Final Calculation Sheet'!$X$9="","",'Final Calculation Sheet'!$X$9)</f>
        <v/>
      </c>
      <c r="M29" s="717">
        <f>IF('Final Calculation Sheet'!$X$14="","",'Final Calculation Sheet'!$X$14)</f>
        <v/>
      </c>
      <c r="O29" s="679">
        <f>IF('Final Calculation Sheet'!$X$13="","",'Final Calculation Sheet'!$X$13)</f>
        <v/>
      </c>
      <c r="P29" s="718">
        <f>IF('Final Calculation Sheet'!$X$16="","",'Final Calculation Sheet'!$X$16)</f>
        <v/>
      </c>
      <c r="R29" s="679">
        <f>IF('Final Calculation Sheet'!$X$27="","",'Final Calculation Sheet'!$X$27)</f>
        <v/>
      </c>
      <c r="T29" s="716">
        <f>IF('Final Calculation Sheet'!$X$18="","",'Final Calculation Sheet'!$X$18)</f>
        <v/>
      </c>
      <c r="U29" s="679">
        <f>IF('Final Calculation Sheet'!$X$19="","",'Final Calculation Sheet'!$X$19)</f>
        <v/>
      </c>
      <c r="V29" s="716">
        <f>IF('Final Calculation Sheet'!$X$22="","",'Final Calculation Sheet'!$X$22)</f>
        <v/>
      </c>
      <c r="W29" s="679">
        <f>IF('Final Calculation Sheet'!$X$24="","",'Final Calculation Sheet'!$X$24)</f>
        <v/>
      </c>
      <c r="X29" s="716">
        <f>IF('Final Calculation Sheet'!$X$26="","",'Final Calculation Sheet'!$X$26)</f>
        <v/>
      </c>
      <c r="Z29" s="679">
        <f>IF('Final Calculation Sheet'!$X$21="","",'Final Calculation Sheet'!$X$21)</f>
        <v/>
      </c>
      <c r="AB29" s="719">
        <f>IF('Final Calculation Sheet'!$X$20="","",'Final Calculation Sheet'!$X$20)</f>
        <v/>
      </c>
      <c r="AD29" s="679">
        <f>IF('Final Calculation Sheet'!$X$17="","",'Final Calculation Sheet'!$X$17)</f>
        <v/>
      </c>
      <c r="AE29" s="718">
        <f>IF('Final Calculation Sheet'!$X$23="","",'Final Calculation Sheet'!$X$23)</f>
        <v/>
      </c>
      <c r="AF29" s="679">
        <f>IF('Final Calculation Sheet'!$X$29="","",'Final Calculation Sheet'!$X$29)</f>
        <v/>
      </c>
      <c r="AH29" s="714">
        <f>IF('Final Calculation Sheet'!$X$25="","",'Final Calculation Sheet'!$X$25)</f>
        <v/>
      </c>
      <c r="AI29" s="679">
        <f>IF('Final Calculation Sheet'!$X$28="","",'Final Calculation Sheet'!$X$28)</f>
        <v/>
      </c>
      <c r="AK29" s="716">
        <f>IF('Final Calculation Sheet'!$X$30="","",'Final Calculation Sheet'!$X$30)</f>
        <v/>
      </c>
      <c r="AL29" s="679">
        <f>IF('Final Calculation Sheet'!$X$32="","",'Final Calculation Sheet'!$X$32)</f>
        <v/>
      </c>
      <c r="AM29" s="716">
        <f>IF('Final Calculation Sheet'!$X$33="","",'Final Calculation Sheet'!$X$33)</f>
        <v/>
      </c>
      <c r="AO29" s="679">
        <f>IF('Final Calculation Sheet'!$X$31="","",'Final Calculation Sheet'!$X$31)</f>
        <v/>
      </c>
      <c r="AQ29" s="718">
        <f>IF('Final Calculation Sheet'!$X$34="","",'Final Calculation Sheet'!$X$34)</f>
        <v/>
      </c>
      <c r="AS29" s="679">
        <f>IF('Final Calculation Sheet'!$X$4="","",'Final Calculation Sheet'!$X$4)</f>
        <v/>
      </c>
      <c r="AU29" s="717">
        <f>IF('Final Calculation Sheet'!$X$38="","",'Final Calculation Sheet'!$X$38)</f>
        <v/>
      </c>
      <c r="AW29" s="679">
        <f>IF('Final Calculation Sheet'!$X$37="","",'Final Calculation Sheet'!$X$37)</f>
        <v/>
      </c>
      <c r="AY29" s="719">
        <f>IF('Final Calculation Sheet'!$X$8="","",'Final Calculation Sheet'!$X$8)</f>
        <v/>
      </c>
      <c r="BA29" s="679">
        <f>IF('Final Calculation Sheet'!$X$39="","",'Final Calculation Sheet'!$X$39)</f>
        <v/>
      </c>
      <c r="BB29" s="718">
        <f>IF('Final Calculation Sheet'!$X$40="","",'Final Calculation Sheet'!$X$40)</f>
        <v/>
      </c>
      <c r="BD29" s="679">
        <f>IF('Final Calculation Sheet'!$X$36="","",'Final Calculation Sheet'!$X$36)</f>
        <v/>
      </c>
      <c r="BF29" s="714">
        <f>IF('Final Calculation Sheet'!$X$35="","",'Final Calculation Sheet'!$X$35)</f>
        <v/>
      </c>
      <c r="BG29" s="680">
        <f>IF('Final Calculation Sheet'!$X$41="","",'Final Calculation Sheet'!$X$41)</f>
        <v/>
      </c>
    </row>
    <row r="30" ht="15" customHeight="1">
      <c r="A30" s="675" t="inlineStr">
        <is>
          <t>Date of Receipt (col Y)</t>
        </is>
      </c>
      <c r="B30" s="714">
        <f>IF('Final Calculation Sheet'!$Y$6="","",'Final Calculation Sheet'!$Y$6)</f>
        <v/>
      </c>
      <c r="C30" s="679">
        <f>IF('Final Calculation Sheet'!$Y$7="","",'Final Calculation Sheet'!$Y$7)</f>
        <v/>
      </c>
      <c r="E30" s="715">
        <f>IF('Final Calculation Sheet'!$Y$15="","",'Final Calculation Sheet'!$Y$15)</f>
        <v/>
      </c>
      <c r="G30" s="679">
        <f>IF('Final Calculation Sheet'!$Y$5="","",'Final Calculation Sheet'!$Y$5)</f>
        <v/>
      </c>
      <c r="H30" s="716">
        <f>IF('Final Calculation Sheet'!$Y$10="","",'Final Calculation Sheet'!$Y$10)</f>
        <v/>
      </c>
      <c r="I30" s="679">
        <f>IF('Final Calculation Sheet'!$Y$11="","",'Final Calculation Sheet'!$Y$11)</f>
        <v/>
      </c>
      <c r="J30" s="716">
        <f>IF('Final Calculation Sheet'!$Y$12="","",'Final Calculation Sheet'!$Y$12)</f>
        <v/>
      </c>
      <c r="L30" s="679">
        <f>IF('Final Calculation Sheet'!$Y$9="","",'Final Calculation Sheet'!$Y$9)</f>
        <v/>
      </c>
      <c r="M30" s="717">
        <f>IF('Final Calculation Sheet'!$Y$14="","",'Final Calculation Sheet'!$Y$14)</f>
        <v/>
      </c>
      <c r="O30" s="679">
        <f>IF('Final Calculation Sheet'!$Y$13="","",'Final Calculation Sheet'!$Y$13)</f>
        <v/>
      </c>
      <c r="P30" s="718">
        <f>IF('Final Calculation Sheet'!$Y$16="","",'Final Calculation Sheet'!$Y$16)</f>
        <v/>
      </c>
      <c r="R30" s="679">
        <f>IF('Final Calculation Sheet'!$Y$27="","",'Final Calculation Sheet'!$Y$27)</f>
        <v/>
      </c>
      <c r="T30" s="716">
        <f>IF('Final Calculation Sheet'!$Y$18="","",'Final Calculation Sheet'!$Y$18)</f>
        <v/>
      </c>
      <c r="U30" s="679">
        <f>IF('Final Calculation Sheet'!$Y$19="","",'Final Calculation Sheet'!$Y$19)</f>
        <v/>
      </c>
      <c r="V30" s="716">
        <f>IF('Final Calculation Sheet'!$Y$22="","",'Final Calculation Sheet'!$Y$22)</f>
        <v/>
      </c>
      <c r="W30" s="679">
        <f>IF('Final Calculation Sheet'!$Y$24="","",'Final Calculation Sheet'!$Y$24)</f>
        <v/>
      </c>
      <c r="X30" s="716">
        <f>IF('Final Calculation Sheet'!$Y$26="","",'Final Calculation Sheet'!$Y$26)</f>
        <v/>
      </c>
      <c r="Z30" s="679">
        <f>IF('Final Calculation Sheet'!$Y$21="","",'Final Calculation Sheet'!$Y$21)</f>
        <v/>
      </c>
      <c r="AB30" s="719">
        <f>IF('Final Calculation Sheet'!$Y$20="","",'Final Calculation Sheet'!$Y$20)</f>
        <v/>
      </c>
      <c r="AD30" s="679">
        <f>IF('Final Calculation Sheet'!$Y$17="","",'Final Calculation Sheet'!$Y$17)</f>
        <v/>
      </c>
      <c r="AE30" s="718">
        <f>IF('Final Calculation Sheet'!$Y$23="","",'Final Calculation Sheet'!$Y$23)</f>
        <v/>
      </c>
      <c r="AF30" s="679">
        <f>IF('Final Calculation Sheet'!$Y$29="","",'Final Calculation Sheet'!$Y$29)</f>
        <v/>
      </c>
      <c r="AH30" s="714">
        <f>IF('Final Calculation Sheet'!$Y$25="","",'Final Calculation Sheet'!$Y$25)</f>
        <v/>
      </c>
      <c r="AI30" s="679">
        <f>IF('Final Calculation Sheet'!$Y$28="","",'Final Calculation Sheet'!$Y$28)</f>
        <v/>
      </c>
      <c r="AK30" s="716">
        <f>IF('Final Calculation Sheet'!$Y$30="","",'Final Calculation Sheet'!$Y$30)</f>
        <v/>
      </c>
      <c r="AL30" s="679">
        <f>IF('Final Calculation Sheet'!$Y$32="","",'Final Calculation Sheet'!$Y$32)</f>
        <v/>
      </c>
      <c r="AM30" s="716">
        <f>IF('Final Calculation Sheet'!$Y$33="","",'Final Calculation Sheet'!$Y$33)</f>
        <v/>
      </c>
      <c r="AO30" s="679">
        <f>IF('Final Calculation Sheet'!$Y$31="","",'Final Calculation Sheet'!$Y$31)</f>
        <v/>
      </c>
      <c r="AQ30" s="718">
        <f>IF('Final Calculation Sheet'!$Y$34="","",'Final Calculation Sheet'!$Y$34)</f>
        <v/>
      </c>
      <c r="AS30" s="679">
        <f>IF('Final Calculation Sheet'!$Y$4="","",'Final Calculation Sheet'!$Y$4)</f>
        <v/>
      </c>
      <c r="AU30" s="717">
        <f>IF('Final Calculation Sheet'!$Y$38="","",'Final Calculation Sheet'!$Y$38)</f>
        <v/>
      </c>
      <c r="AW30" s="679">
        <f>IF('Final Calculation Sheet'!$Y$37="","",'Final Calculation Sheet'!$Y$37)</f>
        <v/>
      </c>
      <c r="AY30" s="719">
        <f>IF('Final Calculation Sheet'!$Y$8="","",'Final Calculation Sheet'!$Y$8)</f>
        <v/>
      </c>
      <c r="BA30" s="679">
        <f>IF('Final Calculation Sheet'!$Y$39="","",'Final Calculation Sheet'!$Y$39)</f>
        <v/>
      </c>
      <c r="BB30" s="718">
        <f>IF('Final Calculation Sheet'!$Y$40="","",'Final Calculation Sheet'!$Y$40)</f>
        <v/>
      </c>
      <c r="BD30" s="679">
        <f>IF('Final Calculation Sheet'!$Y$36="","",'Final Calculation Sheet'!$Y$36)</f>
        <v/>
      </c>
      <c r="BF30" s="714">
        <f>IF('Final Calculation Sheet'!$Y$35="","",'Final Calculation Sheet'!$Y$35)</f>
        <v/>
      </c>
      <c r="BG30" s="680">
        <f>IF('Final Calculation Sheet'!$Y$41="","",'Final Calculation Sheet'!$Y$41)</f>
        <v/>
      </c>
    </row>
    <row r="31" ht="15" customHeight="1">
      <c r="A31" s="678" t="inlineStr">
        <is>
          <t>LPP Expected</t>
        </is>
      </c>
      <c r="B31" s="714">
        <f>IF('Final Calculation Sheet'!$Z$6="","",'Final Calculation Sheet'!$Z$6)</f>
        <v/>
      </c>
      <c r="C31" s="679">
        <f>IF('Final Calculation Sheet'!$Z$7="","",'Final Calculation Sheet'!$Z$7)</f>
        <v/>
      </c>
      <c r="E31" s="715">
        <f>IF('Final Calculation Sheet'!$Z$15="","",'Final Calculation Sheet'!$Z$15)</f>
        <v/>
      </c>
      <c r="G31" s="679">
        <f>IF('Final Calculation Sheet'!$Z$5="","",'Final Calculation Sheet'!$Z$5)</f>
        <v/>
      </c>
      <c r="H31" s="716">
        <f>IF('Final Calculation Sheet'!$Z$10="","",'Final Calculation Sheet'!$Z$10)</f>
        <v/>
      </c>
      <c r="I31" s="679">
        <f>IF('Final Calculation Sheet'!$Z$11="","",'Final Calculation Sheet'!$Z$11)</f>
        <v/>
      </c>
      <c r="J31" s="716">
        <f>IF('Final Calculation Sheet'!$Z$12="","",'Final Calculation Sheet'!$Z$12)</f>
        <v/>
      </c>
      <c r="L31" s="679">
        <f>IF('Final Calculation Sheet'!$Z$9="","",'Final Calculation Sheet'!$Z$9)</f>
        <v/>
      </c>
      <c r="M31" s="717">
        <f>IF('Final Calculation Sheet'!$Z$14="","",'Final Calculation Sheet'!$Z$14)</f>
        <v/>
      </c>
      <c r="O31" s="679">
        <f>IF('Final Calculation Sheet'!$Z$13="","",'Final Calculation Sheet'!$Z$13)</f>
        <v/>
      </c>
      <c r="P31" s="718">
        <f>IF('Final Calculation Sheet'!$Z$16="","",'Final Calculation Sheet'!$Z$16)</f>
        <v/>
      </c>
      <c r="R31" s="679">
        <f>IF('Final Calculation Sheet'!$Z$27="","",'Final Calculation Sheet'!$Z$27)</f>
        <v/>
      </c>
      <c r="T31" s="716">
        <f>IF('Final Calculation Sheet'!$Z$18="","",'Final Calculation Sheet'!$Z$18)</f>
        <v/>
      </c>
      <c r="U31" s="679">
        <f>IF('Final Calculation Sheet'!$Z$19="","",'Final Calculation Sheet'!$Z$19)</f>
        <v/>
      </c>
      <c r="V31" s="716">
        <f>IF('Final Calculation Sheet'!$Z$22="","",'Final Calculation Sheet'!$Z$22)</f>
        <v/>
      </c>
      <c r="W31" s="679">
        <f>IF('Final Calculation Sheet'!$Z$24="","",'Final Calculation Sheet'!$Z$24)</f>
        <v/>
      </c>
      <c r="X31" s="716">
        <f>IF('Final Calculation Sheet'!$Z$26="","",'Final Calculation Sheet'!$Z$26)</f>
        <v/>
      </c>
      <c r="Z31" s="679">
        <f>IF('Final Calculation Sheet'!$Z$21="","",'Final Calculation Sheet'!$Z$21)</f>
        <v/>
      </c>
      <c r="AB31" s="719">
        <f>IF('Final Calculation Sheet'!$Z$20="","",'Final Calculation Sheet'!$Z$20)</f>
        <v/>
      </c>
      <c r="AD31" s="679">
        <f>IF('Final Calculation Sheet'!$Z$17="","",'Final Calculation Sheet'!$Z$17)</f>
        <v/>
      </c>
      <c r="AE31" s="718">
        <f>IF('Final Calculation Sheet'!$Z$23="","",'Final Calculation Sheet'!$Z$23)</f>
        <v/>
      </c>
      <c r="AF31" s="679">
        <f>IF('Final Calculation Sheet'!$Z$29="","",'Final Calculation Sheet'!$Z$29)</f>
        <v/>
      </c>
      <c r="AH31" s="714">
        <f>IF('Final Calculation Sheet'!$Z$25="","",'Final Calculation Sheet'!$Z$25)</f>
        <v/>
      </c>
      <c r="AI31" s="679">
        <f>IF('Final Calculation Sheet'!$Z$28="","",'Final Calculation Sheet'!$Z$28)</f>
        <v/>
      </c>
      <c r="AK31" s="716">
        <f>IF('Final Calculation Sheet'!$Z$30="","",'Final Calculation Sheet'!$Z$30)</f>
        <v/>
      </c>
      <c r="AL31" s="679">
        <f>IF('Final Calculation Sheet'!$Z$32="","",'Final Calculation Sheet'!$Z$32)</f>
        <v/>
      </c>
      <c r="AM31" s="716">
        <f>IF('Final Calculation Sheet'!$Z$33="","",'Final Calculation Sheet'!$Z$33)</f>
        <v/>
      </c>
      <c r="AO31" s="679">
        <f>IF('Final Calculation Sheet'!$Z$31="","",'Final Calculation Sheet'!$Z$31)</f>
        <v/>
      </c>
      <c r="AQ31" s="718">
        <f>IF('Final Calculation Sheet'!$Z$34="","",'Final Calculation Sheet'!$Z$34)</f>
        <v/>
      </c>
      <c r="AS31" s="679">
        <f>IF('Final Calculation Sheet'!$Z$4="","",'Final Calculation Sheet'!$Z$4)</f>
        <v/>
      </c>
      <c r="AU31" s="717">
        <f>IF('Final Calculation Sheet'!$Z$38="","",'Final Calculation Sheet'!$Z$38)</f>
        <v/>
      </c>
      <c r="AW31" s="679">
        <f>IF('Final Calculation Sheet'!$Z$37="","",'Final Calculation Sheet'!$Z$37)</f>
        <v/>
      </c>
      <c r="AY31" s="719">
        <f>IF('Final Calculation Sheet'!$Z$8="","",'Final Calculation Sheet'!$Z$8)</f>
        <v/>
      </c>
      <c r="BA31" s="679">
        <f>IF('Final Calculation Sheet'!$Z$39="","",'Final Calculation Sheet'!$Z$39)</f>
        <v/>
      </c>
      <c r="BB31" s="718">
        <f>IF('Final Calculation Sheet'!$Z$40="","",'Final Calculation Sheet'!$Z$40)</f>
        <v/>
      </c>
      <c r="BD31" s="679">
        <f>IF('Final Calculation Sheet'!$Z$36="","",'Final Calculation Sheet'!$Z$36)</f>
        <v/>
      </c>
      <c r="BF31" s="714">
        <f>IF('Final Calculation Sheet'!$Z$35="","",'Final Calculation Sheet'!$Z$35)</f>
        <v/>
      </c>
      <c r="BG31" s="680">
        <f>IF('Final Calculation Sheet'!$Z$41="","",'Final Calculation Sheet'!$Z$41)</f>
        <v/>
      </c>
    </row>
    <row r="32" ht="15" customHeight="1">
      <c r="A32" s="675" t="inlineStr">
        <is>
          <t>LPP Received</t>
        </is>
      </c>
      <c r="B32" s="714">
        <f>IF('Final Calculation Sheet'!$AA$6="","",'Final Calculation Sheet'!$AA$6)</f>
        <v/>
      </c>
      <c r="C32" s="679">
        <f>IF('Final Calculation Sheet'!$AA$7="","",'Final Calculation Sheet'!$AA$7)</f>
        <v/>
      </c>
      <c r="E32" s="715">
        <f>IF('Final Calculation Sheet'!$AA$15="","",'Final Calculation Sheet'!$AA$15)</f>
        <v/>
      </c>
      <c r="G32" s="679">
        <f>IF('Final Calculation Sheet'!$AA$5="","",'Final Calculation Sheet'!$AA$5)</f>
        <v/>
      </c>
      <c r="H32" s="716">
        <f>IF('Final Calculation Sheet'!$AA$10="","",'Final Calculation Sheet'!$AA$10)</f>
        <v/>
      </c>
      <c r="I32" s="679">
        <f>IF('Final Calculation Sheet'!$AA$11="","",'Final Calculation Sheet'!$AA$11)</f>
        <v/>
      </c>
      <c r="J32" s="716">
        <f>IF('Final Calculation Sheet'!$AA$12="","",'Final Calculation Sheet'!$AA$12)</f>
        <v/>
      </c>
      <c r="L32" s="679">
        <f>IF('Final Calculation Sheet'!$AA$9="","",'Final Calculation Sheet'!$AA$9)</f>
        <v/>
      </c>
      <c r="M32" s="717">
        <f>IF('Final Calculation Sheet'!$AA$14="","",'Final Calculation Sheet'!$AA$14)</f>
        <v/>
      </c>
      <c r="O32" s="679">
        <f>IF('Final Calculation Sheet'!$AA$13="","",'Final Calculation Sheet'!$AA$13)</f>
        <v/>
      </c>
      <c r="P32" s="718">
        <f>IF('Final Calculation Sheet'!$AA$16="","",'Final Calculation Sheet'!$AA$16)</f>
        <v/>
      </c>
      <c r="R32" s="679">
        <f>IF('Final Calculation Sheet'!$AA$27="","",'Final Calculation Sheet'!$AA$27)</f>
        <v/>
      </c>
      <c r="T32" s="716">
        <f>IF('Final Calculation Sheet'!$AA$18="","",'Final Calculation Sheet'!$AA$18)</f>
        <v/>
      </c>
      <c r="U32" s="679">
        <f>IF('Final Calculation Sheet'!$AA$19="","",'Final Calculation Sheet'!$AA$19)</f>
        <v/>
      </c>
      <c r="V32" s="716">
        <f>IF('Final Calculation Sheet'!$AA$22="","",'Final Calculation Sheet'!$AA$22)</f>
        <v/>
      </c>
      <c r="W32" s="679">
        <f>IF('Final Calculation Sheet'!$AA$24="","",'Final Calculation Sheet'!$AA$24)</f>
        <v/>
      </c>
      <c r="X32" s="716">
        <f>IF('Final Calculation Sheet'!$AA$26="","",'Final Calculation Sheet'!$AA$26)</f>
        <v/>
      </c>
      <c r="Z32" s="679">
        <f>IF('Final Calculation Sheet'!$AA$21="","",'Final Calculation Sheet'!$AA$21)</f>
        <v/>
      </c>
      <c r="AB32" s="719">
        <f>IF('Final Calculation Sheet'!$AA$20="","",'Final Calculation Sheet'!$AA$20)</f>
        <v/>
      </c>
      <c r="AD32" s="679">
        <f>IF('Final Calculation Sheet'!$AA$17="","",'Final Calculation Sheet'!$AA$17)</f>
        <v/>
      </c>
      <c r="AE32" s="718">
        <f>IF('Final Calculation Sheet'!$AA$23="","",'Final Calculation Sheet'!$AA$23)</f>
        <v/>
      </c>
      <c r="AF32" s="679">
        <f>IF('Final Calculation Sheet'!$AA$29="","",'Final Calculation Sheet'!$AA$29)</f>
        <v/>
      </c>
      <c r="AH32" s="714">
        <f>IF('Final Calculation Sheet'!$AA$25="","",'Final Calculation Sheet'!$AA$25)</f>
        <v/>
      </c>
      <c r="AI32" s="679">
        <f>IF('Final Calculation Sheet'!$AA$28="","",'Final Calculation Sheet'!$AA$28)</f>
        <v/>
      </c>
      <c r="AK32" s="716">
        <f>IF('Final Calculation Sheet'!$AA$30="","",'Final Calculation Sheet'!$AA$30)</f>
        <v/>
      </c>
      <c r="AL32" s="679">
        <f>IF('Final Calculation Sheet'!$AA$32="","",'Final Calculation Sheet'!$AA$32)</f>
        <v/>
      </c>
      <c r="AM32" s="716">
        <f>IF('Final Calculation Sheet'!$AA$33="","",'Final Calculation Sheet'!$AA$33)</f>
        <v/>
      </c>
      <c r="AO32" s="679">
        <f>IF('Final Calculation Sheet'!$AA$31="","",'Final Calculation Sheet'!$AA$31)</f>
        <v/>
      </c>
      <c r="AQ32" s="718">
        <f>IF('Final Calculation Sheet'!$AA$34="","",'Final Calculation Sheet'!$AA$34)</f>
        <v/>
      </c>
      <c r="AS32" s="679">
        <f>IF('Final Calculation Sheet'!$AA$4="","",'Final Calculation Sheet'!$AA$4)</f>
        <v/>
      </c>
      <c r="AU32" s="717">
        <f>IF('Final Calculation Sheet'!$AA$38="","",'Final Calculation Sheet'!$AA$38)</f>
        <v/>
      </c>
      <c r="AW32" s="679">
        <f>IF('Final Calculation Sheet'!$AA$37="","",'Final Calculation Sheet'!$AA$37)</f>
        <v/>
      </c>
      <c r="AY32" s="719">
        <f>IF('Final Calculation Sheet'!$AA$8="","",'Final Calculation Sheet'!$AA$8)</f>
        <v/>
      </c>
      <c r="BA32" s="679">
        <f>IF('Final Calculation Sheet'!$AA$39="","",'Final Calculation Sheet'!$AA$39)</f>
        <v/>
      </c>
      <c r="BB32" s="718">
        <f>IF('Final Calculation Sheet'!$AA$40="","",'Final Calculation Sheet'!$AA$40)</f>
        <v/>
      </c>
      <c r="BD32" s="679">
        <f>IF('Final Calculation Sheet'!$AA$36="","",'Final Calculation Sheet'!$AA$36)</f>
        <v/>
      </c>
      <c r="BF32" s="714">
        <f>IF('Final Calculation Sheet'!$AA$35="","",'Final Calculation Sheet'!$AA$35)</f>
        <v/>
      </c>
      <c r="BG32" s="680">
        <f>IF('Final Calculation Sheet'!$AA$41="","",'Final Calculation Sheet'!$AA$41)</f>
        <v/>
      </c>
    </row>
    <row r="33" ht="15" customHeight="1">
      <c r="A33" s="678" t="inlineStr">
        <is>
          <t>Date of Recepit of LPP</t>
        </is>
      </c>
      <c r="B33" s="714">
        <f>IF('Final Calculation Sheet'!$AB$6="","",'Final Calculation Sheet'!$AB$6)</f>
        <v/>
      </c>
      <c r="C33" s="679">
        <f>IF('Final Calculation Sheet'!$AB$7="","",'Final Calculation Sheet'!$AB$7)</f>
        <v/>
      </c>
      <c r="E33" s="715">
        <f>IF('Final Calculation Sheet'!$AB$15="","",'Final Calculation Sheet'!$AB$15)</f>
        <v/>
      </c>
      <c r="G33" s="679">
        <f>IF('Final Calculation Sheet'!$AB$5="","",'Final Calculation Sheet'!$AB$5)</f>
        <v/>
      </c>
      <c r="H33" s="716">
        <f>IF('Final Calculation Sheet'!$AB$10="","",'Final Calculation Sheet'!$AB$10)</f>
        <v/>
      </c>
      <c r="I33" s="679">
        <f>IF('Final Calculation Sheet'!$AB$11="","",'Final Calculation Sheet'!$AB$11)</f>
        <v/>
      </c>
      <c r="J33" s="716">
        <f>IF('Final Calculation Sheet'!$AB$12="","",'Final Calculation Sheet'!$AB$12)</f>
        <v/>
      </c>
      <c r="L33" s="679">
        <f>IF('Final Calculation Sheet'!$AB$9="","",'Final Calculation Sheet'!$AB$9)</f>
        <v/>
      </c>
      <c r="M33" s="717">
        <f>IF('Final Calculation Sheet'!$AB$14="","",'Final Calculation Sheet'!$AB$14)</f>
        <v/>
      </c>
      <c r="O33" s="679">
        <f>IF('Final Calculation Sheet'!$AB$13="","",'Final Calculation Sheet'!$AB$13)</f>
        <v/>
      </c>
      <c r="P33" s="718">
        <f>IF('Final Calculation Sheet'!$AB$16="","",'Final Calculation Sheet'!$AB$16)</f>
        <v/>
      </c>
      <c r="R33" s="679">
        <f>IF('Final Calculation Sheet'!$AB$27="","",'Final Calculation Sheet'!$AB$27)</f>
        <v/>
      </c>
      <c r="T33" s="716">
        <f>IF('Final Calculation Sheet'!$AB$18="","",'Final Calculation Sheet'!$AB$18)</f>
        <v/>
      </c>
      <c r="U33" s="679">
        <f>IF('Final Calculation Sheet'!$AB$19="","",'Final Calculation Sheet'!$AB$19)</f>
        <v/>
      </c>
      <c r="V33" s="716">
        <f>IF('Final Calculation Sheet'!$AB$22="","",'Final Calculation Sheet'!$AB$22)</f>
        <v/>
      </c>
      <c r="W33" s="679">
        <f>IF('Final Calculation Sheet'!$AB$24="","",'Final Calculation Sheet'!$AB$24)</f>
        <v/>
      </c>
      <c r="X33" s="716">
        <f>IF('Final Calculation Sheet'!$AB$26="","",'Final Calculation Sheet'!$AB$26)</f>
        <v/>
      </c>
      <c r="Z33" s="679">
        <f>IF('Final Calculation Sheet'!$AB$21="","",'Final Calculation Sheet'!$AB$21)</f>
        <v/>
      </c>
      <c r="AB33" s="719">
        <f>IF('Final Calculation Sheet'!$AB$20="","",'Final Calculation Sheet'!$AB$20)</f>
        <v/>
      </c>
      <c r="AD33" s="679">
        <f>IF('Final Calculation Sheet'!$AB$17="","",'Final Calculation Sheet'!$AB$17)</f>
        <v/>
      </c>
      <c r="AE33" s="718">
        <f>IF('Final Calculation Sheet'!$AB$23="","",'Final Calculation Sheet'!$AB$23)</f>
        <v/>
      </c>
      <c r="AF33" s="679">
        <f>IF('Final Calculation Sheet'!$AB$29="","",'Final Calculation Sheet'!$AB$29)</f>
        <v/>
      </c>
      <c r="AH33" s="714">
        <f>IF('Final Calculation Sheet'!$AB$25="","",'Final Calculation Sheet'!$AB$25)</f>
        <v/>
      </c>
      <c r="AI33" s="679">
        <f>IF('Final Calculation Sheet'!$AB$28="","",'Final Calculation Sheet'!$AB$28)</f>
        <v/>
      </c>
      <c r="AK33" s="716">
        <f>IF('Final Calculation Sheet'!$AB$30="","",'Final Calculation Sheet'!$AB$30)</f>
        <v/>
      </c>
      <c r="AL33" s="679">
        <f>IF('Final Calculation Sheet'!$AB$32="","",'Final Calculation Sheet'!$AB$32)</f>
        <v/>
      </c>
      <c r="AM33" s="716">
        <f>IF('Final Calculation Sheet'!$AB$33="","",'Final Calculation Sheet'!$AB$33)</f>
        <v/>
      </c>
      <c r="AO33" s="679">
        <f>IF('Final Calculation Sheet'!$AB$31="","",'Final Calculation Sheet'!$AB$31)</f>
        <v/>
      </c>
      <c r="AQ33" s="718">
        <f>IF('Final Calculation Sheet'!$AB$34="","",'Final Calculation Sheet'!$AB$34)</f>
        <v/>
      </c>
      <c r="AS33" s="679">
        <f>IF('Final Calculation Sheet'!$AB$4="","",'Final Calculation Sheet'!$AB$4)</f>
        <v/>
      </c>
      <c r="AU33" s="717">
        <f>IF('Final Calculation Sheet'!$AB$38="","",'Final Calculation Sheet'!$AB$38)</f>
        <v/>
      </c>
      <c r="AW33" s="679">
        <f>IF('Final Calculation Sheet'!$AB$37="","",'Final Calculation Sheet'!$AB$37)</f>
        <v/>
      </c>
      <c r="AY33" s="719">
        <f>IF('Final Calculation Sheet'!$AB$8="","",'Final Calculation Sheet'!$AB$8)</f>
        <v/>
      </c>
      <c r="BA33" s="679">
        <f>IF('Final Calculation Sheet'!$AB$39="","",'Final Calculation Sheet'!$AB$39)</f>
        <v/>
      </c>
      <c r="BB33" s="718">
        <f>IF('Final Calculation Sheet'!$AB$40="","",'Final Calculation Sheet'!$AB$40)</f>
        <v/>
      </c>
      <c r="BD33" s="679">
        <f>IF('Final Calculation Sheet'!$AB$36="","",'Final Calculation Sheet'!$AB$36)</f>
        <v/>
      </c>
      <c r="BF33" s="714">
        <f>IF('Final Calculation Sheet'!$AB$35="","",'Final Calculation Sheet'!$AB$35)</f>
        <v/>
      </c>
      <c r="BG33" s="680">
        <f>IF('Final Calculation Sheet'!$AB$41="","",'Final Calculation Sheet'!$AB$41)</f>
        <v/>
      </c>
    </row>
    <row r="34" ht="15" customHeight="1">
      <c r="A34" s="675" t="inlineStr">
        <is>
          <t>Total Received</t>
        </is>
      </c>
      <c r="B34" s="714">
        <f>IF('Final Calculation Sheet'!$AC$6="","",'Final Calculation Sheet'!$AC$6)</f>
        <v/>
      </c>
      <c r="C34" s="679">
        <f>IF('Final Calculation Sheet'!$AC$7="","",'Final Calculation Sheet'!$AC$7)</f>
        <v/>
      </c>
      <c r="E34" s="715">
        <f>IF('Final Calculation Sheet'!$AC$15="","",'Final Calculation Sheet'!$AC$15)</f>
        <v/>
      </c>
      <c r="G34" s="679">
        <f>IF('Final Calculation Sheet'!$AC$5="","",'Final Calculation Sheet'!$AC$5)</f>
        <v/>
      </c>
      <c r="H34" s="716">
        <f>IF('Final Calculation Sheet'!$AC$10="","",'Final Calculation Sheet'!$AC$10)</f>
        <v/>
      </c>
      <c r="I34" s="679">
        <f>IF('Final Calculation Sheet'!$AC$11="","",'Final Calculation Sheet'!$AC$11)</f>
        <v/>
      </c>
      <c r="J34" s="716">
        <f>IF('Final Calculation Sheet'!$AC$12="","",'Final Calculation Sheet'!$AC$12)</f>
        <v/>
      </c>
      <c r="L34" s="679">
        <f>IF('Final Calculation Sheet'!$AC$9="","",'Final Calculation Sheet'!$AC$9)</f>
        <v/>
      </c>
      <c r="M34" s="717">
        <f>IF('Final Calculation Sheet'!$AC$14="","",'Final Calculation Sheet'!$AC$14)</f>
        <v/>
      </c>
      <c r="O34" s="679">
        <f>IF('Final Calculation Sheet'!$AC$13="","",'Final Calculation Sheet'!$AC$13)</f>
        <v/>
      </c>
      <c r="P34" s="718">
        <f>IF('Final Calculation Sheet'!$AC$16="","",'Final Calculation Sheet'!$AC$16)</f>
        <v/>
      </c>
      <c r="R34" s="679">
        <f>IF('Final Calculation Sheet'!$AC$27="","",'Final Calculation Sheet'!$AC$27)</f>
        <v/>
      </c>
      <c r="T34" s="716">
        <f>IF('Final Calculation Sheet'!$AC$18="","",'Final Calculation Sheet'!$AC$18)</f>
        <v/>
      </c>
      <c r="U34" s="679">
        <f>IF('Final Calculation Sheet'!$AC$19="","",'Final Calculation Sheet'!$AC$19)</f>
        <v/>
      </c>
      <c r="V34" s="716">
        <f>IF('Final Calculation Sheet'!$AC$22="","",'Final Calculation Sheet'!$AC$22)</f>
        <v/>
      </c>
      <c r="W34" s="679">
        <f>IF('Final Calculation Sheet'!$AC$24="","",'Final Calculation Sheet'!$AC$24)</f>
        <v/>
      </c>
      <c r="X34" s="716">
        <f>IF('Final Calculation Sheet'!$AC$26="","",'Final Calculation Sheet'!$AC$26)</f>
        <v/>
      </c>
      <c r="Z34" s="679">
        <f>IF('Final Calculation Sheet'!$AC$21="","",'Final Calculation Sheet'!$AC$21)</f>
        <v/>
      </c>
      <c r="AB34" s="719">
        <f>IF('Final Calculation Sheet'!$AC$20="","",'Final Calculation Sheet'!$AC$20)</f>
        <v/>
      </c>
      <c r="AD34" s="679">
        <f>IF('Final Calculation Sheet'!$AC$17="","",'Final Calculation Sheet'!$AC$17)</f>
        <v/>
      </c>
      <c r="AE34" s="718">
        <f>IF('Final Calculation Sheet'!$AC$23="","",'Final Calculation Sheet'!$AC$23)</f>
        <v/>
      </c>
      <c r="AF34" s="679">
        <f>IF('Final Calculation Sheet'!$AC$29="","",'Final Calculation Sheet'!$AC$29)</f>
        <v/>
      </c>
      <c r="AH34" s="714">
        <f>IF('Final Calculation Sheet'!$AC$25="","",'Final Calculation Sheet'!$AC$25)</f>
        <v/>
      </c>
      <c r="AI34" s="679">
        <f>IF('Final Calculation Sheet'!$AC$28="","",'Final Calculation Sheet'!$AC$28)</f>
        <v/>
      </c>
      <c r="AK34" s="716">
        <f>IF('Final Calculation Sheet'!$AC$30="","",'Final Calculation Sheet'!$AC$30)</f>
        <v/>
      </c>
      <c r="AL34" s="679">
        <f>IF('Final Calculation Sheet'!$AC$32="","",'Final Calculation Sheet'!$AC$32)</f>
        <v/>
      </c>
      <c r="AM34" s="716">
        <f>IF('Final Calculation Sheet'!$AC$33="","",'Final Calculation Sheet'!$AC$33)</f>
        <v/>
      </c>
      <c r="AO34" s="679">
        <f>IF('Final Calculation Sheet'!$AC$31="","",'Final Calculation Sheet'!$AC$31)</f>
        <v/>
      </c>
      <c r="AQ34" s="718">
        <f>IF('Final Calculation Sheet'!$AC$34="","",'Final Calculation Sheet'!$AC$34)</f>
        <v/>
      </c>
      <c r="AS34" s="679">
        <f>IF('Final Calculation Sheet'!$AC$4="","",'Final Calculation Sheet'!$AC$4)</f>
        <v/>
      </c>
      <c r="AU34" s="717">
        <f>IF('Final Calculation Sheet'!$AC$38="","",'Final Calculation Sheet'!$AC$38)</f>
        <v/>
      </c>
      <c r="AW34" s="679">
        <f>IF('Final Calculation Sheet'!$AC$37="","",'Final Calculation Sheet'!$AC$37)</f>
        <v/>
      </c>
      <c r="AY34" s="719">
        <f>IF('Final Calculation Sheet'!$AC$8="","",'Final Calculation Sheet'!$AC$8)</f>
        <v/>
      </c>
      <c r="BA34" s="679">
        <f>IF('Final Calculation Sheet'!$AC$39="","",'Final Calculation Sheet'!$AC$39)</f>
        <v/>
      </c>
      <c r="BB34" s="718">
        <f>IF('Final Calculation Sheet'!$AC$40="","",'Final Calculation Sheet'!$AC$40)</f>
        <v/>
      </c>
      <c r="BD34" s="679">
        <f>IF('Final Calculation Sheet'!$AC$36="","",'Final Calculation Sheet'!$AC$36)</f>
        <v/>
      </c>
      <c r="BF34" s="714">
        <f>IF('Final Calculation Sheet'!$AC$35="","",'Final Calculation Sheet'!$AC$35)</f>
        <v/>
      </c>
      <c r="BG34" s="680">
        <f>IF('Final Calculation Sheet'!$AC$41="","",'Final Calculation Sheet'!$AC$41)</f>
        <v/>
      </c>
    </row>
    <row r="35" ht="15" customHeight="1">
      <c r="A35" s="678" t="inlineStr">
        <is>
          <t>Outstanding</t>
        </is>
      </c>
      <c r="B35" s="714">
        <f>IF('Final Calculation Sheet'!$AD$6="","",'Final Calculation Sheet'!$AD$6)</f>
        <v/>
      </c>
      <c r="C35" s="679">
        <f>IF('Final Calculation Sheet'!$AD$7="","",'Final Calculation Sheet'!$AD$7)</f>
        <v/>
      </c>
      <c r="E35" s="715">
        <f>IF('Final Calculation Sheet'!$AD$15="","",'Final Calculation Sheet'!$AD$15)</f>
        <v/>
      </c>
      <c r="G35" s="679">
        <f>IF('Final Calculation Sheet'!$AD$5="","",'Final Calculation Sheet'!$AD$5)</f>
        <v/>
      </c>
      <c r="H35" s="716">
        <f>IF('Final Calculation Sheet'!$AD$10="","",'Final Calculation Sheet'!$AD$10)</f>
        <v/>
      </c>
      <c r="I35" s="679">
        <f>IF('Final Calculation Sheet'!$AD$11="","",'Final Calculation Sheet'!$AD$11)</f>
        <v/>
      </c>
      <c r="J35" s="716">
        <f>IF('Final Calculation Sheet'!$AD$12="","",'Final Calculation Sheet'!$AD$12)</f>
        <v/>
      </c>
      <c r="L35" s="679">
        <f>IF('Final Calculation Sheet'!$AD$9="","",'Final Calculation Sheet'!$AD$9)</f>
        <v/>
      </c>
      <c r="M35" s="717">
        <f>IF('Final Calculation Sheet'!$AD$14="","",'Final Calculation Sheet'!$AD$14)</f>
        <v/>
      </c>
      <c r="O35" s="679">
        <f>IF('Final Calculation Sheet'!$AD$13="","",'Final Calculation Sheet'!$AD$13)</f>
        <v/>
      </c>
      <c r="P35" s="718">
        <f>IF('Final Calculation Sheet'!$AD$16="","",'Final Calculation Sheet'!$AD$16)</f>
        <v/>
      </c>
      <c r="R35" s="679">
        <f>IF('Final Calculation Sheet'!$AD$27="","",'Final Calculation Sheet'!$AD$27)</f>
        <v/>
      </c>
      <c r="T35" s="716">
        <f>IF('Final Calculation Sheet'!$AD$18="","",'Final Calculation Sheet'!$AD$18)</f>
        <v/>
      </c>
      <c r="U35" s="679">
        <f>IF('Final Calculation Sheet'!$AD$19="","",'Final Calculation Sheet'!$AD$19)</f>
        <v/>
      </c>
      <c r="V35" s="716">
        <f>IF('Final Calculation Sheet'!$AD$22="","",'Final Calculation Sheet'!$AD$22)</f>
        <v/>
      </c>
      <c r="W35" s="679">
        <f>IF('Final Calculation Sheet'!$AD$24="","",'Final Calculation Sheet'!$AD$24)</f>
        <v/>
      </c>
      <c r="X35" s="716">
        <f>IF('Final Calculation Sheet'!$AD$26="","",'Final Calculation Sheet'!$AD$26)</f>
        <v/>
      </c>
      <c r="Z35" s="679">
        <f>IF('Final Calculation Sheet'!$AD$21="","",'Final Calculation Sheet'!$AD$21)</f>
        <v/>
      </c>
      <c r="AB35" s="719">
        <f>IF('Final Calculation Sheet'!$AD$20="","",'Final Calculation Sheet'!$AD$20)</f>
        <v/>
      </c>
      <c r="AD35" s="679">
        <f>IF('Final Calculation Sheet'!$AD$17="","",'Final Calculation Sheet'!$AD$17)</f>
        <v/>
      </c>
      <c r="AE35" s="718">
        <f>IF('Final Calculation Sheet'!$AD$23="","",'Final Calculation Sheet'!$AD$23)</f>
        <v/>
      </c>
      <c r="AF35" s="679">
        <f>IF('Final Calculation Sheet'!$AD$29="","",'Final Calculation Sheet'!$AD$29)</f>
        <v/>
      </c>
      <c r="AH35" s="714">
        <f>IF('Final Calculation Sheet'!$AD$25="","",'Final Calculation Sheet'!$AD$25)</f>
        <v/>
      </c>
      <c r="AI35" s="679">
        <f>IF('Final Calculation Sheet'!$AD$28="","",'Final Calculation Sheet'!$AD$28)</f>
        <v/>
      </c>
      <c r="AK35" s="716">
        <f>IF('Final Calculation Sheet'!$AD$30="","",'Final Calculation Sheet'!$AD$30)</f>
        <v/>
      </c>
      <c r="AL35" s="679">
        <f>IF('Final Calculation Sheet'!$AD$32="","",'Final Calculation Sheet'!$AD$32)</f>
        <v/>
      </c>
      <c r="AM35" s="716">
        <f>IF('Final Calculation Sheet'!$AD$33="","",'Final Calculation Sheet'!$AD$33)</f>
        <v/>
      </c>
      <c r="AO35" s="679">
        <f>IF('Final Calculation Sheet'!$AD$31="","",'Final Calculation Sheet'!$AD$31)</f>
        <v/>
      </c>
      <c r="AQ35" s="718">
        <f>IF('Final Calculation Sheet'!$AD$34="","",'Final Calculation Sheet'!$AD$34)</f>
        <v/>
      </c>
      <c r="AS35" s="679">
        <f>IF('Final Calculation Sheet'!$AD$4="","",'Final Calculation Sheet'!$AD$4)</f>
        <v/>
      </c>
      <c r="AU35" s="717">
        <f>IF('Final Calculation Sheet'!$AD$38="","",'Final Calculation Sheet'!$AD$38)</f>
        <v/>
      </c>
      <c r="AW35" s="679">
        <f>IF('Final Calculation Sheet'!$AD$37="","",'Final Calculation Sheet'!$AD$37)</f>
        <v/>
      </c>
      <c r="AY35" s="719">
        <f>IF('Final Calculation Sheet'!$AD$8="","",'Final Calculation Sheet'!$AD$8)</f>
        <v/>
      </c>
      <c r="BA35" s="679">
        <f>IF('Final Calculation Sheet'!$AD$39="","",'Final Calculation Sheet'!$AD$39)</f>
        <v/>
      </c>
      <c r="BB35" s="718">
        <f>IF('Final Calculation Sheet'!$AD$40="","",'Final Calculation Sheet'!$AD$40)</f>
        <v/>
      </c>
      <c r="BD35" s="679">
        <f>IF('Final Calculation Sheet'!$AD$36="","",'Final Calculation Sheet'!$AD$36)</f>
        <v/>
      </c>
      <c r="BF35" s="714">
        <f>IF('Final Calculation Sheet'!$AD$35="","",'Final Calculation Sheet'!$AD$35)</f>
        <v/>
      </c>
      <c r="BG35" s="680">
        <f>IF('Final Calculation Sheet'!$AD$41="","",'Final Calculation Sheet'!$AD$41)</f>
        <v/>
      </c>
    </row>
    <row r="36" ht="15" customHeight="1">
      <c r="A36" s="675" t="inlineStr">
        <is>
          <t>Invoice No.</t>
        </is>
      </c>
      <c r="B36" s="714">
        <f>IF('Final Calculation Sheet'!$AE$6="","",'Final Calculation Sheet'!$AE$6)</f>
        <v/>
      </c>
      <c r="C36" s="679">
        <f>IF('Final Calculation Sheet'!$AE$7="","",'Final Calculation Sheet'!$AE$7)</f>
        <v/>
      </c>
      <c r="E36" s="715">
        <f>IF('Final Calculation Sheet'!$AE$15="","",'Final Calculation Sheet'!$AE$15)</f>
        <v/>
      </c>
      <c r="G36" s="679">
        <f>IF('Final Calculation Sheet'!$AE$5="","",'Final Calculation Sheet'!$AE$5)</f>
        <v/>
      </c>
      <c r="H36" s="716">
        <f>IF('Final Calculation Sheet'!$AE$10="","",'Final Calculation Sheet'!$AE$10)</f>
        <v/>
      </c>
      <c r="I36" s="679">
        <f>IF('Final Calculation Sheet'!$AE$11="","",'Final Calculation Sheet'!$AE$11)</f>
        <v/>
      </c>
      <c r="J36" s="716">
        <f>IF('Final Calculation Sheet'!$AE$12="","",'Final Calculation Sheet'!$AE$12)</f>
        <v/>
      </c>
      <c r="L36" s="679">
        <f>IF('Final Calculation Sheet'!$AE$9="","",'Final Calculation Sheet'!$AE$9)</f>
        <v/>
      </c>
      <c r="M36" s="717">
        <f>IF('Final Calculation Sheet'!$AE$14="","",'Final Calculation Sheet'!$AE$14)</f>
        <v/>
      </c>
      <c r="O36" s="679">
        <f>IF('Final Calculation Sheet'!$AE$13="","",'Final Calculation Sheet'!$AE$13)</f>
        <v/>
      </c>
      <c r="P36" s="718">
        <f>IF('Final Calculation Sheet'!$AE$16="","",'Final Calculation Sheet'!$AE$16)</f>
        <v/>
      </c>
      <c r="R36" s="679">
        <f>IF('Final Calculation Sheet'!$AE$27="","",'Final Calculation Sheet'!$AE$27)</f>
        <v/>
      </c>
      <c r="T36" s="716">
        <f>IF('Final Calculation Sheet'!$AE$18="","",'Final Calculation Sheet'!$AE$18)</f>
        <v/>
      </c>
      <c r="U36" s="679">
        <f>IF('Final Calculation Sheet'!$AE$19="","",'Final Calculation Sheet'!$AE$19)</f>
        <v/>
      </c>
      <c r="V36" s="716">
        <f>IF('Final Calculation Sheet'!$AE$22="","",'Final Calculation Sheet'!$AE$22)</f>
        <v/>
      </c>
      <c r="W36" s="679">
        <f>IF('Final Calculation Sheet'!$AE$24="","",'Final Calculation Sheet'!$AE$24)</f>
        <v/>
      </c>
      <c r="X36" s="716">
        <f>IF('Final Calculation Sheet'!$AE$26="","",'Final Calculation Sheet'!$AE$26)</f>
        <v/>
      </c>
      <c r="Z36" s="679">
        <f>IF('Final Calculation Sheet'!$AE$21="","",'Final Calculation Sheet'!$AE$21)</f>
        <v/>
      </c>
      <c r="AB36" s="719">
        <f>IF('Final Calculation Sheet'!$AE$20="","",'Final Calculation Sheet'!$AE$20)</f>
        <v/>
      </c>
      <c r="AD36" s="679">
        <f>IF('Final Calculation Sheet'!$AE$17="","",'Final Calculation Sheet'!$AE$17)</f>
        <v/>
      </c>
      <c r="AE36" s="718">
        <f>IF('Final Calculation Sheet'!$AE$23="","",'Final Calculation Sheet'!$AE$23)</f>
        <v/>
      </c>
      <c r="AF36" s="679">
        <f>IF('Final Calculation Sheet'!$AE$29="","",'Final Calculation Sheet'!$AE$29)</f>
        <v/>
      </c>
      <c r="AH36" s="714">
        <f>IF('Final Calculation Sheet'!$AE$25="","",'Final Calculation Sheet'!$AE$25)</f>
        <v/>
      </c>
      <c r="AI36" s="679">
        <f>IF('Final Calculation Sheet'!$AE$28="","",'Final Calculation Sheet'!$AE$28)</f>
        <v/>
      </c>
      <c r="AK36" s="716">
        <f>IF('Final Calculation Sheet'!$AE$30="","",'Final Calculation Sheet'!$AE$30)</f>
        <v/>
      </c>
      <c r="AL36" s="679">
        <f>IF('Final Calculation Sheet'!$AE$32="","",'Final Calculation Sheet'!$AE$32)</f>
        <v/>
      </c>
      <c r="AM36" s="716">
        <f>IF('Final Calculation Sheet'!$AE$33="","",'Final Calculation Sheet'!$AE$33)</f>
        <v/>
      </c>
      <c r="AO36" s="679">
        <f>IF('Final Calculation Sheet'!$AE$31="","",'Final Calculation Sheet'!$AE$31)</f>
        <v/>
      </c>
      <c r="AQ36" s="718">
        <f>IF('Final Calculation Sheet'!$AE$34="","",'Final Calculation Sheet'!$AE$34)</f>
        <v/>
      </c>
      <c r="AS36" s="679">
        <f>IF('Final Calculation Sheet'!$AE$4="","",'Final Calculation Sheet'!$AE$4)</f>
        <v/>
      </c>
      <c r="AU36" s="717">
        <f>IF('Final Calculation Sheet'!$AE$38="","",'Final Calculation Sheet'!$AE$38)</f>
        <v/>
      </c>
      <c r="AW36" s="679">
        <f>IF('Final Calculation Sheet'!$AE$37="","",'Final Calculation Sheet'!$AE$37)</f>
        <v/>
      </c>
      <c r="AY36" s="719">
        <f>IF('Final Calculation Sheet'!$AE$8="","",'Final Calculation Sheet'!$AE$8)</f>
        <v/>
      </c>
      <c r="BA36" s="679">
        <f>IF('Final Calculation Sheet'!$AE$39="","",'Final Calculation Sheet'!$AE$39)</f>
        <v/>
      </c>
      <c r="BB36" s="718">
        <f>IF('Final Calculation Sheet'!$AE$40="","",'Final Calculation Sheet'!$AE$40)</f>
        <v/>
      </c>
      <c r="BD36" s="679">
        <f>IF('Final Calculation Sheet'!$AE$36="","",'Final Calculation Sheet'!$AE$36)</f>
        <v/>
      </c>
      <c r="BF36" s="714">
        <f>IF('Final Calculation Sheet'!$AE$35="","",'Final Calculation Sheet'!$AE$35)</f>
        <v/>
      </c>
      <c r="BG36" s="680">
        <f>IF('Final Calculation Sheet'!$AE$41="","",'Final Calculation Sheet'!$AE$41)</f>
        <v/>
      </c>
    </row>
    <row r="37" ht="15" customHeight="1">
      <c r="A37" s="678" t="inlineStr">
        <is>
          <t>SAP Document</t>
        </is>
      </c>
      <c r="B37" s="738">
        <f>IF('Final Calculation Sheet'!$AF$6="","",'Final Calculation Sheet'!$AF$6)</f>
        <v/>
      </c>
      <c r="C37" s="687">
        <f>IF('Final Calculation Sheet'!$AF$7="","",'Final Calculation Sheet'!$AF$7)</f>
        <v/>
      </c>
      <c r="E37" s="739">
        <f>IF('Final Calculation Sheet'!$AF$15="","",'Final Calculation Sheet'!$AF$15)</f>
        <v/>
      </c>
      <c r="G37" s="687">
        <f>IF('Final Calculation Sheet'!$AF$5="","",'Final Calculation Sheet'!$AF$5)</f>
        <v/>
      </c>
      <c r="H37" s="740">
        <f>IF('Final Calculation Sheet'!$AF$10="","",'Final Calculation Sheet'!$AF$10)</f>
        <v/>
      </c>
      <c r="I37" s="687">
        <f>IF('Final Calculation Sheet'!$AF$11="","",'Final Calculation Sheet'!$AF$11)</f>
        <v/>
      </c>
      <c r="J37" s="740">
        <f>IF('Final Calculation Sheet'!$AF$12="","",'Final Calculation Sheet'!$AF$12)</f>
        <v/>
      </c>
      <c r="L37" s="687">
        <f>IF('Final Calculation Sheet'!$AF$9="","",'Final Calculation Sheet'!$AF$9)</f>
        <v/>
      </c>
      <c r="M37" s="741">
        <f>IF('Final Calculation Sheet'!$AF$14="","",'Final Calculation Sheet'!$AF$14)</f>
        <v/>
      </c>
      <c r="O37" s="687">
        <f>IF('Final Calculation Sheet'!$AF$13="","",'Final Calculation Sheet'!$AF$13)</f>
        <v/>
      </c>
      <c r="P37" s="742">
        <f>IF('Final Calculation Sheet'!$AF$16="","",'Final Calculation Sheet'!$AF$16)</f>
        <v/>
      </c>
      <c r="R37" s="687">
        <f>IF('Final Calculation Sheet'!$AF$27="","",'Final Calculation Sheet'!$AF$27)</f>
        <v/>
      </c>
      <c r="T37" s="740">
        <f>IF('Final Calculation Sheet'!$AF$18="","",'Final Calculation Sheet'!$AF$18)</f>
        <v/>
      </c>
      <c r="U37" s="687">
        <f>IF('Final Calculation Sheet'!$AF$19="","",'Final Calculation Sheet'!$AF$19)</f>
        <v/>
      </c>
      <c r="V37" s="740">
        <f>IF('Final Calculation Sheet'!$AF$22="","",'Final Calculation Sheet'!$AF$22)</f>
        <v/>
      </c>
      <c r="W37" s="687">
        <f>IF('Final Calculation Sheet'!$AF$24="","",'Final Calculation Sheet'!$AF$24)</f>
        <v/>
      </c>
      <c r="X37" s="740">
        <f>IF('Final Calculation Sheet'!$AF$26="","",'Final Calculation Sheet'!$AF$26)</f>
        <v/>
      </c>
      <c r="Z37" s="687">
        <f>IF('Final Calculation Sheet'!$AF$21="","",'Final Calculation Sheet'!$AF$21)</f>
        <v/>
      </c>
      <c r="AB37" s="743">
        <f>IF('Final Calculation Sheet'!$AF$20="","",'Final Calculation Sheet'!$AF$20)</f>
        <v/>
      </c>
      <c r="AD37" s="687">
        <f>IF('Final Calculation Sheet'!$AF$17="","",'Final Calculation Sheet'!$AF$17)</f>
        <v/>
      </c>
      <c r="AE37" s="742">
        <f>IF('Final Calculation Sheet'!$AF$23="","",'Final Calculation Sheet'!$AF$23)</f>
        <v/>
      </c>
      <c r="AF37" s="687">
        <f>IF('Final Calculation Sheet'!$AF$29="","",'Final Calculation Sheet'!$AF$29)</f>
        <v/>
      </c>
      <c r="AH37" s="738">
        <f>IF('Final Calculation Sheet'!$AF$25="","",'Final Calculation Sheet'!$AF$25)</f>
        <v/>
      </c>
      <c r="AI37" s="687">
        <f>IF('Final Calculation Sheet'!$AF$28="","",'Final Calculation Sheet'!$AF$28)</f>
        <v/>
      </c>
      <c r="AK37" s="740">
        <f>IF('Final Calculation Sheet'!$AF$30="","",'Final Calculation Sheet'!$AF$30)</f>
        <v/>
      </c>
      <c r="AL37" s="687">
        <f>IF('Final Calculation Sheet'!$AF$32="","",'Final Calculation Sheet'!$AF$32)</f>
        <v/>
      </c>
      <c r="AM37" s="740">
        <f>IF('Final Calculation Sheet'!$AF$33="","",'Final Calculation Sheet'!$AF$33)</f>
        <v/>
      </c>
      <c r="AO37" s="687">
        <f>IF('Final Calculation Sheet'!$AF$31="","",'Final Calculation Sheet'!$AF$31)</f>
        <v/>
      </c>
      <c r="AQ37" s="742">
        <f>IF('Final Calculation Sheet'!$AF$34="","",'Final Calculation Sheet'!$AF$34)</f>
        <v/>
      </c>
      <c r="AS37" s="687">
        <f>IF('Final Calculation Sheet'!$AF$4="","",'Final Calculation Sheet'!$AF$4)</f>
        <v/>
      </c>
      <c r="AU37" s="741">
        <f>IF('Final Calculation Sheet'!$AF$38="","",'Final Calculation Sheet'!$AF$38)</f>
        <v/>
      </c>
      <c r="AW37" s="687">
        <f>IF('Final Calculation Sheet'!$AF$37="","",'Final Calculation Sheet'!$AF$37)</f>
        <v/>
      </c>
      <c r="AY37" s="743">
        <f>IF('Final Calculation Sheet'!$AF$8="","",'Final Calculation Sheet'!$AF$8)</f>
        <v/>
      </c>
      <c r="BA37" s="687">
        <f>IF('Final Calculation Sheet'!$AF$39="","",'Final Calculation Sheet'!$AF$39)</f>
        <v/>
      </c>
      <c r="BB37" s="742">
        <f>IF('Final Calculation Sheet'!$AF$40="","",'Final Calculation Sheet'!$AF$40)</f>
        <v/>
      </c>
      <c r="BD37" s="687">
        <f>IF('Final Calculation Sheet'!$AF$36="","",'Final Calculation Sheet'!$AF$36)</f>
        <v/>
      </c>
      <c r="BF37" s="738">
        <f>IF('Final Calculation Sheet'!$AF$35="","",'Final Calculation Sheet'!$AF$35)</f>
        <v/>
      </c>
      <c r="BG37" s="688">
        <f>IF('Final Calculation Sheet'!$AF$41="","",'Final Calculation Sheet'!$AF$41)</f>
        <v/>
      </c>
    </row>
    <row r="38" ht="15" customHeight="1">
      <c r="A38" s="675" t="inlineStr">
        <is>
          <t>Doc./Invoice Date</t>
        </is>
      </c>
      <c r="B38" s="714">
        <f>IF('Final Calculation Sheet'!$AG$6="","",'Final Calculation Sheet'!$AG$6)</f>
        <v/>
      </c>
      <c r="C38" s="679">
        <f>IF('Final Calculation Sheet'!$AG$7="","",'Final Calculation Sheet'!$AG$7)</f>
        <v/>
      </c>
      <c r="E38" s="715">
        <f>IF('Final Calculation Sheet'!$AG$15="","",'Final Calculation Sheet'!$AG$15)</f>
        <v/>
      </c>
      <c r="G38" s="679">
        <f>IF('Final Calculation Sheet'!$AG$5="","",'Final Calculation Sheet'!$AG$5)</f>
        <v/>
      </c>
      <c r="H38" s="716">
        <f>IF('Final Calculation Sheet'!$AG$10="","",'Final Calculation Sheet'!$AG$10)</f>
        <v/>
      </c>
      <c r="I38" s="679">
        <f>IF('Final Calculation Sheet'!$AG$11="","",'Final Calculation Sheet'!$AG$11)</f>
        <v/>
      </c>
      <c r="J38" s="716">
        <f>IF('Final Calculation Sheet'!$AG$12="","",'Final Calculation Sheet'!$AG$12)</f>
        <v/>
      </c>
      <c r="L38" s="679">
        <f>IF('Final Calculation Sheet'!$AG$9="","",'Final Calculation Sheet'!$AG$9)</f>
        <v/>
      </c>
      <c r="M38" s="717">
        <f>IF('Final Calculation Sheet'!$AG$14="","",'Final Calculation Sheet'!$AG$14)</f>
        <v/>
      </c>
      <c r="O38" s="679">
        <f>IF('Final Calculation Sheet'!$AG$13="","",'Final Calculation Sheet'!$AG$13)</f>
        <v/>
      </c>
      <c r="P38" s="718">
        <f>IF('Final Calculation Sheet'!$AG$16="","",'Final Calculation Sheet'!$AG$16)</f>
        <v/>
      </c>
      <c r="R38" s="679">
        <f>IF('Final Calculation Sheet'!$AG$27="","",'Final Calculation Sheet'!$AG$27)</f>
        <v/>
      </c>
      <c r="T38" s="716">
        <f>IF('Final Calculation Sheet'!$AG$18="","",'Final Calculation Sheet'!$AG$18)</f>
        <v/>
      </c>
      <c r="U38" s="679">
        <f>IF('Final Calculation Sheet'!$AG$19="","",'Final Calculation Sheet'!$AG$19)</f>
        <v/>
      </c>
      <c r="V38" s="716">
        <f>IF('Final Calculation Sheet'!$AG$22="","",'Final Calculation Sheet'!$AG$22)</f>
        <v/>
      </c>
      <c r="W38" s="679">
        <f>IF('Final Calculation Sheet'!$AG$24="","",'Final Calculation Sheet'!$AG$24)</f>
        <v/>
      </c>
      <c r="X38" s="716">
        <f>IF('Final Calculation Sheet'!$AG$26="","",'Final Calculation Sheet'!$AG$26)</f>
        <v/>
      </c>
      <c r="Z38" s="679">
        <f>IF('Final Calculation Sheet'!$AG$21="","",'Final Calculation Sheet'!$AG$21)</f>
        <v/>
      </c>
      <c r="AB38" s="719">
        <f>IF('Final Calculation Sheet'!$AG$20="","",'Final Calculation Sheet'!$AG$20)</f>
        <v/>
      </c>
      <c r="AD38" s="679">
        <f>IF('Final Calculation Sheet'!$AG$17="","",'Final Calculation Sheet'!$AG$17)</f>
        <v/>
      </c>
      <c r="AE38" s="718">
        <f>IF('Final Calculation Sheet'!$AG$23="","",'Final Calculation Sheet'!$AG$23)</f>
        <v/>
      </c>
      <c r="AF38" s="679">
        <f>IF('Final Calculation Sheet'!$AG$29="","",'Final Calculation Sheet'!$AG$29)</f>
        <v/>
      </c>
      <c r="AH38" s="714">
        <f>IF('Final Calculation Sheet'!$AG$25="","",'Final Calculation Sheet'!$AG$25)</f>
        <v/>
      </c>
      <c r="AI38" s="679">
        <f>IF('Final Calculation Sheet'!$AG$28="","",'Final Calculation Sheet'!$AG$28)</f>
        <v/>
      </c>
      <c r="AK38" s="716">
        <f>IF('Final Calculation Sheet'!$AG$30="","",'Final Calculation Sheet'!$AG$30)</f>
        <v/>
      </c>
      <c r="AL38" s="679">
        <f>IF('Final Calculation Sheet'!$AG$32="","",'Final Calculation Sheet'!$AG$32)</f>
        <v/>
      </c>
      <c r="AM38" s="716">
        <f>IF('Final Calculation Sheet'!$AG$33="","",'Final Calculation Sheet'!$AG$33)</f>
        <v/>
      </c>
      <c r="AO38" s="679">
        <f>IF('Final Calculation Sheet'!$AG$31="","",'Final Calculation Sheet'!$AG$31)</f>
        <v/>
      </c>
      <c r="AQ38" s="718">
        <f>IF('Final Calculation Sheet'!$AG$34="","",'Final Calculation Sheet'!$AG$34)</f>
        <v/>
      </c>
      <c r="AS38" s="679">
        <f>IF('Final Calculation Sheet'!$AG$4="","",'Final Calculation Sheet'!$AG$4)</f>
        <v/>
      </c>
      <c r="AU38" s="717">
        <f>IF('Final Calculation Sheet'!$AG$38="","",'Final Calculation Sheet'!$AG$38)</f>
        <v/>
      </c>
      <c r="AW38" s="679">
        <f>IF('Final Calculation Sheet'!$AG$37="","",'Final Calculation Sheet'!$AG$37)</f>
        <v/>
      </c>
      <c r="AY38" s="719">
        <f>IF('Final Calculation Sheet'!$AG$8="","",'Final Calculation Sheet'!$AG$8)</f>
        <v/>
      </c>
      <c r="BA38" s="679">
        <f>IF('Final Calculation Sheet'!$AG$39="","",'Final Calculation Sheet'!$AG$39)</f>
        <v/>
      </c>
      <c r="BB38" s="718">
        <f>IF('Final Calculation Sheet'!$AG$40="","",'Final Calculation Sheet'!$AG$40)</f>
        <v/>
      </c>
      <c r="BD38" s="679">
        <f>IF('Final Calculation Sheet'!$AG$36="","",'Final Calculation Sheet'!$AG$36)</f>
        <v/>
      </c>
      <c r="BF38" s="714">
        <f>IF('Final Calculation Sheet'!$AG$35="","",'Final Calculation Sheet'!$AG$35)</f>
        <v/>
      </c>
      <c r="BG38" s="680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22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03864"/>
    <outlinePr summaryBelow="1" summaryRight="1"/>
    <pageSetUpPr fitToPage="1"/>
  </sheetPr>
  <dimension ref="A1:U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7" customWidth="1" min="15" max="15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</cols>
  <sheetData>
    <row r="1" ht="30" customHeight="1">
      <c r="A1" s="658" t="inlineStr">
        <is>
          <t>MSTC LIMITED  •  TRANSPOSED, FILTERED BY BUYER   (pick a buyer → only its lots are shown)</t>
        </is>
      </c>
    </row>
    <row r="2" ht="44" customHeight="1">
      <c r="A2" s="659" t="inlineStr">
        <is>
          <t>HOW TO USE  ▶  click the blue cell B3 and pick a buyer from the list - the lot columns immediately re-point at that buyer's lots (up to 13, the widest buyer here) and every figure follows   •   the ▼ on the FIELD column still filters which rows show   •   nothing is typed in: each cell is an INDEX / MATCH into 'Final Calculation Sheet', so the two can never disagree   •   columns Q, S and U are hidden helpers - the buyer list in U is rewritten whenever this sheet is rebuilt</t>
        </is>
      </c>
      <c r="S2" s="596" t="inlineStr">
        <is>
          <t>source row of each lot column</t>
        </is>
      </c>
    </row>
    <row r="3" ht="26" customHeight="1">
      <c r="A3" s="744" t="inlineStr">
        <is>
          <t>PICK A BUYER  ▸</t>
        </is>
      </c>
      <c r="B3" s="745" t="inlineStr">
        <is>
          <t>NATIONAL ENTERPRISES</t>
        </is>
      </c>
      <c r="C3" s="599" t="n"/>
      <c r="D3" s="599" t="n"/>
      <c r="E3" s="665">
        <f>IF($B$3="","◀ pick a buyer in B3","showing "&amp;COUNT($B$4:$N$4)&amp;" lot(s) of "&amp;COUNTIF('Final Calculation Sheet'!$G$4:$G$40,$B$3)&amp;" for "&amp;$B$3)</f>
        <v/>
      </c>
      <c r="Q3" s="596" t="inlineStr">
        <is>
          <t>rank of each source lot row inside the chosen buyer</t>
        </is>
      </c>
      <c r="S3" s="596" t="n"/>
      <c r="U3" s="596" t="inlineStr">
        <is>
          <t>buyer list for the B3 dropdown</t>
        </is>
      </c>
    </row>
    <row r="4" ht="30" customHeight="1">
      <c r="A4" s="669" t="inlineStr">
        <is>
          <t>FIELD (row 3 of the source)  ▸  |  LOT →</t>
        </is>
      </c>
      <c r="B4" s="670">
        <f>IFERROR(INDEX('Final Calculation Sheet'!$F$4:$F$40,$S4-3),"")</f>
        <v/>
      </c>
      <c r="C4" s="671">
        <f>IFERROR(INDEX('Final Calculation Sheet'!$F$4:$F$40,$S5-3),"")</f>
        <v/>
      </c>
      <c r="D4" s="672">
        <f>IFERROR(INDEX('Final Calculation Sheet'!$F$4:$F$40,$S6-3),"")</f>
        <v/>
      </c>
      <c r="E4" s="673">
        <f>IFERROR(INDEX('Final Calculation Sheet'!$F$4:$F$40,$S7-3),"")</f>
        <v/>
      </c>
      <c r="F4" s="746">
        <f>IFERROR(INDEX('Final Calculation Sheet'!$F$4:$F$40,$S8-3),"")</f>
        <v/>
      </c>
      <c r="G4" s="747">
        <f>IFERROR(INDEX('Final Calculation Sheet'!$F$4:$F$40,$S9-3),"")</f>
        <v/>
      </c>
      <c r="H4" s="748">
        <f>IFERROR(INDEX('Final Calculation Sheet'!$F$4:$F$40,$S10-3),"")</f>
        <v/>
      </c>
      <c r="I4" s="749">
        <f>IFERROR(INDEX('Final Calculation Sheet'!$F$4:$F$40,$S11-3),"")</f>
        <v/>
      </c>
      <c r="J4" s="670">
        <f>IFERROR(INDEX('Final Calculation Sheet'!$F$4:$F$40,$S12-3),"")</f>
        <v/>
      </c>
      <c r="K4" s="671">
        <f>IFERROR(INDEX('Final Calculation Sheet'!$F$4:$F$40,$S13-3),"")</f>
        <v/>
      </c>
      <c r="L4" s="672">
        <f>IFERROR(INDEX('Final Calculation Sheet'!$F$4:$F$40,$S14-3),"")</f>
        <v/>
      </c>
      <c r="M4" s="673">
        <f>IFERROR(INDEX('Final Calculation Sheet'!$F$4:$F$40,$S15-3),"")</f>
        <v/>
      </c>
      <c r="N4" s="746">
        <f>IFERROR(INDEX('Final Calculation Sheet'!$F$4:$F$40,$S16-3),"")</f>
        <v/>
      </c>
      <c r="O4" s="674">
        <f>"TOTAL  "&amp;$B$3</f>
        <v/>
      </c>
      <c r="Q4">
        <f>IF('Final Calculation Sheet'!$G4=$B$3,COUNTIF('Final Calculation Sheet'!$G$4:$G4,$B$3),"")</f>
        <v/>
      </c>
      <c r="S4">
        <f>IFERROR(MATCH(1,$Q$4:$Q$40,0)+3,"")</f>
        <v/>
      </c>
      <c r="U4" t="inlineStr">
        <is>
          <t>AL HAMD TRADE CORPORATION</t>
        </is>
      </c>
    </row>
    <row r="5" ht="15" customHeight="1">
      <c r="A5" s="675" t="inlineStr">
        <is>
          <t>Quantity</t>
        </is>
      </c>
      <c r="B5" s="69">
        <f>IFERROR(IF(INDEX('Final Calculation Sheet'!$A$4:$A$40,$S4-3)="","",INDEX('Final Calculation Sheet'!$A$4:$A$40,$S4-3)),"")</f>
        <v/>
      </c>
      <c r="C5" s="676">
        <f>IFERROR(IF(INDEX('Final Calculation Sheet'!$A$4:$A$40,$S5-3)="","",INDEX('Final Calculation Sheet'!$A$4:$A$40,$S5-3)),"")</f>
        <v/>
      </c>
      <c r="D5" s="69">
        <f>IFERROR(IF(INDEX('Final Calculation Sheet'!$A$4:$A$40,$S6-3)="","",INDEX('Final Calculation Sheet'!$A$4:$A$40,$S6-3)),"")</f>
        <v/>
      </c>
      <c r="E5" s="676">
        <f>IFERROR(IF(INDEX('Final Calculation Sheet'!$A$4:$A$40,$S7-3)="","",INDEX('Final Calculation Sheet'!$A$4:$A$40,$S7-3)),"")</f>
        <v/>
      </c>
      <c r="F5" s="69">
        <f>IFERROR(IF(INDEX('Final Calculation Sheet'!$A$4:$A$40,$S8-3)="","",INDEX('Final Calculation Sheet'!$A$4:$A$40,$S8-3)),"")</f>
        <v/>
      </c>
      <c r="G5" s="676">
        <f>IFERROR(IF(INDEX('Final Calculation Sheet'!$A$4:$A$40,$S9-3)="","",INDEX('Final Calculation Sheet'!$A$4:$A$40,$S9-3)),"")</f>
        <v/>
      </c>
      <c r="H5" s="69">
        <f>IFERROR(IF(INDEX('Final Calculation Sheet'!$A$4:$A$40,$S10-3)="","",INDEX('Final Calculation Sheet'!$A$4:$A$40,$S10-3)),"")</f>
        <v/>
      </c>
      <c r="I5" s="676">
        <f>IFERROR(IF(INDEX('Final Calculation Sheet'!$A$4:$A$40,$S11-3)="","",INDEX('Final Calculation Sheet'!$A$4:$A$40,$S11-3)),"")</f>
        <v/>
      </c>
      <c r="J5" s="69">
        <f>IFERROR(IF(INDEX('Final Calculation Sheet'!$A$4:$A$40,$S12-3)="","",INDEX('Final Calculation Sheet'!$A$4:$A$40,$S12-3)),"")</f>
        <v/>
      </c>
      <c r="K5" s="676">
        <f>IFERROR(IF(INDEX('Final Calculation Sheet'!$A$4:$A$40,$S13-3)="","",INDEX('Final Calculation Sheet'!$A$4:$A$40,$S13-3)),"")</f>
        <v/>
      </c>
      <c r="L5" s="69">
        <f>IFERROR(IF(INDEX('Final Calculation Sheet'!$A$4:$A$40,$S14-3)="","",INDEX('Final Calculation Sheet'!$A$4:$A$40,$S14-3)),"")</f>
        <v/>
      </c>
      <c r="M5" s="676">
        <f>IFERROR(IF(INDEX('Final Calculation Sheet'!$A$4:$A$40,$S15-3)="","",INDEX('Final Calculation Sheet'!$A$4:$A$40,$S15-3)),"")</f>
        <v/>
      </c>
      <c r="N5" s="69">
        <f>IFERROR(IF(INDEX('Final Calculation Sheet'!$A$4:$A$40,$S16-3)="","",INDEX('Final Calculation Sheet'!$A$4:$A$40,$S16-3)),"")</f>
        <v/>
      </c>
      <c r="O5" s="677">
        <f>IF(COUNT(B5:N5)=0,"",SUM(B5:N5))</f>
        <v/>
      </c>
      <c r="Q5">
        <f>IF('Final Calculation Sheet'!$G5=$B$3,COUNTIF('Final Calculation Sheet'!$G$4:$G5,$B$3),"")</f>
        <v/>
      </c>
      <c r="S5">
        <f>IFERROR(MATCH(2,$Q$4:$Q$40,0)+3,"")</f>
        <v/>
      </c>
      <c r="U5" t="inlineStr">
        <is>
          <t>F R KHANS ENTERPRISES</t>
        </is>
      </c>
    </row>
    <row r="6" ht="15" customHeight="1">
      <c r="A6" s="678" t="inlineStr">
        <is>
          <t>Lot Name</t>
        </is>
      </c>
      <c r="B6" s="69">
        <f>IFERROR(IF(INDEX('Final Calculation Sheet'!$B$4:$B$40,$S4-3)="","",INDEX('Final Calculation Sheet'!$B$4:$B$40,$S4-3)),"")</f>
        <v/>
      </c>
      <c r="C6" s="676">
        <f>IFERROR(IF(INDEX('Final Calculation Sheet'!$B$4:$B$40,$S5-3)="","",INDEX('Final Calculation Sheet'!$B$4:$B$40,$S5-3)),"")</f>
        <v/>
      </c>
      <c r="D6" s="69">
        <f>IFERROR(IF(INDEX('Final Calculation Sheet'!$B$4:$B$40,$S6-3)="","",INDEX('Final Calculation Sheet'!$B$4:$B$40,$S6-3)),"")</f>
        <v/>
      </c>
      <c r="E6" s="676">
        <f>IFERROR(IF(INDEX('Final Calculation Sheet'!$B$4:$B$40,$S7-3)="","",INDEX('Final Calculation Sheet'!$B$4:$B$40,$S7-3)),"")</f>
        <v/>
      </c>
      <c r="F6" s="69">
        <f>IFERROR(IF(INDEX('Final Calculation Sheet'!$B$4:$B$40,$S8-3)="","",INDEX('Final Calculation Sheet'!$B$4:$B$40,$S8-3)),"")</f>
        <v/>
      </c>
      <c r="G6" s="676">
        <f>IFERROR(IF(INDEX('Final Calculation Sheet'!$B$4:$B$40,$S9-3)="","",INDEX('Final Calculation Sheet'!$B$4:$B$40,$S9-3)),"")</f>
        <v/>
      </c>
      <c r="H6" s="69">
        <f>IFERROR(IF(INDEX('Final Calculation Sheet'!$B$4:$B$40,$S10-3)="","",INDEX('Final Calculation Sheet'!$B$4:$B$40,$S10-3)),"")</f>
        <v/>
      </c>
      <c r="I6" s="676">
        <f>IFERROR(IF(INDEX('Final Calculation Sheet'!$B$4:$B$40,$S11-3)="","",INDEX('Final Calculation Sheet'!$B$4:$B$40,$S11-3)),"")</f>
        <v/>
      </c>
      <c r="J6" s="69">
        <f>IFERROR(IF(INDEX('Final Calculation Sheet'!$B$4:$B$40,$S12-3)="","",INDEX('Final Calculation Sheet'!$B$4:$B$40,$S12-3)),"")</f>
        <v/>
      </c>
      <c r="K6" s="676">
        <f>IFERROR(IF(INDEX('Final Calculation Sheet'!$B$4:$B$40,$S13-3)="","",INDEX('Final Calculation Sheet'!$B$4:$B$40,$S13-3)),"")</f>
        <v/>
      </c>
      <c r="L6" s="69">
        <f>IFERROR(IF(INDEX('Final Calculation Sheet'!$B$4:$B$40,$S14-3)="","",INDEX('Final Calculation Sheet'!$B$4:$B$40,$S14-3)),"")</f>
        <v/>
      </c>
      <c r="M6" s="676">
        <f>IFERROR(IF(INDEX('Final Calculation Sheet'!$B$4:$B$40,$S15-3)="","",INDEX('Final Calculation Sheet'!$B$4:$B$40,$S15-3)),"")</f>
        <v/>
      </c>
      <c r="N6" s="69">
        <f>IFERROR(IF(INDEX('Final Calculation Sheet'!$B$4:$B$40,$S16-3)="","",INDEX('Final Calculation Sheet'!$B$4:$B$40,$S16-3)),"")</f>
        <v/>
      </c>
      <c r="O6" s="677" t="inlineStr">
        <is>
          <t>–</t>
        </is>
      </c>
      <c r="Q6">
        <f>IF('Final Calculation Sheet'!$G6=$B$3,COUNTIF('Final Calculation Sheet'!$G$4:$G6,$B$3),"")</f>
        <v/>
      </c>
      <c r="S6">
        <f>IFERROR(MATCH(3,$Q$4:$Q$40,0)+3,"")</f>
        <v/>
      </c>
      <c r="U6" t="inlineStr">
        <is>
          <t>HIND TRADERS</t>
        </is>
      </c>
    </row>
    <row r="7" ht="15" customHeight="1">
      <c r="A7" s="675" t="inlineStr">
        <is>
          <t>Rate</t>
        </is>
      </c>
      <c r="B7" s="544">
        <f>IFERROR(IF(INDEX('Final Calculation Sheet'!$C$4:$C$40,$S4-3)="","",INDEX('Final Calculation Sheet'!$C$4:$C$40,$S4-3)),"")</f>
        <v/>
      </c>
      <c r="C7" s="679">
        <f>IFERROR(IF(INDEX('Final Calculation Sheet'!$C$4:$C$40,$S5-3)="","",INDEX('Final Calculation Sheet'!$C$4:$C$40,$S5-3)),"")</f>
        <v/>
      </c>
      <c r="D7" s="544">
        <f>IFERROR(IF(INDEX('Final Calculation Sheet'!$C$4:$C$40,$S6-3)="","",INDEX('Final Calculation Sheet'!$C$4:$C$40,$S6-3)),"")</f>
        <v/>
      </c>
      <c r="E7" s="679">
        <f>IFERROR(IF(INDEX('Final Calculation Sheet'!$C$4:$C$40,$S7-3)="","",INDEX('Final Calculation Sheet'!$C$4:$C$40,$S7-3)),"")</f>
        <v/>
      </c>
      <c r="F7" s="544">
        <f>IFERROR(IF(INDEX('Final Calculation Sheet'!$C$4:$C$40,$S8-3)="","",INDEX('Final Calculation Sheet'!$C$4:$C$40,$S8-3)),"")</f>
        <v/>
      </c>
      <c r="G7" s="679">
        <f>IFERROR(IF(INDEX('Final Calculation Sheet'!$C$4:$C$40,$S9-3)="","",INDEX('Final Calculation Sheet'!$C$4:$C$40,$S9-3)),"")</f>
        <v/>
      </c>
      <c r="H7" s="544">
        <f>IFERROR(IF(INDEX('Final Calculation Sheet'!$C$4:$C$40,$S10-3)="","",INDEX('Final Calculation Sheet'!$C$4:$C$40,$S10-3)),"")</f>
        <v/>
      </c>
      <c r="I7" s="679">
        <f>IFERROR(IF(INDEX('Final Calculation Sheet'!$C$4:$C$40,$S11-3)="","",INDEX('Final Calculation Sheet'!$C$4:$C$40,$S11-3)),"")</f>
        <v/>
      </c>
      <c r="J7" s="544">
        <f>IFERROR(IF(INDEX('Final Calculation Sheet'!$C$4:$C$40,$S12-3)="","",INDEX('Final Calculation Sheet'!$C$4:$C$40,$S12-3)),"")</f>
        <v/>
      </c>
      <c r="K7" s="679">
        <f>IFERROR(IF(INDEX('Final Calculation Sheet'!$C$4:$C$40,$S13-3)="","",INDEX('Final Calculation Sheet'!$C$4:$C$40,$S13-3)),"")</f>
        <v/>
      </c>
      <c r="L7" s="544">
        <f>IFERROR(IF(INDEX('Final Calculation Sheet'!$C$4:$C$40,$S14-3)="","",INDEX('Final Calculation Sheet'!$C$4:$C$40,$S14-3)),"")</f>
        <v/>
      </c>
      <c r="M7" s="679">
        <f>IFERROR(IF(INDEX('Final Calculation Sheet'!$C$4:$C$40,$S15-3)="","",INDEX('Final Calculation Sheet'!$C$4:$C$40,$S15-3)),"")</f>
        <v/>
      </c>
      <c r="N7" s="544">
        <f>IFERROR(IF(INDEX('Final Calculation Sheet'!$C$4:$C$40,$S16-3)="","",INDEX('Final Calculation Sheet'!$C$4:$C$40,$S16-3)),"")</f>
        <v/>
      </c>
      <c r="O7" s="750" t="inlineStr">
        <is>
          <t>–</t>
        </is>
      </c>
      <c r="Q7">
        <f>IF('Final Calculation Sheet'!$G7=$B$3,COUNTIF('Final Calculation Sheet'!$G$4:$G7,$B$3),"")</f>
        <v/>
      </c>
      <c r="S7">
        <f>IFERROR(MATCH(4,$Q$4:$Q$40,0)+3,"")</f>
        <v/>
      </c>
      <c r="U7" t="inlineStr">
        <is>
          <t>KASHYAP TRADING CO</t>
        </is>
      </c>
    </row>
    <row r="8" ht="15" customHeight="1">
      <c r="A8" s="678" t="inlineStr">
        <is>
          <t>Bid Sheet</t>
        </is>
      </c>
      <c r="B8" s="69">
        <f>IFERROR(IF(INDEX('Final Calculation Sheet'!$D$4:$D$40,$S4-3)="","",INDEX('Final Calculation Sheet'!$D$4:$D$40,$S4-3)),"")</f>
        <v/>
      </c>
      <c r="C8" s="676">
        <f>IFERROR(IF(INDEX('Final Calculation Sheet'!$D$4:$D$40,$S5-3)="","",INDEX('Final Calculation Sheet'!$D$4:$D$40,$S5-3)),"")</f>
        <v/>
      </c>
      <c r="D8" s="69">
        <f>IFERROR(IF(INDEX('Final Calculation Sheet'!$D$4:$D$40,$S6-3)="","",INDEX('Final Calculation Sheet'!$D$4:$D$40,$S6-3)),"")</f>
        <v/>
      </c>
      <c r="E8" s="676">
        <f>IFERROR(IF(INDEX('Final Calculation Sheet'!$D$4:$D$40,$S7-3)="","",INDEX('Final Calculation Sheet'!$D$4:$D$40,$S7-3)),"")</f>
        <v/>
      </c>
      <c r="F8" s="69">
        <f>IFERROR(IF(INDEX('Final Calculation Sheet'!$D$4:$D$40,$S8-3)="","",INDEX('Final Calculation Sheet'!$D$4:$D$40,$S8-3)),"")</f>
        <v/>
      </c>
      <c r="G8" s="676">
        <f>IFERROR(IF(INDEX('Final Calculation Sheet'!$D$4:$D$40,$S9-3)="","",INDEX('Final Calculation Sheet'!$D$4:$D$40,$S9-3)),"")</f>
        <v/>
      </c>
      <c r="H8" s="69">
        <f>IFERROR(IF(INDEX('Final Calculation Sheet'!$D$4:$D$40,$S10-3)="","",INDEX('Final Calculation Sheet'!$D$4:$D$40,$S10-3)),"")</f>
        <v/>
      </c>
      <c r="I8" s="676">
        <f>IFERROR(IF(INDEX('Final Calculation Sheet'!$D$4:$D$40,$S11-3)="","",INDEX('Final Calculation Sheet'!$D$4:$D$40,$S11-3)),"")</f>
        <v/>
      </c>
      <c r="J8" s="69">
        <f>IFERROR(IF(INDEX('Final Calculation Sheet'!$D$4:$D$40,$S12-3)="","",INDEX('Final Calculation Sheet'!$D$4:$D$40,$S12-3)),"")</f>
        <v/>
      </c>
      <c r="K8" s="676">
        <f>IFERROR(IF(INDEX('Final Calculation Sheet'!$D$4:$D$40,$S13-3)="","",INDEX('Final Calculation Sheet'!$D$4:$D$40,$S13-3)),"")</f>
        <v/>
      </c>
      <c r="L8" s="69">
        <f>IFERROR(IF(INDEX('Final Calculation Sheet'!$D$4:$D$40,$S14-3)="","",INDEX('Final Calculation Sheet'!$D$4:$D$40,$S14-3)),"")</f>
        <v/>
      </c>
      <c r="M8" s="676">
        <f>IFERROR(IF(INDEX('Final Calculation Sheet'!$D$4:$D$40,$S15-3)="","",INDEX('Final Calculation Sheet'!$D$4:$D$40,$S15-3)),"")</f>
        <v/>
      </c>
      <c r="N8" s="69">
        <f>IFERROR(IF(INDEX('Final Calculation Sheet'!$D$4:$D$40,$S16-3)="","",INDEX('Final Calculation Sheet'!$D$4:$D$40,$S16-3)),"")</f>
        <v/>
      </c>
      <c r="O8" s="677" t="inlineStr">
        <is>
          <t>–</t>
        </is>
      </c>
      <c r="Q8">
        <f>IF('Final Calculation Sheet'!$G8=$B$3,COUNTIF('Final Calculation Sheet'!$G$4:$G8,$B$3),"")</f>
        <v/>
      </c>
      <c r="S8">
        <f>IFERROR(MATCH(5,$Q$4:$Q$40,0)+3,"")</f>
        <v/>
      </c>
      <c r="U8" t="inlineStr">
        <is>
          <t>M I SCRAP TRADERS</t>
        </is>
      </c>
    </row>
    <row r="9" ht="15" customHeight="1">
      <c r="A9" s="675" t="inlineStr">
        <is>
          <t>Unit</t>
        </is>
      </c>
      <c r="B9" s="69">
        <f>IFERROR(IF(INDEX('Final Calculation Sheet'!$E$4:$E$40,$S4-3)="","",INDEX('Final Calculation Sheet'!$E$4:$E$40,$S4-3)),"")</f>
        <v/>
      </c>
      <c r="C9" s="676">
        <f>IFERROR(IF(INDEX('Final Calculation Sheet'!$E$4:$E$40,$S5-3)="","",INDEX('Final Calculation Sheet'!$E$4:$E$40,$S5-3)),"")</f>
        <v/>
      </c>
      <c r="D9" s="69">
        <f>IFERROR(IF(INDEX('Final Calculation Sheet'!$E$4:$E$40,$S6-3)="","",INDEX('Final Calculation Sheet'!$E$4:$E$40,$S6-3)),"")</f>
        <v/>
      </c>
      <c r="E9" s="676">
        <f>IFERROR(IF(INDEX('Final Calculation Sheet'!$E$4:$E$40,$S7-3)="","",INDEX('Final Calculation Sheet'!$E$4:$E$40,$S7-3)),"")</f>
        <v/>
      </c>
      <c r="F9" s="69">
        <f>IFERROR(IF(INDEX('Final Calculation Sheet'!$E$4:$E$40,$S8-3)="","",INDEX('Final Calculation Sheet'!$E$4:$E$40,$S8-3)),"")</f>
        <v/>
      </c>
      <c r="G9" s="676">
        <f>IFERROR(IF(INDEX('Final Calculation Sheet'!$E$4:$E$40,$S9-3)="","",INDEX('Final Calculation Sheet'!$E$4:$E$40,$S9-3)),"")</f>
        <v/>
      </c>
      <c r="H9" s="69">
        <f>IFERROR(IF(INDEX('Final Calculation Sheet'!$E$4:$E$40,$S10-3)="","",INDEX('Final Calculation Sheet'!$E$4:$E$40,$S10-3)),"")</f>
        <v/>
      </c>
      <c r="I9" s="676">
        <f>IFERROR(IF(INDEX('Final Calculation Sheet'!$E$4:$E$40,$S11-3)="","",INDEX('Final Calculation Sheet'!$E$4:$E$40,$S11-3)),"")</f>
        <v/>
      </c>
      <c r="J9" s="69">
        <f>IFERROR(IF(INDEX('Final Calculation Sheet'!$E$4:$E$40,$S12-3)="","",INDEX('Final Calculation Sheet'!$E$4:$E$40,$S12-3)),"")</f>
        <v/>
      </c>
      <c r="K9" s="676">
        <f>IFERROR(IF(INDEX('Final Calculation Sheet'!$E$4:$E$40,$S13-3)="","",INDEX('Final Calculation Sheet'!$E$4:$E$40,$S13-3)),"")</f>
        <v/>
      </c>
      <c r="L9" s="69">
        <f>IFERROR(IF(INDEX('Final Calculation Sheet'!$E$4:$E$40,$S14-3)="","",INDEX('Final Calculation Sheet'!$E$4:$E$40,$S14-3)),"")</f>
        <v/>
      </c>
      <c r="M9" s="676">
        <f>IFERROR(IF(INDEX('Final Calculation Sheet'!$E$4:$E$40,$S15-3)="","",INDEX('Final Calculation Sheet'!$E$4:$E$40,$S15-3)),"")</f>
        <v/>
      </c>
      <c r="N9" s="69">
        <f>IFERROR(IF(INDEX('Final Calculation Sheet'!$E$4:$E$40,$S16-3)="","",INDEX('Final Calculation Sheet'!$E$4:$E$40,$S16-3)),"")</f>
        <v/>
      </c>
      <c r="O9" s="677" t="inlineStr">
        <is>
          <t>–</t>
        </is>
      </c>
      <c r="Q9">
        <f>IF('Final Calculation Sheet'!$G9=$B$3,COUNTIF('Final Calculation Sheet'!$G$4:$G9,$B$3),"")</f>
        <v/>
      </c>
      <c r="S9">
        <f>IFERROR(MATCH(6,$Q$4:$Q$40,0)+3,"")</f>
        <v/>
      </c>
      <c r="U9" t="inlineStr">
        <is>
          <t>NATIONAL ENTERPRISES</t>
        </is>
      </c>
    </row>
    <row r="10" ht="15" customHeight="1">
      <c r="A10" s="678" t="inlineStr">
        <is>
          <t>Lot No.</t>
        </is>
      </c>
      <c r="B10" s="69">
        <f>IFERROR(IF(INDEX('Final Calculation Sheet'!$F$4:$F$40,$S4-3)="","",INDEX('Final Calculation Sheet'!$F$4:$F$40,$S4-3)),"")</f>
        <v/>
      </c>
      <c r="C10" s="676">
        <f>IFERROR(IF(INDEX('Final Calculation Sheet'!$F$4:$F$40,$S5-3)="","",INDEX('Final Calculation Sheet'!$F$4:$F$40,$S5-3)),"")</f>
        <v/>
      </c>
      <c r="D10" s="69">
        <f>IFERROR(IF(INDEX('Final Calculation Sheet'!$F$4:$F$40,$S6-3)="","",INDEX('Final Calculation Sheet'!$F$4:$F$40,$S6-3)),"")</f>
        <v/>
      </c>
      <c r="E10" s="676">
        <f>IFERROR(IF(INDEX('Final Calculation Sheet'!$F$4:$F$40,$S7-3)="","",INDEX('Final Calculation Sheet'!$F$4:$F$40,$S7-3)),"")</f>
        <v/>
      </c>
      <c r="F10" s="69">
        <f>IFERROR(IF(INDEX('Final Calculation Sheet'!$F$4:$F$40,$S8-3)="","",INDEX('Final Calculation Sheet'!$F$4:$F$40,$S8-3)),"")</f>
        <v/>
      </c>
      <c r="G10" s="676">
        <f>IFERROR(IF(INDEX('Final Calculation Sheet'!$F$4:$F$40,$S9-3)="","",INDEX('Final Calculation Sheet'!$F$4:$F$40,$S9-3)),"")</f>
        <v/>
      </c>
      <c r="H10" s="69">
        <f>IFERROR(IF(INDEX('Final Calculation Sheet'!$F$4:$F$40,$S10-3)="","",INDEX('Final Calculation Sheet'!$F$4:$F$40,$S10-3)),"")</f>
        <v/>
      </c>
      <c r="I10" s="676">
        <f>IFERROR(IF(INDEX('Final Calculation Sheet'!$F$4:$F$40,$S11-3)="","",INDEX('Final Calculation Sheet'!$F$4:$F$40,$S11-3)),"")</f>
        <v/>
      </c>
      <c r="J10" s="69">
        <f>IFERROR(IF(INDEX('Final Calculation Sheet'!$F$4:$F$40,$S12-3)="","",INDEX('Final Calculation Sheet'!$F$4:$F$40,$S12-3)),"")</f>
        <v/>
      </c>
      <c r="K10" s="676">
        <f>IFERROR(IF(INDEX('Final Calculation Sheet'!$F$4:$F$40,$S13-3)="","",INDEX('Final Calculation Sheet'!$F$4:$F$40,$S13-3)),"")</f>
        <v/>
      </c>
      <c r="L10" s="69">
        <f>IFERROR(IF(INDEX('Final Calculation Sheet'!$F$4:$F$40,$S14-3)="","",INDEX('Final Calculation Sheet'!$F$4:$F$40,$S14-3)),"")</f>
        <v/>
      </c>
      <c r="M10" s="676">
        <f>IFERROR(IF(INDEX('Final Calculation Sheet'!$F$4:$F$40,$S15-3)="","",INDEX('Final Calculation Sheet'!$F$4:$F$40,$S15-3)),"")</f>
        <v/>
      </c>
      <c r="N10" s="69">
        <f>IFERROR(IF(INDEX('Final Calculation Sheet'!$F$4:$F$40,$S16-3)="","",INDEX('Final Calculation Sheet'!$F$4:$F$40,$S16-3)),"")</f>
        <v/>
      </c>
      <c r="O10" s="677" t="inlineStr">
        <is>
          <t>–</t>
        </is>
      </c>
      <c r="Q10">
        <f>IF('Final Calculation Sheet'!$G10=$B$3,COUNTIF('Final Calculation Sheet'!$G$4:$G10,$B$3),"")</f>
        <v/>
      </c>
      <c r="S10">
        <f>IFERROR(MATCH(7,$Q$4:$Q$40,0)+3,"")</f>
        <v/>
      </c>
      <c r="U10" t="inlineStr">
        <is>
          <t>NATIONAL SCRAP AND BUILDING MATERIAL SUPPLIER</t>
        </is>
      </c>
    </row>
    <row r="11" ht="15" customHeight="1">
      <c r="A11" s="675" t="inlineStr">
        <is>
          <t>Buyer</t>
        </is>
      </c>
      <c r="B11" s="69">
        <f>IFERROR(IF(INDEX('Final Calculation Sheet'!$G$4:$G$40,$S4-3)="","",INDEX('Final Calculation Sheet'!$G$4:$G$40,$S4-3)),"")</f>
        <v/>
      </c>
      <c r="C11" s="676">
        <f>IFERROR(IF(INDEX('Final Calculation Sheet'!$G$4:$G$40,$S5-3)="","",INDEX('Final Calculation Sheet'!$G$4:$G$40,$S5-3)),"")</f>
        <v/>
      </c>
      <c r="D11" s="69">
        <f>IFERROR(IF(INDEX('Final Calculation Sheet'!$G$4:$G$40,$S6-3)="","",INDEX('Final Calculation Sheet'!$G$4:$G$40,$S6-3)),"")</f>
        <v/>
      </c>
      <c r="E11" s="676">
        <f>IFERROR(IF(INDEX('Final Calculation Sheet'!$G$4:$G$40,$S7-3)="","",INDEX('Final Calculation Sheet'!$G$4:$G$40,$S7-3)),"")</f>
        <v/>
      </c>
      <c r="F11" s="69">
        <f>IFERROR(IF(INDEX('Final Calculation Sheet'!$G$4:$G$40,$S8-3)="","",INDEX('Final Calculation Sheet'!$G$4:$G$40,$S8-3)),"")</f>
        <v/>
      </c>
      <c r="G11" s="676">
        <f>IFERROR(IF(INDEX('Final Calculation Sheet'!$G$4:$G$40,$S9-3)="","",INDEX('Final Calculation Sheet'!$G$4:$G$40,$S9-3)),"")</f>
        <v/>
      </c>
      <c r="H11" s="69">
        <f>IFERROR(IF(INDEX('Final Calculation Sheet'!$G$4:$G$40,$S10-3)="","",INDEX('Final Calculation Sheet'!$G$4:$G$40,$S10-3)),"")</f>
        <v/>
      </c>
      <c r="I11" s="676">
        <f>IFERROR(IF(INDEX('Final Calculation Sheet'!$G$4:$G$40,$S11-3)="","",INDEX('Final Calculation Sheet'!$G$4:$G$40,$S11-3)),"")</f>
        <v/>
      </c>
      <c r="J11" s="69">
        <f>IFERROR(IF(INDEX('Final Calculation Sheet'!$G$4:$G$40,$S12-3)="","",INDEX('Final Calculation Sheet'!$G$4:$G$40,$S12-3)),"")</f>
        <v/>
      </c>
      <c r="K11" s="676">
        <f>IFERROR(IF(INDEX('Final Calculation Sheet'!$G$4:$G$40,$S13-3)="","",INDEX('Final Calculation Sheet'!$G$4:$G$40,$S13-3)),"")</f>
        <v/>
      </c>
      <c r="L11" s="69">
        <f>IFERROR(IF(INDEX('Final Calculation Sheet'!$G$4:$G$40,$S14-3)="","",INDEX('Final Calculation Sheet'!$G$4:$G$40,$S14-3)),"")</f>
        <v/>
      </c>
      <c r="M11" s="676">
        <f>IFERROR(IF(INDEX('Final Calculation Sheet'!$G$4:$G$40,$S15-3)="","",INDEX('Final Calculation Sheet'!$G$4:$G$40,$S15-3)),"")</f>
        <v/>
      </c>
      <c r="N11" s="69">
        <f>IFERROR(IF(INDEX('Final Calculation Sheet'!$G$4:$G$40,$S16-3)="","",INDEX('Final Calculation Sheet'!$G$4:$G$40,$S16-3)),"")</f>
        <v/>
      </c>
      <c r="O11" s="677" t="inlineStr">
        <is>
          <t>–</t>
        </is>
      </c>
      <c r="Q11">
        <f>IF('Final Calculation Sheet'!$G11=$B$3,COUNTIF('Final Calculation Sheet'!$G$4:$G11,$B$3),"")</f>
        <v/>
      </c>
      <c r="S11">
        <f>IFERROR(MATCH(8,$Q$4:$Q$40,0)+3,"")</f>
        <v/>
      </c>
      <c r="U11" t="inlineStr">
        <is>
          <t>OMKAR STEELS</t>
        </is>
      </c>
    </row>
    <row r="12" ht="15" customHeight="1">
      <c r="A12" s="678" t="inlineStr">
        <is>
          <t>Mat. Value</t>
        </is>
      </c>
      <c r="B12" s="544">
        <f>IFERROR(IF(INDEX('Final Calculation Sheet'!$H$4:$H$40,$S4-3)="","",INDEX('Final Calculation Sheet'!$H$4:$H$40,$S4-3)),"")</f>
        <v/>
      </c>
      <c r="C12" s="679">
        <f>IFERROR(IF(INDEX('Final Calculation Sheet'!$H$4:$H$40,$S5-3)="","",INDEX('Final Calculation Sheet'!$H$4:$H$40,$S5-3)),"")</f>
        <v/>
      </c>
      <c r="D12" s="544">
        <f>IFERROR(IF(INDEX('Final Calculation Sheet'!$H$4:$H$40,$S6-3)="","",INDEX('Final Calculation Sheet'!$H$4:$H$40,$S6-3)),"")</f>
        <v/>
      </c>
      <c r="E12" s="679">
        <f>IFERROR(IF(INDEX('Final Calculation Sheet'!$H$4:$H$40,$S7-3)="","",INDEX('Final Calculation Sheet'!$H$4:$H$40,$S7-3)),"")</f>
        <v/>
      </c>
      <c r="F12" s="544">
        <f>IFERROR(IF(INDEX('Final Calculation Sheet'!$H$4:$H$40,$S8-3)="","",INDEX('Final Calculation Sheet'!$H$4:$H$40,$S8-3)),"")</f>
        <v/>
      </c>
      <c r="G12" s="679">
        <f>IFERROR(IF(INDEX('Final Calculation Sheet'!$H$4:$H$40,$S9-3)="","",INDEX('Final Calculation Sheet'!$H$4:$H$40,$S9-3)),"")</f>
        <v/>
      </c>
      <c r="H12" s="544">
        <f>IFERROR(IF(INDEX('Final Calculation Sheet'!$H$4:$H$40,$S10-3)="","",INDEX('Final Calculation Sheet'!$H$4:$H$40,$S10-3)),"")</f>
        <v/>
      </c>
      <c r="I12" s="679">
        <f>IFERROR(IF(INDEX('Final Calculation Sheet'!$H$4:$H$40,$S11-3)="","",INDEX('Final Calculation Sheet'!$H$4:$H$40,$S11-3)),"")</f>
        <v/>
      </c>
      <c r="J12" s="544">
        <f>IFERROR(IF(INDEX('Final Calculation Sheet'!$H$4:$H$40,$S12-3)="","",INDEX('Final Calculation Sheet'!$H$4:$H$40,$S12-3)),"")</f>
        <v/>
      </c>
      <c r="K12" s="679">
        <f>IFERROR(IF(INDEX('Final Calculation Sheet'!$H$4:$H$40,$S13-3)="","",INDEX('Final Calculation Sheet'!$H$4:$H$40,$S13-3)),"")</f>
        <v/>
      </c>
      <c r="L12" s="544">
        <f>IFERROR(IF(INDEX('Final Calculation Sheet'!$H$4:$H$40,$S14-3)="","",INDEX('Final Calculation Sheet'!$H$4:$H$40,$S14-3)),"")</f>
        <v/>
      </c>
      <c r="M12" s="679">
        <f>IFERROR(IF(INDEX('Final Calculation Sheet'!$H$4:$H$40,$S15-3)="","",INDEX('Final Calculation Sheet'!$H$4:$H$40,$S15-3)),"")</f>
        <v/>
      </c>
      <c r="N12" s="544">
        <f>IFERROR(IF(INDEX('Final Calculation Sheet'!$H$4:$H$40,$S16-3)="","",INDEX('Final Calculation Sheet'!$H$4:$H$40,$S16-3)),"")</f>
        <v/>
      </c>
      <c r="O12" s="680">
        <f>IF(COUNT(B12:N12)=0,"",SUM(B12:N12))</f>
        <v/>
      </c>
      <c r="Q12">
        <f>IF('Final Calculation Sheet'!$G12=$B$3,COUNTIF('Final Calculation Sheet'!$G$4:$G12,$B$3),"")</f>
        <v/>
      </c>
      <c r="S12">
        <f>IFERROR(MATCH(9,$Q$4:$Q$40,0)+3,"")</f>
        <v/>
      </c>
      <c r="U12" t="inlineStr">
        <is>
          <t>S M ENTERPRISES</t>
        </is>
      </c>
    </row>
    <row r="13" ht="15" customHeight="1">
      <c r="A13" s="675" t="inlineStr">
        <is>
          <t>GST</t>
        </is>
      </c>
      <c r="B13" s="544">
        <f>IFERROR(IF(INDEX('Final Calculation Sheet'!$I$4:$I$40,$S4-3)="","",INDEX('Final Calculation Sheet'!$I$4:$I$40,$S4-3)),"")</f>
        <v/>
      </c>
      <c r="C13" s="679">
        <f>IFERROR(IF(INDEX('Final Calculation Sheet'!$I$4:$I$40,$S5-3)="","",INDEX('Final Calculation Sheet'!$I$4:$I$40,$S5-3)),"")</f>
        <v/>
      </c>
      <c r="D13" s="544">
        <f>IFERROR(IF(INDEX('Final Calculation Sheet'!$I$4:$I$40,$S6-3)="","",INDEX('Final Calculation Sheet'!$I$4:$I$40,$S6-3)),"")</f>
        <v/>
      </c>
      <c r="E13" s="679">
        <f>IFERROR(IF(INDEX('Final Calculation Sheet'!$I$4:$I$40,$S7-3)="","",INDEX('Final Calculation Sheet'!$I$4:$I$40,$S7-3)),"")</f>
        <v/>
      </c>
      <c r="F13" s="544">
        <f>IFERROR(IF(INDEX('Final Calculation Sheet'!$I$4:$I$40,$S8-3)="","",INDEX('Final Calculation Sheet'!$I$4:$I$40,$S8-3)),"")</f>
        <v/>
      </c>
      <c r="G13" s="679">
        <f>IFERROR(IF(INDEX('Final Calculation Sheet'!$I$4:$I$40,$S9-3)="","",INDEX('Final Calculation Sheet'!$I$4:$I$40,$S9-3)),"")</f>
        <v/>
      </c>
      <c r="H13" s="544">
        <f>IFERROR(IF(INDEX('Final Calculation Sheet'!$I$4:$I$40,$S10-3)="","",INDEX('Final Calculation Sheet'!$I$4:$I$40,$S10-3)),"")</f>
        <v/>
      </c>
      <c r="I13" s="679">
        <f>IFERROR(IF(INDEX('Final Calculation Sheet'!$I$4:$I$40,$S11-3)="","",INDEX('Final Calculation Sheet'!$I$4:$I$40,$S11-3)),"")</f>
        <v/>
      </c>
      <c r="J13" s="544">
        <f>IFERROR(IF(INDEX('Final Calculation Sheet'!$I$4:$I$40,$S12-3)="","",INDEX('Final Calculation Sheet'!$I$4:$I$40,$S12-3)),"")</f>
        <v/>
      </c>
      <c r="K13" s="679">
        <f>IFERROR(IF(INDEX('Final Calculation Sheet'!$I$4:$I$40,$S13-3)="","",INDEX('Final Calculation Sheet'!$I$4:$I$40,$S13-3)),"")</f>
        <v/>
      </c>
      <c r="L13" s="544">
        <f>IFERROR(IF(INDEX('Final Calculation Sheet'!$I$4:$I$40,$S14-3)="","",INDEX('Final Calculation Sheet'!$I$4:$I$40,$S14-3)),"")</f>
        <v/>
      </c>
      <c r="M13" s="679">
        <f>IFERROR(IF(INDEX('Final Calculation Sheet'!$I$4:$I$40,$S15-3)="","",INDEX('Final Calculation Sheet'!$I$4:$I$40,$S15-3)),"")</f>
        <v/>
      </c>
      <c r="N13" s="544">
        <f>IFERROR(IF(INDEX('Final Calculation Sheet'!$I$4:$I$40,$S16-3)="","",INDEX('Final Calculation Sheet'!$I$4:$I$40,$S16-3)),"")</f>
        <v/>
      </c>
      <c r="O13" s="680">
        <f>IF(COUNT(B13:N13)=0,"",SUM(B13:N13))</f>
        <v/>
      </c>
      <c r="Q13">
        <f>IF('Final Calculation Sheet'!$G13=$B$3,COUNTIF('Final Calculation Sheet'!$G$4:$G13,$B$3),"")</f>
        <v/>
      </c>
      <c r="S13">
        <f>IFERROR(MATCH(10,$Q$4:$Q$40,0)+3,"")</f>
        <v/>
      </c>
      <c r="U13" t="inlineStr">
        <is>
          <t>SAHARA ENTERPRISES</t>
        </is>
      </c>
    </row>
    <row r="14" ht="15" customHeight="1">
      <c r="A14" s="678" t="inlineStr">
        <is>
          <t>Mat. Value + GST</t>
        </is>
      </c>
      <c r="B14" s="544">
        <f>IFERROR(IF(INDEX('Final Calculation Sheet'!$J$4:$J$40,$S4-3)="","",INDEX('Final Calculation Sheet'!$J$4:$J$40,$S4-3)),"")</f>
        <v/>
      </c>
      <c r="C14" s="679">
        <f>IFERROR(IF(INDEX('Final Calculation Sheet'!$J$4:$J$40,$S5-3)="","",INDEX('Final Calculation Sheet'!$J$4:$J$40,$S5-3)),"")</f>
        <v/>
      </c>
      <c r="D14" s="544">
        <f>IFERROR(IF(INDEX('Final Calculation Sheet'!$J$4:$J$40,$S6-3)="","",INDEX('Final Calculation Sheet'!$J$4:$J$40,$S6-3)),"")</f>
        <v/>
      </c>
      <c r="E14" s="679">
        <f>IFERROR(IF(INDEX('Final Calculation Sheet'!$J$4:$J$40,$S7-3)="","",INDEX('Final Calculation Sheet'!$J$4:$J$40,$S7-3)),"")</f>
        <v/>
      </c>
      <c r="F14" s="544">
        <f>IFERROR(IF(INDEX('Final Calculation Sheet'!$J$4:$J$40,$S8-3)="","",INDEX('Final Calculation Sheet'!$J$4:$J$40,$S8-3)),"")</f>
        <v/>
      </c>
      <c r="G14" s="679">
        <f>IFERROR(IF(INDEX('Final Calculation Sheet'!$J$4:$J$40,$S9-3)="","",INDEX('Final Calculation Sheet'!$J$4:$J$40,$S9-3)),"")</f>
        <v/>
      </c>
      <c r="H14" s="544">
        <f>IFERROR(IF(INDEX('Final Calculation Sheet'!$J$4:$J$40,$S10-3)="","",INDEX('Final Calculation Sheet'!$J$4:$J$40,$S10-3)),"")</f>
        <v/>
      </c>
      <c r="I14" s="679">
        <f>IFERROR(IF(INDEX('Final Calculation Sheet'!$J$4:$J$40,$S11-3)="","",INDEX('Final Calculation Sheet'!$J$4:$J$40,$S11-3)),"")</f>
        <v/>
      </c>
      <c r="J14" s="544">
        <f>IFERROR(IF(INDEX('Final Calculation Sheet'!$J$4:$J$40,$S12-3)="","",INDEX('Final Calculation Sheet'!$J$4:$J$40,$S12-3)),"")</f>
        <v/>
      </c>
      <c r="K14" s="679">
        <f>IFERROR(IF(INDEX('Final Calculation Sheet'!$J$4:$J$40,$S13-3)="","",INDEX('Final Calculation Sheet'!$J$4:$J$40,$S13-3)),"")</f>
        <v/>
      </c>
      <c r="L14" s="544">
        <f>IFERROR(IF(INDEX('Final Calculation Sheet'!$J$4:$J$40,$S14-3)="","",INDEX('Final Calculation Sheet'!$J$4:$J$40,$S14-3)),"")</f>
        <v/>
      </c>
      <c r="M14" s="679">
        <f>IFERROR(IF(INDEX('Final Calculation Sheet'!$J$4:$J$40,$S15-3)="","",INDEX('Final Calculation Sheet'!$J$4:$J$40,$S15-3)),"")</f>
        <v/>
      </c>
      <c r="N14" s="544">
        <f>IFERROR(IF(INDEX('Final Calculation Sheet'!$J$4:$J$40,$S16-3)="","",INDEX('Final Calculation Sheet'!$J$4:$J$40,$S16-3)),"")</f>
        <v/>
      </c>
      <c r="O14" s="680">
        <f>IF(COUNT(B14:N14)=0,"",SUM(B14:N14))</f>
        <v/>
      </c>
      <c r="Q14">
        <f>IF('Final Calculation Sheet'!$G14=$B$3,COUNTIF('Final Calculation Sheet'!$G$4:$G14,$B$3),"")</f>
        <v/>
      </c>
      <c r="S14">
        <f>IFERROR(MATCH(11,$Q$4:$Q$40,0)+3,"")</f>
        <v/>
      </c>
      <c r="U14" t="inlineStr">
        <is>
          <t>SHAR JAHAN TRADERS</t>
        </is>
      </c>
    </row>
    <row r="15" ht="15" customHeight="1">
      <c r="A15" s="675" t="inlineStr">
        <is>
          <t>TCS</t>
        </is>
      </c>
      <c r="B15" s="544">
        <f>IFERROR(IF(INDEX('Final Calculation Sheet'!$K$4:$K$40,$S4-3)="","",INDEX('Final Calculation Sheet'!$K$4:$K$40,$S4-3)),"")</f>
        <v/>
      </c>
      <c r="C15" s="679">
        <f>IFERROR(IF(INDEX('Final Calculation Sheet'!$K$4:$K$40,$S5-3)="","",INDEX('Final Calculation Sheet'!$K$4:$K$40,$S5-3)),"")</f>
        <v/>
      </c>
      <c r="D15" s="544">
        <f>IFERROR(IF(INDEX('Final Calculation Sheet'!$K$4:$K$40,$S6-3)="","",INDEX('Final Calculation Sheet'!$K$4:$K$40,$S6-3)),"")</f>
        <v/>
      </c>
      <c r="E15" s="679">
        <f>IFERROR(IF(INDEX('Final Calculation Sheet'!$K$4:$K$40,$S7-3)="","",INDEX('Final Calculation Sheet'!$K$4:$K$40,$S7-3)),"")</f>
        <v/>
      </c>
      <c r="F15" s="544">
        <f>IFERROR(IF(INDEX('Final Calculation Sheet'!$K$4:$K$40,$S8-3)="","",INDEX('Final Calculation Sheet'!$K$4:$K$40,$S8-3)),"")</f>
        <v/>
      </c>
      <c r="G15" s="679">
        <f>IFERROR(IF(INDEX('Final Calculation Sheet'!$K$4:$K$40,$S9-3)="","",INDEX('Final Calculation Sheet'!$K$4:$K$40,$S9-3)),"")</f>
        <v/>
      </c>
      <c r="H15" s="544">
        <f>IFERROR(IF(INDEX('Final Calculation Sheet'!$K$4:$K$40,$S10-3)="","",INDEX('Final Calculation Sheet'!$K$4:$K$40,$S10-3)),"")</f>
        <v/>
      </c>
      <c r="I15" s="679">
        <f>IFERROR(IF(INDEX('Final Calculation Sheet'!$K$4:$K$40,$S11-3)="","",INDEX('Final Calculation Sheet'!$K$4:$K$40,$S11-3)),"")</f>
        <v/>
      </c>
      <c r="J15" s="544">
        <f>IFERROR(IF(INDEX('Final Calculation Sheet'!$K$4:$K$40,$S12-3)="","",INDEX('Final Calculation Sheet'!$K$4:$K$40,$S12-3)),"")</f>
        <v/>
      </c>
      <c r="K15" s="679">
        <f>IFERROR(IF(INDEX('Final Calculation Sheet'!$K$4:$K$40,$S13-3)="","",INDEX('Final Calculation Sheet'!$K$4:$K$40,$S13-3)),"")</f>
        <v/>
      </c>
      <c r="L15" s="544">
        <f>IFERROR(IF(INDEX('Final Calculation Sheet'!$K$4:$K$40,$S14-3)="","",INDEX('Final Calculation Sheet'!$K$4:$K$40,$S14-3)),"")</f>
        <v/>
      </c>
      <c r="M15" s="679">
        <f>IFERROR(IF(INDEX('Final Calculation Sheet'!$K$4:$K$40,$S15-3)="","",INDEX('Final Calculation Sheet'!$K$4:$K$40,$S15-3)),"")</f>
        <v/>
      </c>
      <c r="N15" s="544">
        <f>IFERROR(IF(INDEX('Final Calculation Sheet'!$K$4:$K$40,$S16-3)="","",INDEX('Final Calculation Sheet'!$K$4:$K$40,$S16-3)),"")</f>
        <v/>
      </c>
      <c r="O15" s="680">
        <f>IF(COUNT(B15:N15)=0,"",SUM(B15:N15))</f>
        <v/>
      </c>
      <c r="Q15">
        <f>IF('Final Calculation Sheet'!$G15=$B$3,COUNTIF('Final Calculation Sheet'!$G$4:$G15,$B$3),"")</f>
        <v/>
      </c>
      <c r="S15">
        <f>IFERROR(MATCH(12,$Q$4:$Q$40,0)+3,"")</f>
        <v/>
      </c>
      <c r="U15" t="inlineStr">
        <is>
          <t>STERLING ENTERPRISES</t>
        </is>
      </c>
    </row>
    <row r="16" ht="15" customHeight="1">
      <c r="A16" s="678" t="inlineStr">
        <is>
          <t>TDS u/s 194(O)</t>
        </is>
      </c>
      <c r="B16" s="544">
        <f>IFERROR(IF(INDEX('Final Calculation Sheet'!$L$4:$L$40,$S4-3)="","",INDEX('Final Calculation Sheet'!$L$4:$L$40,$S4-3)),"")</f>
        <v/>
      </c>
      <c r="C16" s="679">
        <f>IFERROR(IF(INDEX('Final Calculation Sheet'!$L$4:$L$40,$S5-3)="","",INDEX('Final Calculation Sheet'!$L$4:$L$40,$S5-3)),"")</f>
        <v/>
      </c>
      <c r="D16" s="544">
        <f>IFERROR(IF(INDEX('Final Calculation Sheet'!$L$4:$L$40,$S6-3)="","",INDEX('Final Calculation Sheet'!$L$4:$L$40,$S6-3)),"")</f>
        <v/>
      </c>
      <c r="E16" s="679">
        <f>IFERROR(IF(INDEX('Final Calculation Sheet'!$L$4:$L$40,$S7-3)="","",INDEX('Final Calculation Sheet'!$L$4:$L$40,$S7-3)),"")</f>
        <v/>
      </c>
      <c r="F16" s="544">
        <f>IFERROR(IF(INDEX('Final Calculation Sheet'!$L$4:$L$40,$S8-3)="","",INDEX('Final Calculation Sheet'!$L$4:$L$40,$S8-3)),"")</f>
        <v/>
      </c>
      <c r="G16" s="679">
        <f>IFERROR(IF(INDEX('Final Calculation Sheet'!$L$4:$L$40,$S9-3)="","",INDEX('Final Calculation Sheet'!$L$4:$L$40,$S9-3)),"")</f>
        <v/>
      </c>
      <c r="H16" s="544">
        <f>IFERROR(IF(INDEX('Final Calculation Sheet'!$L$4:$L$40,$S10-3)="","",INDEX('Final Calculation Sheet'!$L$4:$L$40,$S10-3)),"")</f>
        <v/>
      </c>
      <c r="I16" s="679">
        <f>IFERROR(IF(INDEX('Final Calculation Sheet'!$L$4:$L$40,$S11-3)="","",INDEX('Final Calculation Sheet'!$L$4:$L$40,$S11-3)),"")</f>
        <v/>
      </c>
      <c r="J16" s="544">
        <f>IFERROR(IF(INDEX('Final Calculation Sheet'!$L$4:$L$40,$S12-3)="","",INDEX('Final Calculation Sheet'!$L$4:$L$40,$S12-3)),"")</f>
        <v/>
      </c>
      <c r="K16" s="679">
        <f>IFERROR(IF(INDEX('Final Calculation Sheet'!$L$4:$L$40,$S13-3)="","",INDEX('Final Calculation Sheet'!$L$4:$L$40,$S13-3)),"")</f>
        <v/>
      </c>
      <c r="L16" s="544">
        <f>IFERROR(IF(INDEX('Final Calculation Sheet'!$L$4:$L$40,$S14-3)="","",INDEX('Final Calculation Sheet'!$L$4:$L$40,$S14-3)),"")</f>
        <v/>
      </c>
      <c r="M16" s="679">
        <f>IFERROR(IF(INDEX('Final Calculation Sheet'!$L$4:$L$40,$S15-3)="","",INDEX('Final Calculation Sheet'!$L$4:$L$40,$S15-3)),"")</f>
        <v/>
      </c>
      <c r="N16" s="544">
        <f>IFERROR(IF(INDEX('Final Calculation Sheet'!$L$4:$L$40,$S16-3)="","",INDEX('Final Calculation Sheet'!$L$4:$L$40,$S16-3)),"")</f>
        <v/>
      </c>
      <c r="O16" s="680">
        <f>IF(COUNT(B16:N16)=0,"",SUM(B16:N16))</f>
        <v/>
      </c>
      <c r="Q16">
        <f>IF('Final Calculation Sheet'!$G16=$B$3,COUNTIF('Final Calculation Sheet'!$G$4:$G16,$B$3),"")</f>
        <v/>
      </c>
      <c r="S16">
        <f>IFERROR(MATCH(13,$Q$4:$Q$40,0)+3,"")</f>
        <v/>
      </c>
      <c r="U16" t="inlineStr">
        <is>
          <t>WATAN SCRAP TRADERS</t>
        </is>
      </c>
    </row>
    <row r="17" ht="15" customHeight="1">
      <c r="A17" s="675" t="inlineStr">
        <is>
          <t>Service Charge to MSTC</t>
        </is>
      </c>
      <c r="B17" s="544">
        <f>IFERROR(IF(INDEX('Final Calculation Sheet'!$M$4:$M$40,$S4-3)="","",INDEX('Final Calculation Sheet'!$M$4:$M$40,$S4-3)),"")</f>
        <v/>
      </c>
      <c r="C17" s="679">
        <f>IFERROR(IF(INDEX('Final Calculation Sheet'!$M$4:$M$40,$S5-3)="","",INDEX('Final Calculation Sheet'!$M$4:$M$40,$S5-3)),"")</f>
        <v/>
      </c>
      <c r="D17" s="544">
        <f>IFERROR(IF(INDEX('Final Calculation Sheet'!$M$4:$M$40,$S6-3)="","",INDEX('Final Calculation Sheet'!$M$4:$M$40,$S6-3)),"")</f>
        <v/>
      </c>
      <c r="E17" s="679">
        <f>IFERROR(IF(INDEX('Final Calculation Sheet'!$M$4:$M$40,$S7-3)="","",INDEX('Final Calculation Sheet'!$M$4:$M$40,$S7-3)),"")</f>
        <v/>
      </c>
      <c r="F17" s="544">
        <f>IFERROR(IF(INDEX('Final Calculation Sheet'!$M$4:$M$40,$S8-3)="","",INDEX('Final Calculation Sheet'!$M$4:$M$40,$S8-3)),"")</f>
        <v/>
      </c>
      <c r="G17" s="679">
        <f>IFERROR(IF(INDEX('Final Calculation Sheet'!$M$4:$M$40,$S9-3)="","",INDEX('Final Calculation Sheet'!$M$4:$M$40,$S9-3)),"")</f>
        <v/>
      </c>
      <c r="H17" s="544">
        <f>IFERROR(IF(INDEX('Final Calculation Sheet'!$M$4:$M$40,$S10-3)="","",INDEX('Final Calculation Sheet'!$M$4:$M$40,$S10-3)),"")</f>
        <v/>
      </c>
      <c r="I17" s="679">
        <f>IFERROR(IF(INDEX('Final Calculation Sheet'!$M$4:$M$40,$S11-3)="","",INDEX('Final Calculation Sheet'!$M$4:$M$40,$S11-3)),"")</f>
        <v/>
      </c>
      <c r="J17" s="544">
        <f>IFERROR(IF(INDEX('Final Calculation Sheet'!$M$4:$M$40,$S12-3)="","",INDEX('Final Calculation Sheet'!$M$4:$M$40,$S12-3)),"")</f>
        <v/>
      </c>
      <c r="K17" s="679">
        <f>IFERROR(IF(INDEX('Final Calculation Sheet'!$M$4:$M$40,$S13-3)="","",INDEX('Final Calculation Sheet'!$M$4:$M$40,$S13-3)),"")</f>
        <v/>
      </c>
      <c r="L17" s="544">
        <f>IFERROR(IF(INDEX('Final Calculation Sheet'!$M$4:$M$40,$S14-3)="","",INDEX('Final Calculation Sheet'!$M$4:$M$40,$S14-3)),"")</f>
        <v/>
      </c>
      <c r="M17" s="679">
        <f>IFERROR(IF(INDEX('Final Calculation Sheet'!$M$4:$M$40,$S15-3)="","",INDEX('Final Calculation Sheet'!$M$4:$M$40,$S15-3)),"")</f>
        <v/>
      </c>
      <c r="N17" s="544">
        <f>IFERROR(IF(INDEX('Final Calculation Sheet'!$M$4:$M$40,$S16-3)="","",INDEX('Final Calculation Sheet'!$M$4:$M$40,$S16-3)),"")</f>
        <v/>
      </c>
      <c r="O17" s="680">
        <f>IF(COUNT(B17:N17)=0,"",SUM(B17:N17))</f>
        <v/>
      </c>
      <c r="Q17">
        <f>IF('Final Calculation Sheet'!$G17=$B$3,COUNTIF('Final Calculation Sheet'!$G$4:$G17,$B$3),"")</f>
        <v/>
      </c>
    </row>
    <row r="18" ht="15" customHeight="1">
      <c r="A18" s="678" t="inlineStr">
        <is>
          <t>TDS u/s 194(H)</t>
        </is>
      </c>
      <c r="B18" s="547">
        <f>IFERROR(IF(INDEX('Final Calculation Sheet'!$N$4:$N$40,$S4-3)="","",INDEX('Final Calculation Sheet'!$N$4:$N$40,$S4-3)),"")</f>
        <v/>
      </c>
      <c r="C18" s="681">
        <f>IFERROR(IF(INDEX('Final Calculation Sheet'!$N$4:$N$40,$S5-3)="","",INDEX('Final Calculation Sheet'!$N$4:$N$40,$S5-3)),"")</f>
        <v/>
      </c>
      <c r="D18" s="547">
        <f>IFERROR(IF(INDEX('Final Calculation Sheet'!$N$4:$N$40,$S6-3)="","",INDEX('Final Calculation Sheet'!$N$4:$N$40,$S6-3)),"")</f>
        <v/>
      </c>
      <c r="E18" s="681">
        <f>IFERROR(IF(INDEX('Final Calculation Sheet'!$N$4:$N$40,$S7-3)="","",INDEX('Final Calculation Sheet'!$N$4:$N$40,$S7-3)),"")</f>
        <v/>
      </c>
      <c r="F18" s="547">
        <f>IFERROR(IF(INDEX('Final Calculation Sheet'!$N$4:$N$40,$S8-3)="","",INDEX('Final Calculation Sheet'!$N$4:$N$40,$S8-3)),"")</f>
        <v/>
      </c>
      <c r="G18" s="681">
        <f>IFERROR(IF(INDEX('Final Calculation Sheet'!$N$4:$N$40,$S9-3)="","",INDEX('Final Calculation Sheet'!$N$4:$N$40,$S9-3)),"")</f>
        <v/>
      </c>
      <c r="H18" s="547">
        <f>IFERROR(IF(INDEX('Final Calculation Sheet'!$N$4:$N$40,$S10-3)="","",INDEX('Final Calculation Sheet'!$N$4:$N$40,$S10-3)),"")</f>
        <v/>
      </c>
      <c r="I18" s="681">
        <f>IFERROR(IF(INDEX('Final Calculation Sheet'!$N$4:$N$40,$S11-3)="","",INDEX('Final Calculation Sheet'!$N$4:$N$40,$S11-3)),"")</f>
        <v/>
      </c>
      <c r="J18" s="547">
        <f>IFERROR(IF(INDEX('Final Calculation Sheet'!$N$4:$N$40,$S12-3)="","",INDEX('Final Calculation Sheet'!$N$4:$N$40,$S12-3)),"")</f>
        <v/>
      </c>
      <c r="K18" s="681">
        <f>IFERROR(IF(INDEX('Final Calculation Sheet'!$N$4:$N$40,$S13-3)="","",INDEX('Final Calculation Sheet'!$N$4:$N$40,$S13-3)),"")</f>
        <v/>
      </c>
      <c r="L18" s="547">
        <f>IFERROR(IF(INDEX('Final Calculation Sheet'!$N$4:$N$40,$S14-3)="","",INDEX('Final Calculation Sheet'!$N$4:$N$40,$S14-3)),"")</f>
        <v/>
      </c>
      <c r="M18" s="681">
        <f>IFERROR(IF(INDEX('Final Calculation Sheet'!$N$4:$N$40,$S15-3)="","",INDEX('Final Calculation Sheet'!$N$4:$N$40,$S15-3)),"")</f>
        <v/>
      </c>
      <c r="N18" s="547">
        <f>IFERROR(IF(INDEX('Final Calculation Sheet'!$N$4:$N$40,$S16-3)="","",INDEX('Final Calculation Sheet'!$N$4:$N$40,$S16-3)),"")</f>
        <v/>
      </c>
      <c r="O18" s="682">
        <f>IF(COUNT(B18:N18)=0,"",SUM(B18:N18))</f>
        <v/>
      </c>
      <c r="Q18">
        <f>IF('Final Calculation Sheet'!$G18=$B$3,COUNTIF('Final Calculation Sheet'!$G$4:$G18,$B$3),"")</f>
        <v/>
      </c>
    </row>
    <row r="19" ht="15" customHeight="1">
      <c r="A19" s="675" t="inlineStr">
        <is>
          <t>Net Service Charge (post TDS 194H)</t>
        </is>
      </c>
      <c r="B19" s="544">
        <f>IFERROR(IF(INDEX('Final Calculation Sheet'!$O$4:$O$40,$S4-3)="","",INDEX('Final Calculation Sheet'!$O$4:$O$40,$S4-3)),"")</f>
        <v/>
      </c>
      <c r="C19" s="679">
        <f>IFERROR(IF(INDEX('Final Calculation Sheet'!$O$4:$O$40,$S5-3)="","",INDEX('Final Calculation Sheet'!$O$4:$O$40,$S5-3)),"")</f>
        <v/>
      </c>
      <c r="D19" s="544">
        <f>IFERROR(IF(INDEX('Final Calculation Sheet'!$O$4:$O$40,$S6-3)="","",INDEX('Final Calculation Sheet'!$O$4:$O$40,$S6-3)),"")</f>
        <v/>
      </c>
      <c r="E19" s="679">
        <f>IFERROR(IF(INDEX('Final Calculation Sheet'!$O$4:$O$40,$S7-3)="","",INDEX('Final Calculation Sheet'!$O$4:$O$40,$S7-3)),"")</f>
        <v/>
      </c>
      <c r="F19" s="544">
        <f>IFERROR(IF(INDEX('Final Calculation Sheet'!$O$4:$O$40,$S8-3)="","",INDEX('Final Calculation Sheet'!$O$4:$O$40,$S8-3)),"")</f>
        <v/>
      </c>
      <c r="G19" s="679">
        <f>IFERROR(IF(INDEX('Final Calculation Sheet'!$O$4:$O$40,$S9-3)="","",INDEX('Final Calculation Sheet'!$O$4:$O$40,$S9-3)),"")</f>
        <v/>
      </c>
      <c r="H19" s="544">
        <f>IFERROR(IF(INDEX('Final Calculation Sheet'!$O$4:$O$40,$S10-3)="","",INDEX('Final Calculation Sheet'!$O$4:$O$40,$S10-3)),"")</f>
        <v/>
      </c>
      <c r="I19" s="679">
        <f>IFERROR(IF(INDEX('Final Calculation Sheet'!$O$4:$O$40,$S11-3)="","",INDEX('Final Calculation Sheet'!$O$4:$O$40,$S11-3)),"")</f>
        <v/>
      </c>
      <c r="J19" s="544">
        <f>IFERROR(IF(INDEX('Final Calculation Sheet'!$O$4:$O$40,$S12-3)="","",INDEX('Final Calculation Sheet'!$O$4:$O$40,$S12-3)),"")</f>
        <v/>
      </c>
      <c r="K19" s="679">
        <f>IFERROR(IF(INDEX('Final Calculation Sheet'!$O$4:$O$40,$S13-3)="","",INDEX('Final Calculation Sheet'!$O$4:$O$40,$S13-3)),"")</f>
        <v/>
      </c>
      <c r="L19" s="544">
        <f>IFERROR(IF(INDEX('Final Calculation Sheet'!$O$4:$O$40,$S14-3)="","",INDEX('Final Calculation Sheet'!$O$4:$O$40,$S14-3)),"")</f>
        <v/>
      </c>
      <c r="M19" s="679">
        <f>IFERROR(IF(INDEX('Final Calculation Sheet'!$O$4:$O$40,$S15-3)="","",INDEX('Final Calculation Sheet'!$O$4:$O$40,$S15-3)),"")</f>
        <v/>
      </c>
      <c r="N19" s="544">
        <f>IFERROR(IF(INDEX('Final Calculation Sheet'!$O$4:$O$40,$S16-3)="","",INDEX('Final Calculation Sheet'!$O$4:$O$40,$S16-3)),"")</f>
        <v/>
      </c>
      <c r="O19" s="680">
        <f>IF(COUNT(B19:N19)=0,"",SUM(B19:N19))</f>
        <v/>
      </c>
      <c r="Q19">
        <f>IF('Final Calculation Sheet'!$G19=$B$3,COUNTIF('Final Calculation Sheet'!$G$4:$G19,$B$3),"")</f>
        <v/>
      </c>
    </row>
    <row r="20" ht="15" customHeight="1">
      <c r="A20" s="678" t="inlineStr">
        <is>
          <t>Service charge to MSTC</t>
        </is>
      </c>
      <c r="B20" s="544">
        <f>IFERROR(IF(INDEX('Final Calculation Sheet'!$P$4:$P$40,$S4-3)="","",INDEX('Final Calculation Sheet'!$P$4:$P$40,$S4-3)),"")</f>
        <v/>
      </c>
      <c r="C20" s="679">
        <f>IFERROR(IF(INDEX('Final Calculation Sheet'!$P$4:$P$40,$S5-3)="","",INDEX('Final Calculation Sheet'!$P$4:$P$40,$S5-3)),"")</f>
        <v/>
      </c>
      <c r="D20" s="544">
        <f>IFERROR(IF(INDEX('Final Calculation Sheet'!$P$4:$P$40,$S6-3)="","",INDEX('Final Calculation Sheet'!$P$4:$P$40,$S6-3)),"")</f>
        <v/>
      </c>
      <c r="E20" s="679">
        <f>IFERROR(IF(INDEX('Final Calculation Sheet'!$P$4:$P$40,$S7-3)="","",INDEX('Final Calculation Sheet'!$P$4:$P$40,$S7-3)),"")</f>
        <v/>
      </c>
      <c r="F20" s="544">
        <f>IFERROR(IF(INDEX('Final Calculation Sheet'!$P$4:$P$40,$S8-3)="","",INDEX('Final Calculation Sheet'!$P$4:$P$40,$S8-3)),"")</f>
        <v/>
      </c>
      <c r="G20" s="679">
        <f>IFERROR(IF(INDEX('Final Calculation Sheet'!$P$4:$P$40,$S9-3)="","",INDEX('Final Calculation Sheet'!$P$4:$P$40,$S9-3)),"")</f>
        <v/>
      </c>
      <c r="H20" s="544">
        <f>IFERROR(IF(INDEX('Final Calculation Sheet'!$P$4:$P$40,$S10-3)="","",INDEX('Final Calculation Sheet'!$P$4:$P$40,$S10-3)),"")</f>
        <v/>
      </c>
      <c r="I20" s="679">
        <f>IFERROR(IF(INDEX('Final Calculation Sheet'!$P$4:$P$40,$S11-3)="","",INDEX('Final Calculation Sheet'!$P$4:$P$40,$S11-3)),"")</f>
        <v/>
      </c>
      <c r="J20" s="544">
        <f>IFERROR(IF(INDEX('Final Calculation Sheet'!$P$4:$P$40,$S12-3)="","",INDEX('Final Calculation Sheet'!$P$4:$P$40,$S12-3)),"")</f>
        <v/>
      </c>
      <c r="K20" s="679">
        <f>IFERROR(IF(INDEX('Final Calculation Sheet'!$P$4:$P$40,$S13-3)="","",INDEX('Final Calculation Sheet'!$P$4:$P$40,$S13-3)),"")</f>
        <v/>
      </c>
      <c r="L20" s="544">
        <f>IFERROR(IF(INDEX('Final Calculation Sheet'!$P$4:$P$40,$S14-3)="","",INDEX('Final Calculation Sheet'!$P$4:$P$40,$S14-3)),"")</f>
        <v/>
      </c>
      <c r="M20" s="679">
        <f>IFERROR(IF(INDEX('Final Calculation Sheet'!$P$4:$P$40,$S15-3)="","",INDEX('Final Calculation Sheet'!$P$4:$P$40,$S15-3)),"")</f>
        <v/>
      </c>
      <c r="N20" s="544">
        <f>IFERROR(IF(INDEX('Final Calculation Sheet'!$P$4:$P$40,$S16-3)="","",INDEX('Final Calculation Sheet'!$P$4:$P$40,$S16-3)),"")</f>
        <v/>
      </c>
      <c r="O20" s="680">
        <f>IF(COUNT(B20:N20)=0,"",SUM(B20:N20))</f>
        <v/>
      </c>
      <c r="Q20">
        <f>IF('Final Calculation Sheet'!$G20=$B$3,COUNTIF('Final Calculation Sheet'!$G$4:$G20,$B$3),"")</f>
        <v/>
      </c>
    </row>
    <row r="21" ht="15" customHeight="1">
      <c r="A21" s="675" t="inlineStr">
        <is>
          <t>GST TDS Rate</t>
        </is>
      </c>
      <c r="B21" s="549">
        <f>IFERROR(IF(INDEX('Final Calculation Sheet'!$Q$4:$Q$40,$S4-3)="","",INDEX('Final Calculation Sheet'!$Q$4:$Q$40,$S4-3)),"")</f>
        <v/>
      </c>
      <c r="C21" s="683">
        <f>IFERROR(IF(INDEX('Final Calculation Sheet'!$Q$4:$Q$40,$S5-3)="","",INDEX('Final Calculation Sheet'!$Q$4:$Q$40,$S5-3)),"")</f>
        <v/>
      </c>
      <c r="D21" s="549">
        <f>IFERROR(IF(INDEX('Final Calculation Sheet'!$Q$4:$Q$40,$S6-3)="","",INDEX('Final Calculation Sheet'!$Q$4:$Q$40,$S6-3)),"")</f>
        <v/>
      </c>
      <c r="E21" s="683">
        <f>IFERROR(IF(INDEX('Final Calculation Sheet'!$Q$4:$Q$40,$S7-3)="","",INDEX('Final Calculation Sheet'!$Q$4:$Q$40,$S7-3)),"")</f>
        <v/>
      </c>
      <c r="F21" s="549">
        <f>IFERROR(IF(INDEX('Final Calculation Sheet'!$Q$4:$Q$40,$S8-3)="","",INDEX('Final Calculation Sheet'!$Q$4:$Q$40,$S8-3)),"")</f>
        <v/>
      </c>
      <c r="G21" s="683">
        <f>IFERROR(IF(INDEX('Final Calculation Sheet'!$Q$4:$Q$40,$S9-3)="","",INDEX('Final Calculation Sheet'!$Q$4:$Q$40,$S9-3)),"")</f>
        <v/>
      </c>
      <c r="H21" s="549">
        <f>IFERROR(IF(INDEX('Final Calculation Sheet'!$Q$4:$Q$40,$S10-3)="","",INDEX('Final Calculation Sheet'!$Q$4:$Q$40,$S10-3)),"")</f>
        <v/>
      </c>
      <c r="I21" s="683">
        <f>IFERROR(IF(INDEX('Final Calculation Sheet'!$Q$4:$Q$40,$S11-3)="","",INDEX('Final Calculation Sheet'!$Q$4:$Q$40,$S11-3)),"")</f>
        <v/>
      </c>
      <c r="J21" s="549">
        <f>IFERROR(IF(INDEX('Final Calculation Sheet'!$Q$4:$Q$40,$S12-3)="","",INDEX('Final Calculation Sheet'!$Q$4:$Q$40,$S12-3)),"")</f>
        <v/>
      </c>
      <c r="K21" s="683">
        <f>IFERROR(IF(INDEX('Final Calculation Sheet'!$Q$4:$Q$40,$S13-3)="","",INDEX('Final Calculation Sheet'!$Q$4:$Q$40,$S13-3)),"")</f>
        <v/>
      </c>
      <c r="L21" s="549">
        <f>IFERROR(IF(INDEX('Final Calculation Sheet'!$Q$4:$Q$40,$S14-3)="","",INDEX('Final Calculation Sheet'!$Q$4:$Q$40,$S14-3)),"")</f>
        <v/>
      </c>
      <c r="M21" s="683">
        <f>IFERROR(IF(INDEX('Final Calculation Sheet'!$Q$4:$Q$40,$S15-3)="","",INDEX('Final Calculation Sheet'!$Q$4:$Q$40,$S15-3)),"")</f>
        <v/>
      </c>
      <c r="N21" s="549">
        <f>IFERROR(IF(INDEX('Final Calculation Sheet'!$Q$4:$Q$40,$S16-3)="","",INDEX('Final Calculation Sheet'!$Q$4:$Q$40,$S16-3)),"")</f>
        <v/>
      </c>
      <c r="O21" s="750" t="inlineStr">
        <is>
          <t>–</t>
        </is>
      </c>
      <c r="Q21">
        <f>IF('Final Calculation Sheet'!$G21=$B$3,COUNTIF('Final Calculation Sheet'!$G$4:$G21,$B$3),"")</f>
        <v/>
      </c>
    </row>
    <row r="22" ht="15" customHeight="1">
      <c r="A22" s="678" t="inlineStr">
        <is>
          <t>GST TDS</t>
        </is>
      </c>
      <c r="B22" s="544">
        <f>IFERROR(IF(INDEX('Final Calculation Sheet'!$R$4:$R$40,$S4-3)="","",INDEX('Final Calculation Sheet'!$R$4:$R$40,$S4-3)),"")</f>
        <v/>
      </c>
      <c r="C22" s="679">
        <f>IFERROR(IF(INDEX('Final Calculation Sheet'!$R$4:$R$40,$S5-3)="","",INDEX('Final Calculation Sheet'!$R$4:$R$40,$S5-3)),"")</f>
        <v/>
      </c>
      <c r="D22" s="544">
        <f>IFERROR(IF(INDEX('Final Calculation Sheet'!$R$4:$R$40,$S6-3)="","",INDEX('Final Calculation Sheet'!$R$4:$R$40,$S6-3)),"")</f>
        <v/>
      </c>
      <c r="E22" s="679">
        <f>IFERROR(IF(INDEX('Final Calculation Sheet'!$R$4:$R$40,$S7-3)="","",INDEX('Final Calculation Sheet'!$R$4:$R$40,$S7-3)),"")</f>
        <v/>
      </c>
      <c r="F22" s="544">
        <f>IFERROR(IF(INDEX('Final Calculation Sheet'!$R$4:$R$40,$S8-3)="","",INDEX('Final Calculation Sheet'!$R$4:$R$40,$S8-3)),"")</f>
        <v/>
      </c>
      <c r="G22" s="679">
        <f>IFERROR(IF(INDEX('Final Calculation Sheet'!$R$4:$R$40,$S9-3)="","",INDEX('Final Calculation Sheet'!$R$4:$R$40,$S9-3)),"")</f>
        <v/>
      </c>
      <c r="H22" s="544">
        <f>IFERROR(IF(INDEX('Final Calculation Sheet'!$R$4:$R$40,$S10-3)="","",INDEX('Final Calculation Sheet'!$R$4:$R$40,$S10-3)),"")</f>
        <v/>
      </c>
      <c r="I22" s="679">
        <f>IFERROR(IF(INDEX('Final Calculation Sheet'!$R$4:$R$40,$S11-3)="","",INDEX('Final Calculation Sheet'!$R$4:$R$40,$S11-3)),"")</f>
        <v/>
      </c>
      <c r="J22" s="544">
        <f>IFERROR(IF(INDEX('Final Calculation Sheet'!$R$4:$R$40,$S12-3)="","",INDEX('Final Calculation Sheet'!$R$4:$R$40,$S12-3)),"")</f>
        <v/>
      </c>
      <c r="K22" s="679">
        <f>IFERROR(IF(INDEX('Final Calculation Sheet'!$R$4:$R$40,$S13-3)="","",INDEX('Final Calculation Sheet'!$R$4:$R$40,$S13-3)),"")</f>
        <v/>
      </c>
      <c r="L22" s="544">
        <f>IFERROR(IF(INDEX('Final Calculation Sheet'!$R$4:$R$40,$S14-3)="","",INDEX('Final Calculation Sheet'!$R$4:$R$40,$S14-3)),"")</f>
        <v/>
      </c>
      <c r="M22" s="679">
        <f>IFERROR(IF(INDEX('Final Calculation Sheet'!$R$4:$R$40,$S15-3)="","",INDEX('Final Calculation Sheet'!$R$4:$R$40,$S15-3)),"")</f>
        <v/>
      </c>
      <c r="N22" s="544">
        <f>IFERROR(IF(INDEX('Final Calculation Sheet'!$R$4:$R$40,$S16-3)="","",INDEX('Final Calculation Sheet'!$R$4:$R$40,$S16-3)),"")</f>
        <v/>
      </c>
      <c r="O22" s="680">
        <f>IF(COUNT(B22:N22)=0,"",SUM(B22:N22))</f>
        <v/>
      </c>
      <c r="Q22">
        <f>IF('Final Calculation Sheet'!$G22=$B$3,COUNTIF('Final Calculation Sheet'!$G$4:$G22,$B$3),"")</f>
        <v/>
      </c>
    </row>
    <row r="23" ht="15" customHeight="1">
      <c r="A23" s="675" t="inlineStr">
        <is>
          <t>Total Receivables in Cash</t>
        </is>
      </c>
      <c r="B23" s="544">
        <f>IFERROR(IF(INDEX('Final Calculation Sheet'!$S$4:$S$40,$S4-3)="","",INDEX('Final Calculation Sheet'!$S$4:$S$40,$S4-3)),"")</f>
        <v/>
      </c>
      <c r="C23" s="679">
        <f>IFERROR(IF(INDEX('Final Calculation Sheet'!$S$4:$S$40,$S5-3)="","",INDEX('Final Calculation Sheet'!$S$4:$S$40,$S5-3)),"")</f>
        <v/>
      </c>
      <c r="D23" s="544">
        <f>IFERROR(IF(INDEX('Final Calculation Sheet'!$S$4:$S$40,$S6-3)="","",INDEX('Final Calculation Sheet'!$S$4:$S$40,$S6-3)),"")</f>
        <v/>
      </c>
      <c r="E23" s="679">
        <f>IFERROR(IF(INDEX('Final Calculation Sheet'!$S$4:$S$40,$S7-3)="","",INDEX('Final Calculation Sheet'!$S$4:$S$40,$S7-3)),"")</f>
        <v/>
      </c>
      <c r="F23" s="544">
        <f>IFERROR(IF(INDEX('Final Calculation Sheet'!$S$4:$S$40,$S8-3)="","",INDEX('Final Calculation Sheet'!$S$4:$S$40,$S8-3)),"")</f>
        <v/>
      </c>
      <c r="G23" s="679">
        <f>IFERROR(IF(INDEX('Final Calculation Sheet'!$S$4:$S$40,$S9-3)="","",INDEX('Final Calculation Sheet'!$S$4:$S$40,$S9-3)),"")</f>
        <v/>
      </c>
      <c r="H23" s="544">
        <f>IFERROR(IF(INDEX('Final Calculation Sheet'!$S$4:$S$40,$S10-3)="","",INDEX('Final Calculation Sheet'!$S$4:$S$40,$S10-3)),"")</f>
        <v/>
      </c>
      <c r="I23" s="679">
        <f>IFERROR(IF(INDEX('Final Calculation Sheet'!$S$4:$S$40,$S11-3)="","",INDEX('Final Calculation Sheet'!$S$4:$S$40,$S11-3)),"")</f>
        <v/>
      </c>
      <c r="J23" s="544">
        <f>IFERROR(IF(INDEX('Final Calculation Sheet'!$S$4:$S$40,$S12-3)="","",INDEX('Final Calculation Sheet'!$S$4:$S$40,$S12-3)),"")</f>
        <v/>
      </c>
      <c r="K23" s="679">
        <f>IFERROR(IF(INDEX('Final Calculation Sheet'!$S$4:$S$40,$S13-3)="","",INDEX('Final Calculation Sheet'!$S$4:$S$40,$S13-3)),"")</f>
        <v/>
      </c>
      <c r="L23" s="544">
        <f>IFERROR(IF(INDEX('Final Calculation Sheet'!$S$4:$S$40,$S14-3)="","",INDEX('Final Calculation Sheet'!$S$4:$S$40,$S14-3)),"")</f>
        <v/>
      </c>
      <c r="M23" s="679">
        <f>IFERROR(IF(INDEX('Final Calculation Sheet'!$S$4:$S$40,$S15-3)="","",INDEX('Final Calculation Sheet'!$S$4:$S$40,$S15-3)),"")</f>
        <v/>
      </c>
      <c r="N23" s="544">
        <f>IFERROR(IF(INDEX('Final Calculation Sheet'!$S$4:$S$40,$S16-3)="","",INDEX('Final Calculation Sheet'!$S$4:$S$40,$S16-3)),"")</f>
        <v/>
      </c>
      <c r="O23" s="680">
        <f>IF(COUNT(B23:N23)=0,"",SUM(B23:N23))</f>
        <v/>
      </c>
      <c r="Q23">
        <f>IF('Final Calculation Sheet'!$G23=$B$3,COUNTIF('Final Calculation Sheet'!$G$4:$G23,$B$3),"")</f>
        <v/>
      </c>
    </row>
    <row r="24" ht="15" customHeight="1">
      <c r="A24" s="678" t="inlineStr">
        <is>
          <t>Security Deposit (Expected)</t>
        </is>
      </c>
      <c r="B24" s="544">
        <f>IFERROR(IF(INDEX('Final Calculation Sheet'!$T$4:$T$40,$S4-3)="","",INDEX('Final Calculation Sheet'!$T$4:$T$40,$S4-3)),"")</f>
        <v/>
      </c>
      <c r="C24" s="679">
        <f>IFERROR(IF(INDEX('Final Calculation Sheet'!$T$4:$T$40,$S5-3)="","",INDEX('Final Calculation Sheet'!$T$4:$T$40,$S5-3)),"")</f>
        <v/>
      </c>
      <c r="D24" s="544">
        <f>IFERROR(IF(INDEX('Final Calculation Sheet'!$T$4:$T$40,$S6-3)="","",INDEX('Final Calculation Sheet'!$T$4:$T$40,$S6-3)),"")</f>
        <v/>
      </c>
      <c r="E24" s="679">
        <f>IFERROR(IF(INDEX('Final Calculation Sheet'!$T$4:$T$40,$S7-3)="","",INDEX('Final Calculation Sheet'!$T$4:$T$40,$S7-3)),"")</f>
        <v/>
      </c>
      <c r="F24" s="544">
        <f>IFERROR(IF(INDEX('Final Calculation Sheet'!$T$4:$T$40,$S8-3)="","",INDEX('Final Calculation Sheet'!$T$4:$T$40,$S8-3)),"")</f>
        <v/>
      </c>
      <c r="G24" s="679">
        <f>IFERROR(IF(INDEX('Final Calculation Sheet'!$T$4:$T$40,$S9-3)="","",INDEX('Final Calculation Sheet'!$T$4:$T$40,$S9-3)),"")</f>
        <v/>
      </c>
      <c r="H24" s="544">
        <f>IFERROR(IF(INDEX('Final Calculation Sheet'!$T$4:$T$40,$S10-3)="","",INDEX('Final Calculation Sheet'!$T$4:$T$40,$S10-3)),"")</f>
        <v/>
      </c>
      <c r="I24" s="679">
        <f>IFERROR(IF(INDEX('Final Calculation Sheet'!$T$4:$T$40,$S11-3)="","",INDEX('Final Calculation Sheet'!$T$4:$T$40,$S11-3)),"")</f>
        <v/>
      </c>
      <c r="J24" s="544">
        <f>IFERROR(IF(INDEX('Final Calculation Sheet'!$T$4:$T$40,$S12-3)="","",INDEX('Final Calculation Sheet'!$T$4:$T$40,$S12-3)),"")</f>
        <v/>
      </c>
      <c r="K24" s="679">
        <f>IFERROR(IF(INDEX('Final Calculation Sheet'!$T$4:$T$40,$S13-3)="","",INDEX('Final Calculation Sheet'!$T$4:$T$40,$S13-3)),"")</f>
        <v/>
      </c>
      <c r="L24" s="544">
        <f>IFERROR(IF(INDEX('Final Calculation Sheet'!$T$4:$T$40,$S14-3)="","",INDEX('Final Calculation Sheet'!$T$4:$T$40,$S14-3)),"")</f>
        <v/>
      </c>
      <c r="M24" s="679">
        <f>IFERROR(IF(INDEX('Final Calculation Sheet'!$T$4:$T$40,$S15-3)="","",INDEX('Final Calculation Sheet'!$T$4:$T$40,$S15-3)),"")</f>
        <v/>
      </c>
      <c r="N24" s="544">
        <f>IFERROR(IF(INDEX('Final Calculation Sheet'!$T$4:$T$40,$S16-3)="","",INDEX('Final Calculation Sheet'!$T$4:$T$40,$S16-3)),"")</f>
        <v/>
      </c>
      <c r="O24" s="680">
        <f>IF(COUNT(B24:N24)=0,"",SUM(B24:N24))</f>
        <v/>
      </c>
      <c r="Q24">
        <f>IF('Final Calculation Sheet'!$G24=$B$3,COUNTIF('Final Calculation Sheet'!$G$4:$G24,$B$3),"")</f>
        <v/>
      </c>
    </row>
    <row r="25" ht="15" customHeight="1">
      <c r="A25" s="675" t="inlineStr">
        <is>
          <t>Security Deposit (Received)</t>
        </is>
      </c>
      <c r="B25" s="552">
        <f>IFERROR(IF(INDEX('Final Calculation Sheet'!$U$4:$U$40,$S4-3)="","",INDEX('Final Calculation Sheet'!$U$4:$U$40,$S4-3)),"")</f>
        <v/>
      </c>
      <c r="C25" s="685">
        <f>IFERROR(IF(INDEX('Final Calculation Sheet'!$U$4:$U$40,$S5-3)="","",INDEX('Final Calculation Sheet'!$U$4:$U$40,$S5-3)),"")</f>
        <v/>
      </c>
      <c r="D25" s="552">
        <f>IFERROR(IF(INDEX('Final Calculation Sheet'!$U$4:$U$40,$S6-3)="","",INDEX('Final Calculation Sheet'!$U$4:$U$40,$S6-3)),"")</f>
        <v/>
      </c>
      <c r="E25" s="685">
        <f>IFERROR(IF(INDEX('Final Calculation Sheet'!$U$4:$U$40,$S7-3)="","",INDEX('Final Calculation Sheet'!$U$4:$U$40,$S7-3)),"")</f>
        <v/>
      </c>
      <c r="F25" s="552">
        <f>IFERROR(IF(INDEX('Final Calculation Sheet'!$U$4:$U$40,$S8-3)="","",INDEX('Final Calculation Sheet'!$U$4:$U$40,$S8-3)),"")</f>
        <v/>
      </c>
      <c r="G25" s="685">
        <f>IFERROR(IF(INDEX('Final Calculation Sheet'!$U$4:$U$40,$S9-3)="","",INDEX('Final Calculation Sheet'!$U$4:$U$40,$S9-3)),"")</f>
        <v/>
      </c>
      <c r="H25" s="552">
        <f>IFERROR(IF(INDEX('Final Calculation Sheet'!$U$4:$U$40,$S10-3)="","",INDEX('Final Calculation Sheet'!$U$4:$U$40,$S10-3)),"")</f>
        <v/>
      </c>
      <c r="I25" s="685">
        <f>IFERROR(IF(INDEX('Final Calculation Sheet'!$U$4:$U$40,$S11-3)="","",INDEX('Final Calculation Sheet'!$U$4:$U$40,$S11-3)),"")</f>
        <v/>
      </c>
      <c r="J25" s="552">
        <f>IFERROR(IF(INDEX('Final Calculation Sheet'!$U$4:$U$40,$S12-3)="","",INDEX('Final Calculation Sheet'!$U$4:$U$40,$S12-3)),"")</f>
        <v/>
      </c>
      <c r="K25" s="685">
        <f>IFERROR(IF(INDEX('Final Calculation Sheet'!$U$4:$U$40,$S13-3)="","",INDEX('Final Calculation Sheet'!$U$4:$U$40,$S13-3)),"")</f>
        <v/>
      </c>
      <c r="L25" s="552">
        <f>IFERROR(IF(INDEX('Final Calculation Sheet'!$U$4:$U$40,$S14-3)="","",INDEX('Final Calculation Sheet'!$U$4:$U$40,$S14-3)),"")</f>
        <v/>
      </c>
      <c r="M25" s="685">
        <f>IFERROR(IF(INDEX('Final Calculation Sheet'!$U$4:$U$40,$S15-3)="","",INDEX('Final Calculation Sheet'!$U$4:$U$40,$S15-3)),"")</f>
        <v/>
      </c>
      <c r="N25" s="552">
        <f>IFERROR(IF(INDEX('Final Calculation Sheet'!$U$4:$U$40,$S16-3)="","",INDEX('Final Calculation Sheet'!$U$4:$U$40,$S16-3)),"")</f>
        <v/>
      </c>
      <c r="O25" s="686">
        <f>IF(COUNT(B25:N25)=0,"",SUM(B25:N25))</f>
        <v/>
      </c>
      <c r="Q25">
        <f>IF('Final Calculation Sheet'!$G25=$B$3,COUNTIF('Final Calculation Sheet'!$G$4:$G25,$B$3),"")</f>
        <v/>
      </c>
    </row>
    <row r="26" ht="15" customHeight="1">
      <c r="A26" s="678" t="inlineStr">
        <is>
          <t>Date of Receipt (col V)</t>
        </is>
      </c>
      <c r="B26" s="544">
        <f>IFERROR(IF(INDEX('Final Calculation Sheet'!$V$4:$V$40,$S4-3)="","",INDEX('Final Calculation Sheet'!$V$4:$V$40,$S4-3)),"")</f>
        <v/>
      </c>
      <c r="C26" s="679">
        <f>IFERROR(IF(INDEX('Final Calculation Sheet'!$V$4:$V$40,$S5-3)="","",INDEX('Final Calculation Sheet'!$V$4:$V$40,$S5-3)),"")</f>
        <v/>
      </c>
      <c r="D26" s="544">
        <f>IFERROR(IF(INDEX('Final Calculation Sheet'!$V$4:$V$40,$S6-3)="","",INDEX('Final Calculation Sheet'!$V$4:$V$40,$S6-3)),"")</f>
        <v/>
      </c>
      <c r="E26" s="679">
        <f>IFERROR(IF(INDEX('Final Calculation Sheet'!$V$4:$V$40,$S7-3)="","",INDEX('Final Calculation Sheet'!$V$4:$V$40,$S7-3)),"")</f>
        <v/>
      </c>
      <c r="F26" s="544">
        <f>IFERROR(IF(INDEX('Final Calculation Sheet'!$V$4:$V$40,$S8-3)="","",INDEX('Final Calculation Sheet'!$V$4:$V$40,$S8-3)),"")</f>
        <v/>
      </c>
      <c r="G26" s="679">
        <f>IFERROR(IF(INDEX('Final Calculation Sheet'!$V$4:$V$40,$S9-3)="","",INDEX('Final Calculation Sheet'!$V$4:$V$40,$S9-3)),"")</f>
        <v/>
      </c>
      <c r="H26" s="544">
        <f>IFERROR(IF(INDEX('Final Calculation Sheet'!$V$4:$V$40,$S10-3)="","",INDEX('Final Calculation Sheet'!$V$4:$V$40,$S10-3)),"")</f>
        <v/>
      </c>
      <c r="I26" s="679">
        <f>IFERROR(IF(INDEX('Final Calculation Sheet'!$V$4:$V$40,$S11-3)="","",INDEX('Final Calculation Sheet'!$V$4:$V$40,$S11-3)),"")</f>
        <v/>
      </c>
      <c r="J26" s="544">
        <f>IFERROR(IF(INDEX('Final Calculation Sheet'!$V$4:$V$40,$S12-3)="","",INDEX('Final Calculation Sheet'!$V$4:$V$40,$S12-3)),"")</f>
        <v/>
      </c>
      <c r="K26" s="679">
        <f>IFERROR(IF(INDEX('Final Calculation Sheet'!$V$4:$V$40,$S13-3)="","",INDEX('Final Calculation Sheet'!$V$4:$V$40,$S13-3)),"")</f>
        <v/>
      </c>
      <c r="L26" s="544">
        <f>IFERROR(IF(INDEX('Final Calculation Sheet'!$V$4:$V$40,$S14-3)="","",INDEX('Final Calculation Sheet'!$V$4:$V$40,$S14-3)),"")</f>
        <v/>
      </c>
      <c r="M26" s="679">
        <f>IFERROR(IF(INDEX('Final Calculation Sheet'!$V$4:$V$40,$S15-3)="","",INDEX('Final Calculation Sheet'!$V$4:$V$40,$S15-3)),"")</f>
        <v/>
      </c>
      <c r="N26" s="544">
        <f>IFERROR(IF(INDEX('Final Calculation Sheet'!$V$4:$V$40,$S16-3)="","",INDEX('Final Calculation Sheet'!$V$4:$V$40,$S16-3)),"")</f>
        <v/>
      </c>
      <c r="O26" s="750" t="inlineStr">
        <is>
          <t>–</t>
        </is>
      </c>
      <c r="Q26">
        <f>IF('Final Calculation Sheet'!$G26=$B$3,COUNTIF('Final Calculation Sheet'!$G$4:$G26,$B$3),"")</f>
        <v/>
      </c>
    </row>
    <row r="27" ht="15" customHeight="1">
      <c r="A27" s="675" t="inlineStr">
        <is>
          <t>Final Payment (Expected)</t>
        </is>
      </c>
      <c r="B27" s="544">
        <f>IFERROR(IF(INDEX('Final Calculation Sheet'!$W$4:$W$40,$S4-3)="","",INDEX('Final Calculation Sheet'!$W$4:$W$40,$S4-3)),"")</f>
        <v/>
      </c>
      <c r="C27" s="679">
        <f>IFERROR(IF(INDEX('Final Calculation Sheet'!$W$4:$W$40,$S5-3)="","",INDEX('Final Calculation Sheet'!$W$4:$W$40,$S5-3)),"")</f>
        <v/>
      </c>
      <c r="D27" s="544">
        <f>IFERROR(IF(INDEX('Final Calculation Sheet'!$W$4:$W$40,$S6-3)="","",INDEX('Final Calculation Sheet'!$W$4:$W$40,$S6-3)),"")</f>
        <v/>
      </c>
      <c r="E27" s="679">
        <f>IFERROR(IF(INDEX('Final Calculation Sheet'!$W$4:$W$40,$S7-3)="","",INDEX('Final Calculation Sheet'!$W$4:$W$40,$S7-3)),"")</f>
        <v/>
      </c>
      <c r="F27" s="544">
        <f>IFERROR(IF(INDEX('Final Calculation Sheet'!$W$4:$W$40,$S8-3)="","",INDEX('Final Calculation Sheet'!$W$4:$W$40,$S8-3)),"")</f>
        <v/>
      </c>
      <c r="G27" s="679">
        <f>IFERROR(IF(INDEX('Final Calculation Sheet'!$W$4:$W$40,$S9-3)="","",INDEX('Final Calculation Sheet'!$W$4:$W$40,$S9-3)),"")</f>
        <v/>
      </c>
      <c r="H27" s="544">
        <f>IFERROR(IF(INDEX('Final Calculation Sheet'!$W$4:$W$40,$S10-3)="","",INDEX('Final Calculation Sheet'!$W$4:$W$40,$S10-3)),"")</f>
        <v/>
      </c>
      <c r="I27" s="679">
        <f>IFERROR(IF(INDEX('Final Calculation Sheet'!$W$4:$W$40,$S11-3)="","",INDEX('Final Calculation Sheet'!$W$4:$W$40,$S11-3)),"")</f>
        <v/>
      </c>
      <c r="J27" s="544">
        <f>IFERROR(IF(INDEX('Final Calculation Sheet'!$W$4:$W$40,$S12-3)="","",INDEX('Final Calculation Sheet'!$W$4:$W$40,$S12-3)),"")</f>
        <v/>
      </c>
      <c r="K27" s="679">
        <f>IFERROR(IF(INDEX('Final Calculation Sheet'!$W$4:$W$40,$S13-3)="","",INDEX('Final Calculation Sheet'!$W$4:$W$40,$S13-3)),"")</f>
        <v/>
      </c>
      <c r="L27" s="544">
        <f>IFERROR(IF(INDEX('Final Calculation Sheet'!$W$4:$W$40,$S14-3)="","",INDEX('Final Calculation Sheet'!$W$4:$W$40,$S14-3)),"")</f>
        <v/>
      </c>
      <c r="M27" s="679">
        <f>IFERROR(IF(INDEX('Final Calculation Sheet'!$W$4:$W$40,$S15-3)="","",INDEX('Final Calculation Sheet'!$W$4:$W$40,$S15-3)),"")</f>
        <v/>
      </c>
      <c r="N27" s="544">
        <f>IFERROR(IF(INDEX('Final Calculation Sheet'!$W$4:$W$40,$S16-3)="","",INDEX('Final Calculation Sheet'!$W$4:$W$40,$S16-3)),"")</f>
        <v/>
      </c>
      <c r="O27" s="680">
        <f>IF(COUNT(B27:N27)=0,"",SUM(B27:N27))</f>
        <v/>
      </c>
      <c r="Q27">
        <f>IF('Final Calculation Sheet'!$G27=$B$3,COUNTIF('Final Calculation Sheet'!$G$4:$G27,$B$3),"")</f>
        <v/>
      </c>
    </row>
    <row r="28" ht="15" customHeight="1">
      <c r="A28" s="678" t="inlineStr">
        <is>
          <t>Final Payment (Received)</t>
        </is>
      </c>
      <c r="B28" s="544">
        <f>IFERROR(IF(INDEX('Final Calculation Sheet'!$X$4:$X$40,$S4-3)="","",INDEX('Final Calculation Sheet'!$X$4:$X$40,$S4-3)),"")</f>
        <v/>
      </c>
      <c r="C28" s="679">
        <f>IFERROR(IF(INDEX('Final Calculation Sheet'!$X$4:$X$40,$S5-3)="","",INDEX('Final Calculation Sheet'!$X$4:$X$40,$S5-3)),"")</f>
        <v/>
      </c>
      <c r="D28" s="544">
        <f>IFERROR(IF(INDEX('Final Calculation Sheet'!$X$4:$X$40,$S6-3)="","",INDEX('Final Calculation Sheet'!$X$4:$X$40,$S6-3)),"")</f>
        <v/>
      </c>
      <c r="E28" s="679">
        <f>IFERROR(IF(INDEX('Final Calculation Sheet'!$X$4:$X$40,$S7-3)="","",INDEX('Final Calculation Sheet'!$X$4:$X$40,$S7-3)),"")</f>
        <v/>
      </c>
      <c r="F28" s="544">
        <f>IFERROR(IF(INDEX('Final Calculation Sheet'!$X$4:$X$40,$S8-3)="","",INDEX('Final Calculation Sheet'!$X$4:$X$40,$S8-3)),"")</f>
        <v/>
      </c>
      <c r="G28" s="679">
        <f>IFERROR(IF(INDEX('Final Calculation Sheet'!$X$4:$X$40,$S9-3)="","",INDEX('Final Calculation Sheet'!$X$4:$X$40,$S9-3)),"")</f>
        <v/>
      </c>
      <c r="H28" s="544">
        <f>IFERROR(IF(INDEX('Final Calculation Sheet'!$X$4:$X$40,$S10-3)="","",INDEX('Final Calculation Sheet'!$X$4:$X$40,$S10-3)),"")</f>
        <v/>
      </c>
      <c r="I28" s="679">
        <f>IFERROR(IF(INDEX('Final Calculation Sheet'!$X$4:$X$40,$S11-3)="","",INDEX('Final Calculation Sheet'!$X$4:$X$40,$S11-3)),"")</f>
        <v/>
      </c>
      <c r="J28" s="544">
        <f>IFERROR(IF(INDEX('Final Calculation Sheet'!$X$4:$X$40,$S12-3)="","",INDEX('Final Calculation Sheet'!$X$4:$X$40,$S12-3)),"")</f>
        <v/>
      </c>
      <c r="K28" s="679">
        <f>IFERROR(IF(INDEX('Final Calculation Sheet'!$X$4:$X$40,$S13-3)="","",INDEX('Final Calculation Sheet'!$X$4:$X$40,$S13-3)),"")</f>
        <v/>
      </c>
      <c r="L28" s="544">
        <f>IFERROR(IF(INDEX('Final Calculation Sheet'!$X$4:$X$40,$S14-3)="","",INDEX('Final Calculation Sheet'!$X$4:$X$40,$S14-3)),"")</f>
        <v/>
      </c>
      <c r="M28" s="679">
        <f>IFERROR(IF(INDEX('Final Calculation Sheet'!$X$4:$X$40,$S15-3)="","",INDEX('Final Calculation Sheet'!$X$4:$X$40,$S15-3)),"")</f>
        <v/>
      </c>
      <c r="N28" s="544">
        <f>IFERROR(IF(INDEX('Final Calculation Sheet'!$X$4:$X$40,$S16-3)="","",INDEX('Final Calculation Sheet'!$X$4:$X$40,$S16-3)),"")</f>
        <v/>
      </c>
      <c r="O28" s="680">
        <f>IF(COUNT(B28:N28)=0,"",SUM(B28:N28))</f>
        <v/>
      </c>
      <c r="Q28">
        <f>IF('Final Calculation Sheet'!$G28=$B$3,COUNTIF('Final Calculation Sheet'!$G$4:$G28,$B$3),"")</f>
        <v/>
      </c>
    </row>
    <row r="29" ht="15" customHeight="1">
      <c r="A29" s="675" t="inlineStr">
        <is>
          <t>Date of Receipt (col Y)</t>
        </is>
      </c>
      <c r="B29" s="544">
        <f>IFERROR(IF(INDEX('Final Calculation Sheet'!$Y$4:$Y$40,$S4-3)="","",INDEX('Final Calculation Sheet'!$Y$4:$Y$40,$S4-3)),"")</f>
        <v/>
      </c>
      <c r="C29" s="679">
        <f>IFERROR(IF(INDEX('Final Calculation Sheet'!$Y$4:$Y$40,$S5-3)="","",INDEX('Final Calculation Sheet'!$Y$4:$Y$40,$S5-3)),"")</f>
        <v/>
      </c>
      <c r="D29" s="544">
        <f>IFERROR(IF(INDEX('Final Calculation Sheet'!$Y$4:$Y$40,$S6-3)="","",INDEX('Final Calculation Sheet'!$Y$4:$Y$40,$S6-3)),"")</f>
        <v/>
      </c>
      <c r="E29" s="679">
        <f>IFERROR(IF(INDEX('Final Calculation Sheet'!$Y$4:$Y$40,$S7-3)="","",INDEX('Final Calculation Sheet'!$Y$4:$Y$40,$S7-3)),"")</f>
        <v/>
      </c>
      <c r="F29" s="544">
        <f>IFERROR(IF(INDEX('Final Calculation Sheet'!$Y$4:$Y$40,$S8-3)="","",INDEX('Final Calculation Sheet'!$Y$4:$Y$40,$S8-3)),"")</f>
        <v/>
      </c>
      <c r="G29" s="679">
        <f>IFERROR(IF(INDEX('Final Calculation Sheet'!$Y$4:$Y$40,$S9-3)="","",INDEX('Final Calculation Sheet'!$Y$4:$Y$40,$S9-3)),"")</f>
        <v/>
      </c>
      <c r="H29" s="544">
        <f>IFERROR(IF(INDEX('Final Calculation Sheet'!$Y$4:$Y$40,$S10-3)="","",INDEX('Final Calculation Sheet'!$Y$4:$Y$40,$S10-3)),"")</f>
        <v/>
      </c>
      <c r="I29" s="679">
        <f>IFERROR(IF(INDEX('Final Calculation Sheet'!$Y$4:$Y$40,$S11-3)="","",INDEX('Final Calculation Sheet'!$Y$4:$Y$40,$S11-3)),"")</f>
        <v/>
      </c>
      <c r="J29" s="544">
        <f>IFERROR(IF(INDEX('Final Calculation Sheet'!$Y$4:$Y$40,$S12-3)="","",INDEX('Final Calculation Sheet'!$Y$4:$Y$40,$S12-3)),"")</f>
        <v/>
      </c>
      <c r="K29" s="679">
        <f>IFERROR(IF(INDEX('Final Calculation Sheet'!$Y$4:$Y$40,$S13-3)="","",INDEX('Final Calculation Sheet'!$Y$4:$Y$40,$S13-3)),"")</f>
        <v/>
      </c>
      <c r="L29" s="544">
        <f>IFERROR(IF(INDEX('Final Calculation Sheet'!$Y$4:$Y$40,$S14-3)="","",INDEX('Final Calculation Sheet'!$Y$4:$Y$40,$S14-3)),"")</f>
        <v/>
      </c>
      <c r="M29" s="679">
        <f>IFERROR(IF(INDEX('Final Calculation Sheet'!$Y$4:$Y$40,$S15-3)="","",INDEX('Final Calculation Sheet'!$Y$4:$Y$40,$S15-3)),"")</f>
        <v/>
      </c>
      <c r="N29" s="544">
        <f>IFERROR(IF(INDEX('Final Calculation Sheet'!$Y$4:$Y$40,$S16-3)="","",INDEX('Final Calculation Sheet'!$Y$4:$Y$40,$S16-3)),"")</f>
        <v/>
      </c>
      <c r="O29" s="750" t="inlineStr">
        <is>
          <t>–</t>
        </is>
      </c>
      <c r="Q29">
        <f>IF('Final Calculation Sheet'!$G29=$B$3,COUNTIF('Final Calculation Sheet'!$G$4:$G29,$B$3),"")</f>
        <v/>
      </c>
    </row>
    <row r="30" ht="15" customHeight="1">
      <c r="A30" s="678" t="inlineStr">
        <is>
          <t>LPP Expected</t>
        </is>
      </c>
      <c r="B30" s="544">
        <f>IFERROR(IF(INDEX('Final Calculation Sheet'!$Z$4:$Z$40,$S4-3)="","",INDEX('Final Calculation Sheet'!$Z$4:$Z$40,$S4-3)),"")</f>
        <v/>
      </c>
      <c r="C30" s="679">
        <f>IFERROR(IF(INDEX('Final Calculation Sheet'!$Z$4:$Z$40,$S5-3)="","",INDEX('Final Calculation Sheet'!$Z$4:$Z$40,$S5-3)),"")</f>
        <v/>
      </c>
      <c r="D30" s="544">
        <f>IFERROR(IF(INDEX('Final Calculation Sheet'!$Z$4:$Z$40,$S6-3)="","",INDEX('Final Calculation Sheet'!$Z$4:$Z$40,$S6-3)),"")</f>
        <v/>
      </c>
      <c r="E30" s="679">
        <f>IFERROR(IF(INDEX('Final Calculation Sheet'!$Z$4:$Z$40,$S7-3)="","",INDEX('Final Calculation Sheet'!$Z$4:$Z$40,$S7-3)),"")</f>
        <v/>
      </c>
      <c r="F30" s="544">
        <f>IFERROR(IF(INDEX('Final Calculation Sheet'!$Z$4:$Z$40,$S8-3)="","",INDEX('Final Calculation Sheet'!$Z$4:$Z$40,$S8-3)),"")</f>
        <v/>
      </c>
      <c r="G30" s="679">
        <f>IFERROR(IF(INDEX('Final Calculation Sheet'!$Z$4:$Z$40,$S9-3)="","",INDEX('Final Calculation Sheet'!$Z$4:$Z$40,$S9-3)),"")</f>
        <v/>
      </c>
      <c r="H30" s="544">
        <f>IFERROR(IF(INDEX('Final Calculation Sheet'!$Z$4:$Z$40,$S10-3)="","",INDEX('Final Calculation Sheet'!$Z$4:$Z$40,$S10-3)),"")</f>
        <v/>
      </c>
      <c r="I30" s="679">
        <f>IFERROR(IF(INDEX('Final Calculation Sheet'!$Z$4:$Z$40,$S11-3)="","",INDEX('Final Calculation Sheet'!$Z$4:$Z$40,$S11-3)),"")</f>
        <v/>
      </c>
      <c r="J30" s="544">
        <f>IFERROR(IF(INDEX('Final Calculation Sheet'!$Z$4:$Z$40,$S12-3)="","",INDEX('Final Calculation Sheet'!$Z$4:$Z$40,$S12-3)),"")</f>
        <v/>
      </c>
      <c r="K30" s="679">
        <f>IFERROR(IF(INDEX('Final Calculation Sheet'!$Z$4:$Z$40,$S13-3)="","",INDEX('Final Calculation Sheet'!$Z$4:$Z$40,$S13-3)),"")</f>
        <v/>
      </c>
      <c r="L30" s="544">
        <f>IFERROR(IF(INDEX('Final Calculation Sheet'!$Z$4:$Z$40,$S14-3)="","",INDEX('Final Calculation Sheet'!$Z$4:$Z$40,$S14-3)),"")</f>
        <v/>
      </c>
      <c r="M30" s="679">
        <f>IFERROR(IF(INDEX('Final Calculation Sheet'!$Z$4:$Z$40,$S15-3)="","",INDEX('Final Calculation Sheet'!$Z$4:$Z$40,$S15-3)),"")</f>
        <v/>
      </c>
      <c r="N30" s="544">
        <f>IFERROR(IF(INDEX('Final Calculation Sheet'!$Z$4:$Z$40,$S16-3)="","",INDEX('Final Calculation Sheet'!$Z$4:$Z$40,$S16-3)),"")</f>
        <v/>
      </c>
      <c r="O30" s="680">
        <f>IF(COUNT(B30:N30)=0,"",SUM(B30:N30))</f>
        <v/>
      </c>
      <c r="Q30">
        <f>IF('Final Calculation Sheet'!$G30=$B$3,COUNTIF('Final Calculation Sheet'!$G$4:$G30,$B$3),"")</f>
        <v/>
      </c>
    </row>
    <row r="31" ht="15" customHeight="1">
      <c r="A31" s="675" t="inlineStr">
        <is>
          <t>LPP Received</t>
        </is>
      </c>
      <c r="B31" s="544">
        <f>IFERROR(IF(INDEX('Final Calculation Sheet'!$AA$4:$AA$40,$S4-3)="","",INDEX('Final Calculation Sheet'!$AA$4:$AA$40,$S4-3)),"")</f>
        <v/>
      </c>
      <c r="C31" s="679">
        <f>IFERROR(IF(INDEX('Final Calculation Sheet'!$AA$4:$AA$40,$S5-3)="","",INDEX('Final Calculation Sheet'!$AA$4:$AA$40,$S5-3)),"")</f>
        <v/>
      </c>
      <c r="D31" s="544">
        <f>IFERROR(IF(INDEX('Final Calculation Sheet'!$AA$4:$AA$40,$S6-3)="","",INDEX('Final Calculation Sheet'!$AA$4:$AA$40,$S6-3)),"")</f>
        <v/>
      </c>
      <c r="E31" s="679">
        <f>IFERROR(IF(INDEX('Final Calculation Sheet'!$AA$4:$AA$40,$S7-3)="","",INDEX('Final Calculation Sheet'!$AA$4:$AA$40,$S7-3)),"")</f>
        <v/>
      </c>
      <c r="F31" s="544">
        <f>IFERROR(IF(INDEX('Final Calculation Sheet'!$AA$4:$AA$40,$S8-3)="","",INDEX('Final Calculation Sheet'!$AA$4:$AA$40,$S8-3)),"")</f>
        <v/>
      </c>
      <c r="G31" s="679">
        <f>IFERROR(IF(INDEX('Final Calculation Sheet'!$AA$4:$AA$40,$S9-3)="","",INDEX('Final Calculation Sheet'!$AA$4:$AA$40,$S9-3)),"")</f>
        <v/>
      </c>
      <c r="H31" s="544">
        <f>IFERROR(IF(INDEX('Final Calculation Sheet'!$AA$4:$AA$40,$S10-3)="","",INDEX('Final Calculation Sheet'!$AA$4:$AA$40,$S10-3)),"")</f>
        <v/>
      </c>
      <c r="I31" s="679">
        <f>IFERROR(IF(INDEX('Final Calculation Sheet'!$AA$4:$AA$40,$S11-3)="","",INDEX('Final Calculation Sheet'!$AA$4:$AA$40,$S11-3)),"")</f>
        <v/>
      </c>
      <c r="J31" s="544">
        <f>IFERROR(IF(INDEX('Final Calculation Sheet'!$AA$4:$AA$40,$S12-3)="","",INDEX('Final Calculation Sheet'!$AA$4:$AA$40,$S12-3)),"")</f>
        <v/>
      </c>
      <c r="K31" s="679">
        <f>IFERROR(IF(INDEX('Final Calculation Sheet'!$AA$4:$AA$40,$S13-3)="","",INDEX('Final Calculation Sheet'!$AA$4:$AA$40,$S13-3)),"")</f>
        <v/>
      </c>
      <c r="L31" s="544">
        <f>IFERROR(IF(INDEX('Final Calculation Sheet'!$AA$4:$AA$40,$S14-3)="","",INDEX('Final Calculation Sheet'!$AA$4:$AA$40,$S14-3)),"")</f>
        <v/>
      </c>
      <c r="M31" s="679">
        <f>IFERROR(IF(INDEX('Final Calculation Sheet'!$AA$4:$AA$40,$S15-3)="","",INDEX('Final Calculation Sheet'!$AA$4:$AA$40,$S15-3)),"")</f>
        <v/>
      </c>
      <c r="N31" s="544">
        <f>IFERROR(IF(INDEX('Final Calculation Sheet'!$AA$4:$AA$40,$S16-3)="","",INDEX('Final Calculation Sheet'!$AA$4:$AA$40,$S16-3)),"")</f>
        <v/>
      </c>
      <c r="O31" s="680">
        <f>IF(COUNT(B31:N31)=0,"",SUM(B31:N31))</f>
        <v/>
      </c>
      <c r="Q31">
        <f>IF('Final Calculation Sheet'!$G31=$B$3,COUNTIF('Final Calculation Sheet'!$G$4:$G31,$B$3),"")</f>
        <v/>
      </c>
    </row>
    <row r="32" ht="15" customHeight="1">
      <c r="A32" s="678" t="inlineStr">
        <is>
          <t>Date of Recepit of LPP</t>
        </is>
      </c>
      <c r="B32" s="544">
        <f>IFERROR(IF(INDEX('Final Calculation Sheet'!$AB$4:$AB$40,$S4-3)="","",INDEX('Final Calculation Sheet'!$AB$4:$AB$40,$S4-3)),"")</f>
        <v/>
      </c>
      <c r="C32" s="679">
        <f>IFERROR(IF(INDEX('Final Calculation Sheet'!$AB$4:$AB$40,$S5-3)="","",INDEX('Final Calculation Sheet'!$AB$4:$AB$40,$S5-3)),"")</f>
        <v/>
      </c>
      <c r="D32" s="544">
        <f>IFERROR(IF(INDEX('Final Calculation Sheet'!$AB$4:$AB$40,$S6-3)="","",INDEX('Final Calculation Sheet'!$AB$4:$AB$40,$S6-3)),"")</f>
        <v/>
      </c>
      <c r="E32" s="679">
        <f>IFERROR(IF(INDEX('Final Calculation Sheet'!$AB$4:$AB$40,$S7-3)="","",INDEX('Final Calculation Sheet'!$AB$4:$AB$40,$S7-3)),"")</f>
        <v/>
      </c>
      <c r="F32" s="544">
        <f>IFERROR(IF(INDEX('Final Calculation Sheet'!$AB$4:$AB$40,$S8-3)="","",INDEX('Final Calculation Sheet'!$AB$4:$AB$40,$S8-3)),"")</f>
        <v/>
      </c>
      <c r="G32" s="679">
        <f>IFERROR(IF(INDEX('Final Calculation Sheet'!$AB$4:$AB$40,$S9-3)="","",INDEX('Final Calculation Sheet'!$AB$4:$AB$40,$S9-3)),"")</f>
        <v/>
      </c>
      <c r="H32" s="544">
        <f>IFERROR(IF(INDEX('Final Calculation Sheet'!$AB$4:$AB$40,$S10-3)="","",INDEX('Final Calculation Sheet'!$AB$4:$AB$40,$S10-3)),"")</f>
        <v/>
      </c>
      <c r="I32" s="679">
        <f>IFERROR(IF(INDEX('Final Calculation Sheet'!$AB$4:$AB$40,$S11-3)="","",INDEX('Final Calculation Sheet'!$AB$4:$AB$40,$S11-3)),"")</f>
        <v/>
      </c>
      <c r="J32" s="544">
        <f>IFERROR(IF(INDEX('Final Calculation Sheet'!$AB$4:$AB$40,$S12-3)="","",INDEX('Final Calculation Sheet'!$AB$4:$AB$40,$S12-3)),"")</f>
        <v/>
      </c>
      <c r="K32" s="679">
        <f>IFERROR(IF(INDEX('Final Calculation Sheet'!$AB$4:$AB$40,$S13-3)="","",INDEX('Final Calculation Sheet'!$AB$4:$AB$40,$S13-3)),"")</f>
        <v/>
      </c>
      <c r="L32" s="544">
        <f>IFERROR(IF(INDEX('Final Calculation Sheet'!$AB$4:$AB$40,$S14-3)="","",INDEX('Final Calculation Sheet'!$AB$4:$AB$40,$S14-3)),"")</f>
        <v/>
      </c>
      <c r="M32" s="679">
        <f>IFERROR(IF(INDEX('Final Calculation Sheet'!$AB$4:$AB$40,$S15-3)="","",INDEX('Final Calculation Sheet'!$AB$4:$AB$40,$S15-3)),"")</f>
        <v/>
      </c>
      <c r="N32" s="544">
        <f>IFERROR(IF(INDEX('Final Calculation Sheet'!$AB$4:$AB$40,$S16-3)="","",INDEX('Final Calculation Sheet'!$AB$4:$AB$40,$S16-3)),"")</f>
        <v/>
      </c>
      <c r="O32" s="750" t="inlineStr">
        <is>
          <t>–</t>
        </is>
      </c>
      <c r="Q32">
        <f>IF('Final Calculation Sheet'!$G32=$B$3,COUNTIF('Final Calculation Sheet'!$G$4:$G32,$B$3),"")</f>
        <v/>
      </c>
    </row>
    <row r="33" ht="15" customHeight="1">
      <c r="A33" s="675" t="inlineStr">
        <is>
          <t>Total Received</t>
        </is>
      </c>
      <c r="B33" s="544">
        <f>IFERROR(IF(INDEX('Final Calculation Sheet'!$AC$4:$AC$40,$S4-3)="","",INDEX('Final Calculation Sheet'!$AC$4:$AC$40,$S4-3)),"")</f>
        <v/>
      </c>
      <c r="C33" s="679">
        <f>IFERROR(IF(INDEX('Final Calculation Sheet'!$AC$4:$AC$40,$S5-3)="","",INDEX('Final Calculation Sheet'!$AC$4:$AC$40,$S5-3)),"")</f>
        <v/>
      </c>
      <c r="D33" s="544">
        <f>IFERROR(IF(INDEX('Final Calculation Sheet'!$AC$4:$AC$40,$S6-3)="","",INDEX('Final Calculation Sheet'!$AC$4:$AC$40,$S6-3)),"")</f>
        <v/>
      </c>
      <c r="E33" s="679">
        <f>IFERROR(IF(INDEX('Final Calculation Sheet'!$AC$4:$AC$40,$S7-3)="","",INDEX('Final Calculation Sheet'!$AC$4:$AC$40,$S7-3)),"")</f>
        <v/>
      </c>
      <c r="F33" s="544">
        <f>IFERROR(IF(INDEX('Final Calculation Sheet'!$AC$4:$AC$40,$S8-3)="","",INDEX('Final Calculation Sheet'!$AC$4:$AC$40,$S8-3)),"")</f>
        <v/>
      </c>
      <c r="G33" s="679">
        <f>IFERROR(IF(INDEX('Final Calculation Sheet'!$AC$4:$AC$40,$S9-3)="","",INDEX('Final Calculation Sheet'!$AC$4:$AC$40,$S9-3)),"")</f>
        <v/>
      </c>
      <c r="H33" s="544">
        <f>IFERROR(IF(INDEX('Final Calculation Sheet'!$AC$4:$AC$40,$S10-3)="","",INDEX('Final Calculation Sheet'!$AC$4:$AC$40,$S10-3)),"")</f>
        <v/>
      </c>
      <c r="I33" s="679">
        <f>IFERROR(IF(INDEX('Final Calculation Sheet'!$AC$4:$AC$40,$S11-3)="","",INDEX('Final Calculation Sheet'!$AC$4:$AC$40,$S11-3)),"")</f>
        <v/>
      </c>
      <c r="J33" s="544">
        <f>IFERROR(IF(INDEX('Final Calculation Sheet'!$AC$4:$AC$40,$S12-3)="","",INDEX('Final Calculation Sheet'!$AC$4:$AC$40,$S12-3)),"")</f>
        <v/>
      </c>
      <c r="K33" s="679">
        <f>IFERROR(IF(INDEX('Final Calculation Sheet'!$AC$4:$AC$40,$S13-3)="","",INDEX('Final Calculation Sheet'!$AC$4:$AC$40,$S13-3)),"")</f>
        <v/>
      </c>
      <c r="L33" s="544">
        <f>IFERROR(IF(INDEX('Final Calculation Sheet'!$AC$4:$AC$40,$S14-3)="","",INDEX('Final Calculation Sheet'!$AC$4:$AC$40,$S14-3)),"")</f>
        <v/>
      </c>
      <c r="M33" s="679">
        <f>IFERROR(IF(INDEX('Final Calculation Sheet'!$AC$4:$AC$40,$S15-3)="","",INDEX('Final Calculation Sheet'!$AC$4:$AC$40,$S15-3)),"")</f>
        <v/>
      </c>
      <c r="N33" s="544">
        <f>IFERROR(IF(INDEX('Final Calculation Sheet'!$AC$4:$AC$40,$S16-3)="","",INDEX('Final Calculation Sheet'!$AC$4:$AC$40,$S16-3)),"")</f>
        <v/>
      </c>
      <c r="O33" s="680">
        <f>IF(COUNT(B33:N33)=0,"",SUM(B33:N33))</f>
        <v/>
      </c>
      <c r="Q33">
        <f>IF('Final Calculation Sheet'!$G33=$B$3,COUNTIF('Final Calculation Sheet'!$G$4:$G33,$B$3),"")</f>
        <v/>
      </c>
    </row>
    <row r="34" ht="15" customHeight="1">
      <c r="A34" s="678" t="inlineStr">
        <is>
          <t>Outstanding</t>
        </is>
      </c>
      <c r="B34" s="544">
        <f>IFERROR(IF(INDEX('Final Calculation Sheet'!$AD$4:$AD$40,$S4-3)="","",INDEX('Final Calculation Sheet'!$AD$4:$AD$40,$S4-3)),"")</f>
        <v/>
      </c>
      <c r="C34" s="679">
        <f>IFERROR(IF(INDEX('Final Calculation Sheet'!$AD$4:$AD$40,$S5-3)="","",INDEX('Final Calculation Sheet'!$AD$4:$AD$40,$S5-3)),"")</f>
        <v/>
      </c>
      <c r="D34" s="544">
        <f>IFERROR(IF(INDEX('Final Calculation Sheet'!$AD$4:$AD$40,$S6-3)="","",INDEX('Final Calculation Sheet'!$AD$4:$AD$40,$S6-3)),"")</f>
        <v/>
      </c>
      <c r="E34" s="679">
        <f>IFERROR(IF(INDEX('Final Calculation Sheet'!$AD$4:$AD$40,$S7-3)="","",INDEX('Final Calculation Sheet'!$AD$4:$AD$40,$S7-3)),"")</f>
        <v/>
      </c>
      <c r="F34" s="544">
        <f>IFERROR(IF(INDEX('Final Calculation Sheet'!$AD$4:$AD$40,$S8-3)="","",INDEX('Final Calculation Sheet'!$AD$4:$AD$40,$S8-3)),"")</f>
        <v/>
      </c>
      <c r="G34" s="679">
        <f>IFERROR(IF(INDEX('Final Calculation Sheet'!$AD$4:$AD$40,$S9-3)="","",INDEX('Final Calculation Sheet'!$AD$4:$AD$40,$S9-3)),"")</f>
        <v/>
      </c>
      <c r="H34" s="544">
        <f>IFERROR(IF(INDEX('Final Calculation Sheet'!$AD$4:$AD$40,$S10-3)="","",INDEX('Final Calculation Sheet'!$AD$4:$AD$40,$S10-3)),"")</f>
        <v/>
      </c>
      <c r="I34" s="679">
        <f>IFERROR(IF(INDEX('Final Calculation Sheet'!$AD$4:$AD$40,$S11-3)="","",INDEX('Final Calculation Sheet'!$AD$4:$AD$40,$S11-3)),"")</f>
        <v/>
      </c>
      <c r="J34" s="544">
        <f>IFERROR(IF(INDEX('Final Calculation Sheet'!$AD$4:$AD$40,$S12-3)="","",INDEX('Final Calculation Sheet'!$AD$4:$AD$40,$S12-3)),"")</f>
        <v/>
      </c>
      <c r="K34" s="679">
        <f>IFERROR(IF(INDEX('Final Calculation Sheet'!$AD$4:$AD$40,$S13-3)="","",INDEX('Final Calculation Sheet'!$AD$4:$AD$40,$S13-3)),"")</f>
        <v/>
      </c>
      <c r="L34" s="544">
        <f>IFERROR(IF(INDEX('Final Calculation Sheet'!$AD$4:$AD$40,$S14-3)="","",INDEX('Final Calculation Sheet'!$AD$4:$AD$40,$S14-3)),"")</f>
        <v/>
      </c>
      <c r="M34" s="679">
        <f>IFERROR(IF(INDEX('Final Calculation Sheet'!$AD$4:$AD$40,$S15-3)="","",INDEX('Final Calculation Sheet'!$AD$4:$AD$40,$S15-3)),"")</f>
        <v/>
      </c>
      <c r="N34" s="544">
        <f>IFERROR(IF(INDEX('Final Calculation Sheet'!$AD$4:$AD$40,$S16-3)="","",INDEX('Final Calculation Sheet'!$AD$4:$AD$40,$S16-3)),"")</f>
        <v/>
      </c>
      <c r="O34" s="680">
        <f>IF(COUNT(B34:N34)=0,"",SUM(B34:N34))</f>
        <v/>
      </c>
      <c r="Q34">
        <f>IF('Final Calculation Sheet'!$G34=$B$3,COUNTIF('Final Calculation Sheet'!$G$4:$G34,$B$3),"")</f>
        <v/>
      </c>
    </row>
    <row r="35" ht="15" customHeight="1">
      <c r="A35" s="675" t="inlineStr">
        <is>
          <t>Invoice No.</t>
        </is>
      </c>
      <c r="B35" s="544">
        <f>IFERROR(IF(INDEX('Final Calculation Sheet'!$AE$4:$AE$40,$S4-3)="","",INDEX('Final Calculation Sheet'!$AE$4:$AE$40,$S4-3)),"")</f>
        <v/>
      </c>
      <c r="C35" s="679">
        <f>IFERROR(IF(INDEX('Final Calculation Sheet'!$AE$4:$AE$40,$S5-3)="","",INDEX('Final Calculation Sheet'!$AE$4:$AE$40,$S5-3)),"")</f>
        <v/>
      </c>
      <c r="D35" s="544">
        <f>IFERROR(IF(INDEX('Final Calculation Sheet'!$AE$4:$AE$40,$S6-3)="","",INDEX('Final Calculation Sheet'!$AE$4:$AE$40,$S6-3)),"")</f>
        <v/>
      </c>
      <c r="E35" s="679">
        <f>IFERROR(IF(INDEX('Final Calculation Sheet'!$AE$4:$AE$40,$S7-3)="","",INDEX('Final Calculation Sheet'!$AE$4:$AE$40,$S7-3)),"")</f>
        <v/>
      </c>
      <c r="F35" s="544">
        <f>IFERROR(IF(INDEX('Final Calculation Sheet'!$AE$4:$AE$40,$S8-3)="","",INDEX('Final Calculation Sheet'!$AE$4:$AE$40,$S8-3)),"")</f>
        <v/>
      </c>
      <c r="G35" s="679">
        <f>IFERROR(IF(INDEX('Final Calculation Sheet'!$AE$4:$AE$40,$S9-3)="","",INDEX('Final Calculation Sheet'!$AE$4:$AE$40,$S9-3)),"")</f>
        <v/>
      </c>
      <c r="H35" s="544">
        <f>IFERROR(IF(INDEX('Final Calculation Sheet'!$AE$4:$AE$40,$S10-3)="","",INDEX('Final Calculation Sheet'!$AE$4:$AE$40,$S10-3)),"")</f>
        <v/>
      </c>
      <c r="I35" s="679">
        <f>IFERROR(IF(INDEX('Final Calculation Sheet'!$AE$4:$AE$40,$S11-3)="","",INDEX('Final Calculation Sheet'!$AE$4:$AE$40,$S11-3)),"")</f>
        <v/>
      </c>
      <c r="J35" s="544">
        <f>IFERROR(IF(INDEX('Final Calculation Sheet'!$AE$4:$AE$40,$S12-3)="","",INDEX('Final Calculation Sheet'!$AE$4:$AE$40,$S12-3)),"")</f>
        <v/>
      </c>
      <c r="K35" s="679">
        <f>IFERROR(IF(INDEX('Final Calculation Sheet'!$AE$4:$AE$40,$S13-3)="","",INDEX('Final Calculation Sheet'!$AE$4:$AE$40,$S13-3)),"")</f>
        <v/>
      </c>
      <c r="L35" s="544">
        <f>IFERROR(IF(INDEX('Final Calculation Sheet'!$AE$4:$AE$40,$S14-3)="","",INDEX('Final Calculation Sheet'!$AE$4:$AE$40,$S14-3)),"")</f>
        <v/>
      </c>
      <c r="M35" s="679">
        <f>IFERROR(IF(INDEX('Final Calculation Sheet'!$AE$4:$AE$40,$S15-3)="","",INDEX('Final Calculation Sheet'!$AE$4:$AE$40,$S15-3)),"")</f>
        <v/>
      </c>
      <c r="N35" s="544">
        <f>IFERROR(IF(INDEX('Final Calculation Sheet'!$AE$4:$AE$40,$S16-3)="","",INDEX('Final Calculation Sheet'!$AE$4:$AE$40,$S16-3)),"")</f>
        <v/>
      </c>
      <c r="O35" s="750" t="inlineStr">
        <is>
          <t>–</t>
        </is>
      </c>
      <c r="Q35">
        <f>IF('Final Calculation Sheet'!$G35=$B$3,COUNTIF('Final Calculation Sheet'!$G$4:$G35,$B$3),"")</f>
        <v/>
      </c>
    </row>
    <row r="36" ht="15" customHeight="1">
      <c r="A36" s="678" t="inlineStr">
        <is>
          <t>SAP Document</t>
        </is>
      </c>
      <c r="B36" s="555">
        <f>IFERROR(IF(INDEX('Final Calculation Sheet'!$AF$4:$AF$40,$S4-3)="","",INDEX('Final Calculation Sheet'!$AF$4:$AF$40,$S4-3)),"")</f>
        <v/>
      </c>
      <c r="C36" s="687">
        <f>IFERROR(IF(INDEX('Final Calculation Sheet'!$AF$4:$AF$40,$S5-3)="","",INDEX('Final Calculation Sheet'!$AF$4:$AF$40,$S5-3)),"")</f>
        <v/>
      </c>
      <c r="D36" s="555">
        <f>IFERROR(IF(INDEX('Final Calculation Sheet'!$AF$4:$AF$40,$S6-3)="","",INDEX('Final Calculation Sheet'!$AF$4:$AF$40,$S6-3)),"")</f>
        <v/>
      </c>
      <c r="E36" s="687">
        <f>IFERROR(IF(INDEX('Final Calculation Sheet'!$AF$4:$AF$40,$S7-3)="","",INDEX('Final Calculation Sheet'!$AF$4:$AF$40,$S7-3)),"")</f>
        <v/>
      </c>
      <c r="F36" s="555">
        <f>IFERROR(IF(INDEX('Final Calculation Sheet'!$AF$4:$AF$40,$S8-3)="","",INDEX('Final Calculation Sheet'!$AF$4:$AF$40,$S8-3)),"")</f>
        <v/>
      </c>
      <c r="G36" s="687">
        <f>IFERROR(IF(INDEX('Final Calculation Sheet'!$AF$4:$AF$40,$S9-3)="","",INDEX('Final Calculation Sheet'!$AF$4:$AF$40,$S9-3)),"")</f>
        <v/>
      </c>
      <c r="H36" s="555">
        <f>IFERROR(IF(INDEX('Final Calculation Sheet'!$AF$4:$AF$40,$S10-3)="","",INDEX('Final Calculation Sheet'!$AF$4:$AF$40,$S10-3)),"")</f>
        <v/>
      </c>
      <c r="I36" s="687">
        <f>IFERROR(IF(INDEX('Final Calculation Sheet'!$AF$4:$AF$40,$S11-3)="","",INDEX('Final Calculation Sheet'!$AF$4:$AF$40,$S11-3)),"")</f>
        <v/>
      </c>
      <c r="J36" s="555">
        <f>IFERROR(IF(INDEX('Final Calculation Sheet'!$AF$4:$AF$40,$S12-3)="","",INDEX('Final Calculation Sheet'!$AF$4:$AF$40,$S12-3)),"")</f>
        <v/>
      </c>
      <c r="K36" s="687">
        <f>IFERROR(IF(INDEX('Final Calculation Sheet'!$AF$4:$AF$40,$S13-3)="","",INDEX('Final Calculation Sheet'!$AF$4:$AF$40,$S13-3)),"")</f>
        <v/>
      </c>
      <c r="L36" s="555">
        <f>IFERROR(IF(INDEX('Final Calculation Sheet'!$AF$4:$AF$40,$S14-3)="","",INDEX('Final Calculation Sheet'!$AF$4:$AF$40,$S14-3)),"")</f>
        <v/>
      </c>
      <c r="M36" s="687">
        <f>IFERROR(IF(INDEX('Final Calculation Sheet'!$AF$4:$AF$40,$S15-3)="","",INDEX('Final Calculation Sheet'!$AF$4:$AF$40,$S15-3)),"")</f>
        <v/>
      </c>
      <c r="N36" s="555">
        <f>IFERROR(IF(INDEX('Final Calculation Sheet'!$AF$4:$AF$40,$S16-3)="","",INDEX('Final Calculation Sheet'!$AF$4:$AF$40,$S16-3)),"")</f>
        <v/>
      </c>
      <c r="O36" s="750" t="inlineStr">
        <is>
          <t>–</t>
        </is>
      </c>
      <c r="Q36">
        <f>IF('Final Calculation Sheet'!$G36=$B$3,COUNTIF('Final Calculation Sheet'!$G$4:$G36,$B$3),"")</f>
        <v/>
      </c>
    </row>
    <row r="37" ht="15" customHeight="1">
      <c r="A37" s="675" t="inlineStr">
        <is>
          <t>Doc./Invoice Date</t>
        </is>
      </c>
      <c r="B37" s="544">
        <f>IFERROR(IF(INDEX('Final Calculation Sheet'!$AG$4:$AG$40,$S4-3)="","",INDEX('Final Calculation Sheet'!$AG$4:$AG$40,$S4-3)),"")</f>
        <v/>
      </c>
      <c r="C37" s="679">
        <f>IFERROR(IF(INDEX('Final Calculation Sheet'!$AG$4:$AG$40,$S5-3)="","",INDEX('Final Calculation Sheet'!$AG$4:$AG$40,$S5-3)),"")</f>
        <v/>
      </c>
      <c r="D37" s="544">
        <f>IFERROR(IF(INDEX('Final Calculation Sheet'!$AG$4:$AG$40,$S6-3)="","",INDEX('Final Calculation Sheet'!$AG$4:$AG$40,$S6-3)),"")</f>
        <v/>
      </c>
      <c r="E37" s="679">
        <f>IFERROR(IF(INDEX('Final Calculation Sheet'!$AG$4:$AG$40,$S7-3)="","",INDEX('Final Calculation Sheet'!$AG$4:$AG$40,$S7-3)),"")</f>
        <v/>
      </c>
      <c r="F37" s="544">
        <f>IFERROR(IF(INDEX('Final Calculation Sheet'!$AG$4:$AG$40,$S8-3)="","",INDEX('Final Calculation Sheet'!$AG$4:$AG$40,$S8-3)),"")</f>
        <v/>
      </c>
      <c r="G37" s="679">
        <f>IFERROR(IF(INDEX('Final Calculation Sheet'!$AG$4:$AG$40,$S9-3)="","",INDEX('Final Calculation Sheet'!$AG$4:$AG$40,$S9-3)),"")</f>
        <v/>
      </c>
      <c r="H37" s="544">
        <f>IFERROR(IF(INDEX('Final Calculation Sheet'!$AG$4:$AG$40,$S10-3)="","",INDEX('Final Calculation Sheet'!$AG$4:$AG$40,$S10-3)),"")</f>
        <v/>
      </c>
      <c r="I37" s="679">
        <f>IFERROR(IF(INDEX('Final Calculation Sheet'!$AG$4:$AG$40,$S11-3)="","",INDEX('Final Calculation Sheet'!$AG$4:$AG$40,$S11-3)),"")</f>
        <v/>
      </c>
      <c r="J37" s="544">
        <f>IFERROR(IF(INDEX('Final Calculation Sheet'!$AG$4:$AG$40,$S12-3)="","",INDEX('Final Calculation Sheet'!$AG$4:$AG$40,$S12-3)),"")</f>
        <v/>
      </c>
      <c r="K37" s="679">
        <f>IFERROR(IF(INDEX('Final Calculation Sheet'!$AG$4:$AG$40,$S13-3)="","",INDEX('Final Calculation Sheet'!$AG$4:$AG$40,$S13-3)),"")</f>
        <v/>
      </c>
      <c r="L37" s="544">
        <f>IFERROR(IF(INDEX('Final Calculation Sheet'!$AG$4:$AG$40,$S14-3)="","",INDEX('Final Calculation Sheet'!$AG$4:$AG$40,$S14-3)),"")</f>
        <v/>
      </c>
      <c r="M37" s="679">
        <f>IFERROR(IF(INDEX('Final Calculation Sheet'!$AG$4:$AG$40,$S15-3)="","",INDEX('Final Calculation Sheet'!$AG$4:$AG$40,$S15-3)),"")</f>
        <v/>
      </c>
      <c r="N37" s="544">
        <f>IFERROR(IF(INDEX('Final Calculation Sheet'!$AG$4:$AG$40,$S16-3)="","",INDEX('Final Calculation Sheet'!$AG$4:$AG$40,$S16-3)),"")</f>
        <v/>
      </c>
      <c r="O37" s="750" t="inlineStr">
        <is>
          <t>–</t>
        </is>
      </c>
      <c r="Q37">
        <f>IF('Final Calculation Sheet'!$G37=$B$3,COUNTIF('Final Calculation Sheet'!$G$4:$G37,$B$3),"")</f>
        <v/>
      </c>
    </row>
    <row r="38">
      <c r="Q38">
        <f>IF('Final Calculation Sheet'!$G38=$B$3,COUNTIF('Final Calculation Sheet'!$G$4:$G38,$B$3),"")</f>
        <v/>
      </c>
    </row>
    <row r="39">
      <c r="Q39">
        <f>IF('Final Calculation Sheet'!$G39=$B$3,COUNTIF('Final Calculation Sheet'!$G$4:$G39,$B$3),"")</f>
        <v/>
      </c>
    </row>
    <row r="40">
      <c r="Q40">
        <f>IF('Final Calculation Sheet'!$G40=$B$3,COUNTIF('Final Calculation Sheet'!$G$4:$G40,$B$3),"")</f>
        <v/>
      </c>
    </row>
  </sheetData>
  <autoFilter ref="A4:A37"/>
  <mergeCells count="4">
    <mergeCell ref="A1:O1"/>
    <mergeCell ref="E3:O3"/>
    <mergeCell ref="B3:D3"/>
    <mergeCell ref="A2:O2"/>
  </mergeCells>
  <conditionalFormatting sqref="B34:N34">
    <cfRule type="cellIs" priority="1" operator="greaterThan" dxfId="22">
      <formula>0</formula>
    </cfRule>
    <cfRule type="cellIs" priority="2" operator="lessThanOrEqual" dxfId="4">
      <formula>0</formula>
    </cfRule>
  </conditionalFormatting>
  <dataValidations count="1">
    <dataValidation sqref="B3" showDropDown="0" showInputMessage="0" showErrorMessage="0" allowBlank="0" promptTitle="Buyer" prompt="Pick a buyer" type="list">
      <formula1>$U$4:$U$16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BA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7" customWidth="1" min="39" max="39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</cols>
  <sheetData>
    <row r="1" ht="30" customHeight="1">
      <c r="A1" s="658" t="inlineStr">
        <is>
          <t>MSTC LIMITED  •  TRANSPOSED, FILTERED BY A ROW'S VALUES   (pick a row, a test and a value → only the matching lots show)</t>
        </is>
      </c>
      <c r="AO1" s="596" t="n"/>
      <c r="AQ1" s="596" t="n"/>
      <c r="AS1" s="596" t="n"/>
      <c r="AU1" s="596" t="inlineStr">
        <is>
          <t>source column of the chosen row</t>
        </is>
      </c>
    </row>
    <row r="2" ht="56" customHeight="1">
      <c r="A2" s="659" t="inlineStr">
        <is>
          <t>HOW TO USE  ▶  an Excel filter arrow can only hide ROWS, so on this grid (lots across the columns) it cannot drop the lots that fail a test.  These four cells do it instead:  1 pick a buyer (or ALL),  2 pick the ROW whose values you want to test - Outstanding, Total Received, Buyer, Lot Name, anything -  3 pick the test,  4 type the value.  Only the lots that pass fill the columns, left to right; clear cell 2 back to '— no row filter —' to see them all.   •   the ▼ on the FIELD column still hides rows, and every figure is a live INDEX / MATCH into 'Final Calculation Sheet', so nothing here can drift from the source.   •   columns AO..BA are hidden helpers.</t>
        </is>
      </c>
      <c r="AU2">
        <f>IFERROR(MATCH($D$3,$AO$4:$AO$36,0),1)</f>
        <v/>
      </c>
    </row>
    <row r="3" ht="26" customHeight="1">
      <c r="A3" s="751" t="inlineStr">
        <is>
          <t>FILTER  ▸</t>
        </is>
      </c>
      <c r="B3" s="752" t="inlineStr">
        <is>
          <t>ALL BUYERS</t>
        </is>
      </c>
      <c r="C3" s="662" t="inlineStr">
        <is>
          <t>2  ▸  ROW (field)</t>
        </is>
      </c>
      <c r="D3" s="752" t="inlineStr">
        <is>
          <t>— no row filter —</t>
        </is>
      </c>
      <c r="E3" s="662" t="inlineStr">
        <is>
          <t>3  ▸  TEST</t>
        </is>
      </c>
      <c r="F3" s="752" t="inlineStr">
        <is>
          <t>=</t>
        </is>
      </c>
      <c r="G3" s="662" t="inlineStr">
        <is>
          <t>4  ▸  VALUE</t>
        </is>
      </c>
      <c r="H3" s="752" t="n">
        <v>0</v>
      </c>
      <c r="I3" s="665">
        <f>"showing "&amp;COUNT($B$4:$AM$4)&amp;" of "&amp;COUNT('Final Calculation Sheet'!$F$4:$F$40)&amp;" lots   •   buyer: "&amp;$B$3&amp;IF($D$3="— no row filter —","","   •   "&amp;$D$3&amp;" "&amp;$F$3&amp;IF(OR($F$3="is blank",$F$3="is not blank"),""," "&amp;$H$3))</f>
        <v/>
      </c>
      <c r="AO3" s="596" t="inlineStr">
        <is>
          <t>row (field) list for cell 2</t>
        </is>
      </c>
      <c r="AQ3" s="596" t="inlineStr">
        <is>
          <t>buyer list for cell 1</t>
        </is>
      </c>
      <c r="AS3" s="596" t="inlineStr">
        <is>
          <t>test list for cell 3</t>
        </is>
      </c>
      <c r="AU3" s="596" t="n"/>
      <c r="AW3" s="596" t="inlineStr">
        <is>
          <t>1 = this lot passes the filter</t>
        </is>
      </c>
      <c r="AY3" s="596" t="inlineStr">
        <is>
          <t>running count of the lots that pass</t>
        </is>
      </c>
      <c r="BA3" s="596" t="inlineStr">
        <is>
          <t>source row behind each lot column</t>
        </is>
      </c>
    </row>
    <row r="4" ht="30" customHeight="1">
      <c r="A4" s="669" t="inlineStr">
        <is>
          <t>FIELD (row 3 of the source)  ▸  |  MATCHING LOT →</t>
        </is>
      </c>
      <c r="B4" s="753">
        <f>IFERROR(INDEX('Final Calculation Sheet'!$F$4:$F$40,$BA4-3),"")</f>
        <v/>
      </c>
      <c r="C4" s="753">
        <f>IFERROR(INDEX('Final Calculation Sheet'!$F$4:$F$40,$BA5-3),"")</f>
        <v/>
      </c>
      <c r="D4" s="753">
        <f>IFERROR(INDEX('Final Calculation Sheet'!$F$4:$F$40,$BA6-3),"")</f>
        <v/>
      </c>
      <c r="E4" s="753">
        <f>IFERROR(INDEX('Final Calculation Sheet'!$F$4:$F$40,$BA7-3),"")</f>
        <v/>
      </c>
      <c r="F4" s="753">
        <f>IFERROR(INDEX('Final Calculation Sheet'!$F$4:$F$40,$BA8-3),"")</f>
        <v/>
      </c>
      <c r="G4" s="753">
        <f>IFERROR(INDEX('Final Calculation Sheet'!$F$4:$F$40,$BA9-3),"")</f>
        <v/>
      </c>
      <c r="H4" s="753">
        <f>IFERROR(INDEX('Final Calculation Sheet'!$F$4:$F$40,$BA10-3),"")</f>
        <v/>
      </c>
      <c r="I4" s="753">
        <f>IFERROR(INDEX('Final Calculation Sheet'!$F$4:$F$40,$BA11-3),"")</f>
        <v/>
      </c>
      <c r="J4" s="753">
        <f>IFERROR(INDEX('Final Calculation Sheet'!$F$4:$F$40,$BA12-3),"")</f>
        <v/>
      </c>
      <c r="K4" s="753">
        <f>IFERROR(INDEX('Final Calculation Sheet'!$F$4:$F$40,$BA13-3),"")</f>
        <v/>
      </c>
      <c r="L4" s="753">
        <f>IFERROR(INDEX('Final Calculation Sheet'!$F$4:$F$40,$BA14-3),"")</f>
        <v/>
      </c>
      <c r="M4" s="753">
        <f>IFERROR(INDEX('Final Calculation Sheet'!$F$4:$F$40,$BA15-3),"")</f>
        <v/>
      </c>
      <c r="N4" s="753">
        <f>IFERROR(INDEX('Final Calculation Sheet'!$F$4:$F$40,$BA16-3),"")</f>
        <v/>
      </c>
      <c r="O4" s="753">
        <f>IFERROR(INDEX('Final Calculation Sheet'!$F$4:$F$40,$BA17-3),"")</f>
        <v/>
      </c>
      <c r="P4" s="753">
        <f>IFERROR(INDEX('Final Calculation Sheet'!$F$4:$F$40,$BA18-3),"")</f>
        <v/>
      </c>
      <c r="Q4" s="753">
        <f>IFERROR(INDEX('Final Calculation Sheet'!$F$4:$F$40,$BA19-3),"")</f>
        <v/>
      </c>
      <c r="R4" s="753">
        <f>IFERROR(INDEX('Final Calculation Sheet'!$F$4:$F$40,$BA20-3),"")</f>
        <v/>
      </c>
      <c r="S4" s="753">
        <f>IFERROR(INDEX('Final Calculation Sheet'!$F$4:$F$40,$BA21-3),"")</f>
        <v/>
      </c>
      <c r="T4" s="753">
        <f>IFERROR(INDEX('Final Calculation Sheet'!$F$4:$F$40,$BA22-3),"")</f>
        <v/>
      </c>
      <c r="U4" s="753">
        <f>IFERROR(INDEX('Final Calculation Sheet'!$F$4:$F$40,$BA23-3),"")</f>
        <v/>
      </c>
      <c r="V4" s="753">
        <f>IFERROR(INDEX('Final Calculation Sheet'!$F$4:$F$40,$BA24-3),"")</f>
        <v/>
      </c>
      <c r="W4" s="753">
        <f>IFERROR(INDEX('Final Calculation Sheet'!$F$4:$F$40,$BA25-3),"")</f>
        <v/>
      </c>
      <c r="X4" s="753">
        <f>IFERROR(INDEX('Final Calculation Sheet'!$F$4:$F$40,$BA26-3),"")</f>
        <v/>
      </c>
      <c r="Y4" s="753">
        <f>IFERROR(INDEX('Final Calculation Sheet'!$F$4:$F$40,$BA27-3),"")</f>
        <v/>
      </c>
      <c r="Z4" s="753">
        <f>IFERROR(INDEX('Final Calculation Sheet'!$F$4:$F$40,$BA28-3),"")</f>
        <v/>
      </c>
      <c r="AA4" s="753">
        <f>IFERROR(INDEX('Final Calculation Sheet'!$F$4:$F$40,$BA29-3),"")</f>
        <v/>
      </c>
      <c r="AB4" s="753">
        <f>IFERROR(INDEX('Final Calculation Sheet'!$F$4:$F$40,$BA30-3),"")</f>
        <v/>
      </c>
      <c r="AC4" s="753">
        <f>IFERROR(INDEX('Final Calculation Sheet'!$F$4:$F$40,$BA31-3),"")</f>
        <v/>
      </c>
      <c r="AD4" s="753">
        <f>IFERROR(INDEX('Final Calculation Sheet'!$F$4:$F$40,$BA32-3),"")</f>
        <v/>
      </c>
      <c r="AE4" s="753">
        <f>IFERROR(INDEX('Final Calculation Sheet'!$F$4:$F$40,$BA33-3),"")</f>
        <v/>
      </c>
      <c r="AF4" s="753">
        <f>IFERROR(INDEX('Final Calculation Sheet'!$F$4:$F$40,$BA34-3),"")</f>
        <v/>
      </c>
      <c r="AG4" s="753">
        <f>IFERROR(INDEX('Final Calculation Sheet'!$F$4:$F$40,$BA35-3),"")</f>
        <v/>
      </c>
      <c r="AH4" s="753">
        <f>IFERROR(INDEX('Final Calculation Sheet'!$F$4:$F$40,$BA36-3),"")</f>
        <v/>
      </c>
      <c r="AI4" s="753">
        <f>IFERROR(INDEX('Final Calculation Sheet'!$F$4:$F$40,$BA37-3),"")</f>
        <v/>
      </c>
      <c r="AJ4" s="753">
        <f>IFERROR(INDEX('Final Calculation Sheet'!$F$4:$F$40,$BA38-3),"")</f>
        <v/>
      </c>
      <c r="AK4" s="753">
        <f>IFERROR(INDEX('Final Calculation Sheet'!$F$4:$F$40,$BA39-3),"")</f>
        <v/>
      </c>
      <c r="AL4" s="753">
        <f>IFERROR(INDEX('Final Calculation Sheet'!$F$4:$F$40,$BA40-3),"")</f>
        <v/>
      </c>
      <c r="AM4" s="674">
        <f>"TOTAL  (matching lots)"</f>
        <v/>
      </c>
      <c r="AO4" t="inlineStr">
        <is>
          <t>Quantity</t>
        </is>
      </c>
      <c r="AQ4" t="inlineStr">
        <is>
          <t>ALL BUYERS</t>
        </is>
      </c>
      <c r="AS4" t="inlineStr">
        <is>
          <t>=</t>
        </is>
      </c>
      <c r="AW4">
        <f>IF(OR($B$3="ALL BUYERS",'Final Calculation Sheet'!$G4=$B$3),IF($D$3="— no row filter —",1,IF($F$3="is blank",IF(INDEX('Final Calculation Sheet'!$A$4:$AG$40,4-3,$AU$2)="",1,0),IF($F$3="is not blank",IF(INDEX('Final Calculation Sheet'!$A$4:$AG$40,4-3,$AU$2)="",0,1),IF($F$3="contains",IF(ISNUMBER(SEARCH($H$3,INDEX('Final Calculation Sheet'!$A$4:$AG$40,4-3,$AU$2))),1,0),IF($F$3="=",IF(INDEX('Final Calculation Sheet'!$A$4:$AG$40,4-3,$AU$2)=$H$3,1,0),IF($F$3="&lt;&gt;",IF(INDEX('Final Calculation Sheet'!$A$4:$AG$40,4-3,$AU$2)=$H$3,0,1),IF($F$3="&gt;",IF(N(INDEX('Final Calculation Sheet'!$A$4:$AG$40,4-3,$AU$2))&gt;N($H$3),1,0),IF($F$3="&gt;=",IF(N(INDEX('Final Calculation Sheet'!$A$4:$AG$40,4-3,$AU$2))&gt;=N($H$3),1,0),IF($F$3="&lt;",IF(N(INDEX('Final Calculation Sheet'!$A$4:$AG$40,4-3,$AU$2))&lt;N($H$3),1,0),IF($F$3="&lt;=",IF(N(INDEX('Final Calculation Sheet'!$A$4:$AG$40,4-3,$AU$2))&lt;=N($H$3),1,0),0)))))))))),0)</f>
        <v/>
      </c>
      <c r="AY4">
        <f>IF(AW4=1,SUM($AW$4:AW4),"")</f>
        <v/>
      </c>
      <c r="BA4">
        <f>IFERROR(MATCH(1,$AY$4:$AY$40,0)+3,"")</f>
        <v/>
      </c>
    </row>
    <row r="5" ht="15" customHeight="1">
      <c r="A5" s="675" t="inlineStr">
        <is>
          <t>Quantity</t>
        </is>
      </c>
      <c r="B5" s="69">
        <f>IFERROR(IF(INDEX('Final Calculation Sheet'!$A$4:$A$40,$BA4-3)="","",INDEX('Final Calculation Sheet'!$A$4:$A$40,$BA4-3)),"")</f>
        <v/>
      </c>
      <c r="C5" s="676">
        <f>IFERROR(IF(INDEX('Final Calculation Sheet'!$A$4:$A$40,$BA5-3)="","",INDEX('Final Calculation Sheet'!$A$4:$A$40,$BA5-3)),"")</f>
        <v/>
      </c>
      <c r="D5" s="69">
        <f>IFERROR(IF(INDEX('Final Calculation Sheet'!$A$4:$A$40,$BA6-3)="","",INDEX('Final Calculation Sheet'!$A$4:$A$40,$BA6-3)),"")</f>
        <v/>
      </c>
      <c r="E5" s="676">
        <f>IFERROR(IF(INDEX('Final Calculation Sheet'!$A$4:$A$40,$BA7-3)="","",INDEX('Final Calculation Sheet'!$A$4:$A$40,$BA7-3)),"")</f>
        <v/>
      </c>
      <c r="F5" s="69">
        <f>IFERROR(IF(INDEX('Final Calculation Sheet'!$A$4:$A$40,$BA8-3)="","",INDEX('Final Calculation Sheet'!$A$4:$A$40,$BA8-3)),"")</f>
        <v/>
      </c>
      <c r="G5" s="676">
        <f>IFERROR(IF(INDEX('Final Calculation Sheet'!$A$4:$A$40,$BA9-3)="","",INDEX('Final Calculation Sheet'!$A$4:$A$40,$BA9-3)),"")</f>
        <v/>
      </c>
      <c r="H5" s="69">
        <f>IFERROR(IF(INDEX('Final Calculation Sheet'!$A$4:$A$40,$BA10-3)="","",INDEX('Final Calculation Sheet'!$A$4:$A$40,$BA10-3)),"")</f>
        <v/>
      </c>
      <c r="I5" s="676">
        <f>IFERROR(IF(INDEX('Final Calculation Sheet'!$A$4:$A$40,$BA11-3)="","",INDEX('Final Calculation Sheet'!$A$4:$A$40,$BA11-3)),"")</f>
        <v/>
      </c>
      <c r="J5" s="69">
        <f>IFERROR(IF(INDEX('Final Calculation Sheet'!$A$4:$A$40,$BA12-3)="","",INDEX('Final Calculation Sheet'!$A$4:$A$40,$BA12-3)),"")</f>
        <v/>
      </c>
      <c r="K5" s="676">
        <f>IFERROR(IF(INDEX('Final Calculation Sheet'!$A$4:$A$40,$BA13-3)="","",INDEX('Final Calculation Sheet'!$A$4:$A$40,$BA13-3)),"")</f>
        <v/>
      </c>
      <c r="L5" s="69">
        <f>IFERROR(IF(INDEX('Final Calculation Sheet'!$A$4:$A$40,$BA14-3)="","",INDEX('Final Calculation Sheet'!$A$4:$A$40,$BA14-3)),"")</f>
        <v/>
      </c>
      <c r="M5" s="676">
        <f>IFERROR(IF(INDEX('Final Calculation Sheet'!$A$4:$A$40,$BA15-3)="","",INDEX('Final Calculation Sheet'!$A$4:$A$40,$BA15-3)),"")</f>
        <v/>
      </c>
      <c r="N5" s="69">
        <f>IFERROR(IF(INDEX('Final Calculation Sheet'!$A$4:$A$40,$BA16-3)="","",INDEX('Final Calculation Sheet'!$A$4:$A$40,$BA16-3)),"")</f>
        <v/>
      </c>
      <c r="O5" s="676">
        <f>IFERROR(IF(INDEX('Final Calculation Sheet'!$A$4:$A$40,$BA17-3)="","",INDEX('Final Calculation Sheet'!$A$4:$A$40,$BA17-3)),"")</f>
        <v/>
      </c>
      <c r="P5" s="69">
        <f>IFERROR(IF(INDEX('Final Calculation Sheet'!$A$4:$A$40,$BA18-3)="","",INDEX('Final Calculation Sheet'!$A$4:$A$40,$BA18-3)),"")</f>
        <v/>
      </c>
      <c r="Q5" s="676">
        <f>IFERROR(IF(INDEX('Final Calculation Sheet'!$A$4:$A$40,$BA19-3)="","",INDEX('Final Calculation Sheet'!$A$4:$A$40,$BA19-3)),"")</f>
        <v/>
      </c>
      <c r="R5" s="69">
        <f>IFERROR(IF(INDEX('Final Calculation Sheet'!$A$4:$A$40,$BA20-3)="","",INDEX('Final Calculation Sheet'!$A$4:$A$40,$BA20-3)),"")</f>
        <v/>
      </c>
      <c r="S5" s="676">
        <f>IFERROR(IF(INDEX('Final Calculation Sheet'!$A$4:$A$40,$BA21-3)="","",INDEX('Final Calculation Sheet'!$A$4:$A$40,$BA21-3)),"")</f>
        <v/>
      </c>
      <c r="T5" s="69">
        <f>IFERROR(IF(INDEX('Final Calculation Sheet'!$A$4:$A$40,$BA22-3)="","",INDEX('Final Calculation Sheet'!$A$4:$A$40,$BA22-3)),"")</f>
        <v/>
      </c>
      <c r="U5" s="676">
        <f>IFERROR(IF(INDEX('Final Calculation Sheet'!$A$4:$A$40,$BA23-3)="","",INDEX('Final Calculation Sheet'!$A$4:$A$40,$BA23-3)),"")</f>
        <v/>
      </c>
      <c r="V5" s="69">
        <f>IFERROR(IF(INDEX('Final Calculation Sheet'!$A$4:$A$40,$BA24-3)="","",INDEX('Final Calculation Sheet'!$A$4:$A$40,$BA24-3)),"")</f>
        <v/>
      </c>
      <c r="W5" s="676">
        <f>IFERROR(IF(INDEX('Final Calculation Sheet'!$A$4:$A$40,$BA25-3)="","",INDEX('Final Calculation Sheet'!$A$4:$A$40,$BA25-3)),"")</f>
        <v/>
      </c>
      <c r="X5" s="69">
        <f>IFERROR(IF(INDEX('Final Calculation Sheet'!$A$4:$A$40,$BA26-3)="","",INDEX('Final Calculation Sheet'!$A$4:$A$40,$BA26-3)),"")</f>
        <v/>
      </c>
      <c r="Y5" s="676">
        <f>IFERROR(IF(INDEX('Final Calculation Sheet'!$A$4:$A$40,$BA27-3)="","",INDEX('Final Calculation Sheet'!$A$4:$A$40,$BA27-3)),"")</f>
        <v/>
      </c>
      <c r="Z5" s="69">
        <f>IFERROR(IF(INDEX('Final Calculation Sheet'!$A$4:$A$40,$BA28-3)="","",INDEX('Final Calculation Sheet'!$A$4:$A$40,$BA28-3)),"")</f>
        <v/>
      </c>
      <c r="AA5" s="676">
        <f>IFERROR(IF(INDEX('Final Calculation Sheet'!$A$4:$A$40,$BA29-3)="","",INDEX('Final Calculation Sheet'!$A$4:$A$40,$BA29-3)),"")</f>
        <v/>
      </c>
      <c r="AB5" s="69">
        <f>IFERROR(IF(INDEX('Final Calculation Sheet'!$A$4:$A$40,$BA30-3)="","",INDEX('Final Calculation Sheet'!$A$4:$A$40,$BA30-3)),"")</f>
        <v/>
      </c>
      <c r="AC5" s="676">
        <f>IFERROR(IF(INDEX('Final Calculation Sheet'!$A$4:$A$40,$BA31-3)="","",INDEX('Final Calculation Sheet'!$A$4:$A$40,$BA31-3)),"")</f>
        <v/>
      </c>
      <c r="AD5" s="69">
        <f>IFERROR(IF(INDEX('Final Calculation Sheet'!$A$4:$A$40,$BA32-3)="","",INDEX('Final Calculation Sheet'!$A$4:$A$40,$BA32-3)),"")</f>
        <v/>
      </c>
      <c r="AE5" s="676">
        <f>IFERROR(IF(INDEX('Final Calculation Sheet'!$A$4:$A$40,$BA33-3)="","",INDEX('Final Calculation Sheet'!$A$4:$A$40,$BA33-3)),"")</f>
        <v/>
      </c>
      <c r="AF5" s="69">
        <f>IFERROR(IF(INDEX('Final Calculation Sheet'!$A$4:$A$40,$BA34-3)="","",INDEX('Final Calculation Sheet'!$A$4:$A$40,$BA34-3)),"")</f>
        <v/>
      </c>
      <c r="AG5" s="676">
        <f>IFERROR(IF(INDEX('Final Calculation Sheet'!$A$4:$A$40,$BA35-3)="","",INDEX('Final Calculation Sheet'!$A$4:$A$40,$BA35-3)),"")</f>
        <v/>
      </c>
      <c r="AH5" s="69">
        <f>IFERROR(IF(INDEX('Final Calculation Sheet'!$A$4:$A$40,$BA36-3)="","",INDEX('Final Calculation Sheet'!$A$4:$A$40,$BA36-3)),"")</f>
        <v/>
      </c>
      <c r="AI5" s="676">
        <f>IFERROR(IF(INDEX('Final Calculation Sheet'!$A$4:$A$40,$BA37-3)="","",INDEX('Final Calculation Sheet'!$A$4:$A$40,$BA37-3)),"")</f>
        <v/>
      </c>
      <c r="AJ5" s="69">
        <f>IFERROR(IF(INDEX('Final Calculation Sheet'!$A$4:$A$40,$BA38-3)="","",INDEX('Final Calculation Sheet'!$A$4:$A$40,$BA38-3)),"")</f>
        <v/>
      </c>
      <c r="AK5" s="676">
        <f>IFERROR(IF(INDEX('Final Calculation Sheet'!$A$4:$A$40,$BA39-3)="","",INDEX('Final Calculation Sheet'!$A$4:$A$40,$BA39-3)),"")</f>
        <v/>
      </c>
      <c r="AL5" s="69">
        <f>IFERROR(IF(INDEX('Final Calculation Sheet'!$A$4:$A$40,$BA40-3)="","",INDEX('Final Calculation Sheet'!$A$4:$A$40,$BA40-3)),"")</f>
        <v/>
      </c>
      <c r="AM5" s="677">
        <f>IF(COUNT(B5:AL5)=0,"",SUM(B5:AL5))</f>
        <v/>
      </c>
      <c r="AO5" t="inlineStr">
        <is>
          <t>Lot Name</t>
        </is>
      </c>
      <c r="AQ5" t="inlineStr">
        <is>
          <t>AL HAMD TRADE CORPORATION</t>
        </is>
      </c>
      <c r="AS5" t="inlineStr">
        <is>
          <t>&lt;&gt;</t>
        </is>
      </c>
      <c r="AW5">
        <f>IF(OR($B$3="ALL BUYERS",'Final Calculation Sheet'!$G5=$B$3),IF($D$3="— no row filter —",1,IF($F$3="is blank",IF(INDEX('Final Calculation Sheet'!$A$4:$AG$40,5-3,$AU$2)="",1,0),IF($F$3="is not blank",IF(INDEX('Final Calculation Sheet'!$A$4:$AG$40,5-3,$AU$2)="",0,1),IF($F$3="contains",IF(ISNUMBER(SEARCH($H$3,INDEX('Final Calculation Sheet'!$A$4:$AG$40,5-3,$AU$2))),1,0),IF($F$3="=",IF(INDEX('Final Calculation Sheet'!$A$4:$AG$40,5-3,$AU$2)=$H$3,1,0),IF($F$3="&lt;&gt;",IF(INDEX('Final Calculation Sheet'!$A$4:$AG$40,5-3,$AU$2)=$H$3,0,1),IF($F$3="&gt;",IF(N(INDEX('Final Calculation Sheet'!$A$4:$AG$40,5-3,$AU$2))&gt;N($H$3),1,0),IF($F$3="&gt;=",IF(N(INDEX('Final Calculation Sheet'!$A$4:$AG$40,5-3,$AU$2))&gt;=N($H$3),1,0),IF($F$3="&lt;",IF(N(INDEX('Final Calculation Sheet'!$A$4:$AG$40,5-3,$AU$2))&lt;N($H$3),1,0),IF($F$3="&lt;=",IF(N(INDEX('Final Calculation Sheet'!$A$4:$AG$40,5-3,$AU$2))&lt;=N($H$3),1,0),0)))))))))),0)</f>
        <v/>
      </c>
      <c r="AY5">
        <f>IF(AW5=1,SUM($AW$4:AW5),"")</f>
        <v/>
      </c>
      <c r="BA5">
        <f>IFERROR(MATCH(2,$AY$4:$AY$40,0)+3,"")</f>
        <v/>
      </c>
    </row>
    <row r="6" ht="15" customHeight="1">
      <c r="A6" s="678" t="inlineStr">
        <is>
          <t>Lot Name</t>
        </is>
      </c>
      <c r="B6" s="69">
        <f>IFERROR(IF(INDEX('Final Calculation Sheet'!$B$4:$B$40,$BA4-3)="","",INDEX('Final Calculation Sheet'!$B$4:$B$40,$BA4-3)),"")</f>
        <v/>
      </c>
      <c r="C6" s="676">
        <f>IFERROR(IF(INDEX('Final Calculation Sheet'!$B$4:$B$40,$BA5-3)="","",INDEX('Final Calculation Sheet'!$B$4:$B$40,$BA5-3)),"")</f>
        <v/>
      </c>
      <c r="D6" s="69">
        <f>IFERROR(IF(INDEX('Final Calculation Sheet'!$B$4:$B$40,$BA6-3)="","",INDEX('Final Calculation Sheet'!$B$4:$B$40,$BA6-3)),"")</f>
        <v/>
      </c>
      <c r="E6" s="676">
        <f>IFERROR(IF(INDEX('Final Calculation Sheet'!$B$4:$B$40,$BA7-3)="","",INDEX('Final Calculation Sheet'!$B$4:$B$40,$BA7-3)),"")</f>
        <v/>
      </c>
      <c r="F6" s="69">
        <f>IFERROR(IF(INDEX('Final Calculation Sheet'!$B$4:$B$40,$BA8-3)="","",INDEX('Final Calculation Sheet'!$B$4:$B$40,$BA8-3)),"")</f>
        <v/>
      </c>
      <c r="G6" s="676">
        <f>IFERROR(IF(INDEX('Final Calculation Sheet'!$B$4:$B$40,$BA9-3)="","",INDEX('Final Calculation Sheet'!$B$4:$B$40,$BA9-3)),"")</f>
        <v/>
      </c>
      <c r="H6" s="69">
        <f>IFERROR(IF(INDEX('Final Calculation Sheet'!$B$4:$B$40,$BA10-3)="","",INDEX('Final Calculation Sheet'!$B$4:$B$40,$BA10-3)),"")</f>
        <v/>
      </c>
      <c r="I6" s="676">
        <f>IFERROR(IF(INDEX('Final Calculation Sheet'!$B$4:$B$40,$BA11-3)="","",INDEX('Final Calculation Sheet'!$B$4:$B$40,$BA11-3)),"")</f>
        <v/>
      </c>
      <c r="J6" s="69">
        <f>IFERROR(IF(INDEX('Final Calculation Sheet'!$B$4:$B$40,$BA12-3)="","",INDEX('Final Calculation Sheet'!$B$4:$B$40,$BA12-3)),"")</f>
        <v/>
      </c>
      <c r="K6" s="676">
        <f>IFERROR(IF(INDEX('Final Calculation Sheet'!$B$4:$B$40,$BA13-3)="","",INDEX('Final Calculation Sheet'!$B$4:$B$40,$BA13-3)),"")</f>
        <v/>
      </c>
      <c r="L6" s="69">
        <f>IFERROR(IF(INDEX('Final Calculation Sheet'!$B$4:$B$40,$BA14-3)="","",INDEX('Final Calculation Sheet'!$B$4:$B$40,$BA14-3)),"")</f>
        <v/>
      </c>
      <c r="M6" s="676">
        <f>IFERROR(IF(INDEX('Final Calculation Sheet'!$B$4:$B$40,$BA15-3)="","",INDEX('Final Calculation Sheet'!$B$4:$B$40,$BA15-3)),"")</f>
        <v/>
      </c>
      <c r="N6" s="69">
        <f>IFERROR(IF(INDEX('Final Calculation Sheet'!$B$4:$B$40,$BA16-3)="","",INDEX('Final Calculation Sheet'!$B$4:$B$40,$BA16-3)),"")</f>
        <v/>
      </c>
      <c r="O6" s="676">
        <f>IFERROR(IF(INDEX('Final Calculation Sheet'!$B$4:$B$40,$BA17-3)="","",INDEX('Final Calculation Sheet'!$B$4:$B$40,$BA17-3)),"")</f>
        <v/>
      </c>
      <c r="P6" s="69">
        <f>IFERROR(IF(INDEX('Final Calculation Sheet'!$B$4:$B$40,$BA18-3)="","",INDEX('Final Calculation Sheet'!$B$4:$B$40,$BA18-3)),"")</f>
        <v/>
      </c>
      <c r="Q6" s="676">
        <f>IFERROR(IF(INDEX('Final Calculation Sheet'!$B$4:$B$40,$BA19-3)="","",INDEX('Final Calculation Sheet'!$B$4:$B$40,$BA19-3)),"")</f>
        <v/>
      </c>
      <c r="R6" s="69">
        <f>IFERROR(IF(INDEX('Final Calculation Sheet'!$B$4:$B$40,$BA20-3)="","",INDEX('Final Calculation Sheet'!$B$4:$B$40,$BA20-3)),"")</f>
        <v/>
      </c>
      <c r="S6" s="676">
        <f>IFERROR(IF(INDEX('Final Calculation Sheet'!$B$4:$B$40,$BA21-3)="","",INDEX('Final Calculation Sheet'!$B$4:$B$40,$BA21-3)),"")</f>
        <v/>
      </c>
      <c r="T6" s="69">
        <f>IFERROR(IF(INDEX('Final Calculation Sheet'!$B$4:$B$40,$BA22-3)="","",INDEX('Final Calculation Sheet'!$B$4:$B$40,$BA22-3)),"")</f>
        <v/>
      </c>
      <c r="U6" s="676">
        <f>IFERROR(IF(INDEX('Final Calculation Sheet'!$B$4:$B$40,$BA23-3)="","",INDEX('Final Calculation Sheet'!$B$4:$B$40,$BA23-3)),"")</f>
        <v/>
      </c>
      <c r="V6" s="69">
        <f>IFERROR(IF(INDEX('Final Calculation Sheet'!$B$4:$B$40,$BA24-3)="","",INDEX('Final Calculation Sheet'!$B$4:$B$40,$BA24-3)),"")</f>
        <v/>
      </c>
      <c r="W6" s="676">
        <f>IFERROR(IF(INDEX('Final Calculation Sheet'!$B$4:$B$40,$BA25-3)="","",INDEX('Final Calculation Sheet'!$B$4:$B$40,$BA25-3)),"")</f>
        <v/>
      </c>
      <c r="X6" s="69">
        <f>IFERROR(IF(INDEX('Final Calculation Sheet'!$B$4:$B$40,$BA26-3)="","",INDEX('Final Calculation Sheet'!$B$4:$B$40,$BA26-3)),"")</f>
        <v/>
      </c>
      <c r="Y6" s="676">
        <f>IFERROR(IF(INDEX('Final Calculation Sheet'!$B$4:$B$40,$BA27-3)="","",INDEX('Final Calculation Sheet'!$B$4:$B$40,$BA27-3)),"")</f>
        <v/>
      </c>
      <c r="Z6" s="69">
        <f>IFERROR(IF(INDEX('Final Calculation Sheet'!$B$4:$B$40,$BA28-3)="","",INDEX('Final Calculation Sheet'!$B$4:$B$40,$BA28-3)),"")</f>
        <v/>
      </c>
      <c r="AA6" s="676">
        <f>IFERROR(IF(INDEX('Final Calculation Sheet'!$B$4:$B$40,$BA29-3)="","",INDEX('Final Calculation Sheet'!$B$4:$B$40,$BA29-3)),"")</f>
        <v/>
      </c>
      <c r="AB6" s="69">
        <f>IFERROR(IF(INDEX('Final Calculation Sheet'!$B$4:$B$40,$BA30-3)="","",INDEX('Final Calculation Sheet'!$B$4:$B$40,$BA30-3)),"")</f>
        <v/>
      </c>
      <c r="AC6" s="676">
        <f>IFERROR(IF(INDEX('Final Calculation Sheet'!$B$4:$B$40,$BA31-3)="","",INDEX('Final Calculation Sheet'!$B$4:$B$40,$BA31-3)),"")</f>
        <v/>
      </c>
      <c r="AD6" s="69">
        <f>IFERROR(IF(INDEX('Final Calculation Sheet'!$B$4:$B$40,$BA32-3)="","",INDEX('Final Calculation Sheet'!$B$4:$B$40,$BA32-3)),"")</f>
        <v/>
      </c>
      <c r="AE6" s="676">
        <f>IFERROR(IF(INDEX('Final Calculation Sheet'!$B$4:$B$40,$BA33-3)="","",INDEX('Final Calculation Sheet'!$B$4:$B$40,$BA33-3)),"")</f>
        <v/>
      </c>
      <c r="AF6" s="69">
        <f>IFERROR(IF(INDEX('Final Calculation Sheet'!$B$4:$B$40,$BA34-3)="","",INDEX('Final Calculation Sheet'!$B$4:$B$40,$BA34-3)),"")</f>
        <v/>
      </c>
      <c r="AG6" s="676">
        <f>IFERROR(IF(INDEX('Final Calculation Sheet'!$B$4:$B$40,$BA35-3)="","",INDEX('Final Calculation Sheet'!$B$4:$B$40,$BA35-3)),"")</f>
        <v/>
      </c>
      <c r="AH6" s="69">
        <f>IFERROR(IF(INDEX('Final Calculation Sheet'!$B$4:$B$40,$BA36-3)="","",INDEX('Final Calculation Sheet'!$B$4:$B$40,$BA36-3)),"")</f>
        <v/>
      </c>
      <c r="AI6" s="676">
        <f>IFERROR(IF(INDEX('Final Calculation Sheet'!$B$4:$B$40,$BA37-3)="","",INDEX('Final Calculation Sheet'!$B$4:$B$40,$BA37-3)),"")</f>
        <v/>
      </c>
      <c r="AJ6" s="69">
        <f>IFERROR(IF(INDEX('Final Calculation Sheet'!$B$4:$B$40,$BA38-3)="","",INDEX('Final Calculation Sheet'!$B$4:$B$40,$BA38-3)),"")</f>
        <v/>
      </c>
      <c r="AK6" s="676">
        <f>IFERROR(IF(INDEX('Final Calculation Sheet'!$B$4:$B$40,$BA39-3)="","",INDEX('Final Calculation Sheet'!$B$4:$B$40,$BA39-3)),"")</f>
        <v/>
      </c>
      <c r="AL6" s="69">
        <f>IFERROR(IF(INDEX('Final Calculation Sheet'!$B$4:$B$40,$BA40-3)="","",INDEX('Final Calculation Sheet'!$B$4:$B$40,$BA40-3)),"")</f>
        <v/>
      </c>
      <c r="AM6" s="677" t="inlineStr">
        <is>
          <t>–</t>
        </is>
      </c>
      <c r="AO6" t="inlineStr">
        <is>
          <t>Rate</t>
        </is>
      </c>
      <c r="AQ6" t="inlineStr">
        <is>
          <t>F R KHANS ENTERPRISES</t>
        </is>
      </c>
      <c r="AS6" t="inlineStr">
        <is>
          <t>&gt;</t>
        </is>
      </c>
      <c r="AW6">
        <f>IF(OR($B$3="ALL BUYERS",'Final Calculation Sheet'!$G6=$B$3),IF($D$3="— no row filter —",1,IF($F$3="is blank",IF(INDEX('Final Calculation Sheet'!$A$4:$AG$40,6-3,$AU$2)="",1,0),IF($F$3="is not blank",IF(INDEX('Final Calculation Sheet'!$A$4:$AG$40,6-3,$AU$2)="",0,1),IF($F$3="contains",IF(ISNUMBER(SEARCH($H$3,INDEX('Final Calculation Sheet'!$A$4:$AG$40,6-3,$AU$2))),1,0),IF($F$3="=",IF(INDEX('Final Calculation Sheet'!$A$4:$AG$40,6-3,$AU$2)=$H$3,1,0),IF($F$3="&lt;&gt;",IF(INDEX('Final Calculation Sheet'!$A$4:$AG$40,6-3,$AU$2)=$H$3,0,1),IF($F$3="&gt;",IF(N(INDEX('Final Calculation Sheet'!$A$4:$AG$40,6-3,$AU$2))&gt;N($H$3),1,0),IF($F$3="&gt;=",IF(N(INDEX('Final Calculation Sheet'!$A$4:$AG$40,6-3,$AU$2))&gt;=N($H$3),1,0),IF($F$3="&lt;",IF(N(INDEX('Final Calculation Sheet'!$A$4:$AG$40,6-3,$AU$2))&lt;N($H$3),1,0),IF($F$3="&lt;=",IF(N(INDEX('Final Calculation Sheet'!$A$4:$AG$40,6-3,$AU$2))&lt;=N($H$3),1,0),0)))))))))),0)</f>
        <v/>
      </c>
      <c r="AY6">
        <f>IF(AW6=1,SUM($AW$4:AW6),"")</f>
        <v/>
      </c>
      <c r="BA6">
        <f>IFERROR(MATCH(3,$AY$4:$AY$40,0)+3,"")</f>
        <v/>
      </c>
    </row>
    <row r="7" ht="15" customHeight="1">
      <c r="A7" s="675" t="inlineStr">
        <is>
          <t>Rate</t>
        </is>
      </c>
      <c r="B7" s="544">
        <f>IFERROR(IF(INDEX('Final Calculation Sheet'!$C$4:$C$40,$BA4-3)="","",INDEX('Final Calculation Sheet'!$C$4:$C$40,$BA4-3)),"")</f>
        <v/>
      </c>
      <c r="C7" s="679">
        <f>IFERROR(IF(INDEX('Final Calculation Sheet'!$C$4:$C$40,$BA5-3)="","",INDEX('Final Calculation Sheet'!$C$4:$C$40,$BA5-3)),"")</f>
        <v/>
      </c>
      <c r="D7" s="544">
        <f>IFERROR(IF(INDEX('Final Calculation Sheet'!$C$4:$C$40,$BA6-3)="","",INDEX('Final Calculation Sheet'!$C$4:$C$40,$BA6-3)),"")</f>
        <v/>
      </c>
      <c r="E7" s="679">
        <f>IFERROR(IF(INDEX('Final Calculation Sheet'!$C$4:$C$40,$BA7-3)="","",INDEX('Final Calculation Sheet'!$C$4:$C$40,$BA7-3)),"")</f>
        <v/>
      </c>
      <c r="F7" s="544">
        <f>IFERROR(IF(INDEX('Final Calculation Sheet'!$C$4:$C$40,$BA8-3)="","",INDEX('Final Calculation Sheet'!$C$4:$C$40,$BA8-3)),"")</f>
        <v/>
      </c>
      <c r="G7" s="679">
        <f>IFERROR(IF(INDEX('Final Calculation Sheet'!$C$4:$C$40,$BA9-3)="","",INDEX('Final Calculation Sheet'!$C$4:$C$40,$BA9-3)),"")</f>
        <v/>
      </c>
      <c r="H7" s="544">
        <f>IFERROR(IF(INDEX('Final Calculation Sheet'!$C$4:$C$40,$BA10-3)="","",INDEX('Final Calculation Sheet'!$C$4:$C$40,$BA10-3)),"")</f>
        <v/>
      </c>
      <c r="I7" s="679">
        <f>IFERROR(IF(INDEX('Final Calculation Sheet'!$C$4:$C$40,$BA11-3)="","",INDEX('Final Calculation Sheet'!$C$4:$C$40,$BA11-3)),"")</f>
        <v/>
      </c>
      <c r="J7" s="544">
        <f>IFERROR(IF(INDEX('Final Calculation Sheet'!$C$4:$C$40,$BA12-3)="","",INDEX('Final Calculation Sheet'!$C$4:$C$40,$BA12-3)),"")</f>
        <v/>
      </c>
      <c r="K7" s="679">
        <f>IFERROR(IF(INDEX('Final Calculation Sheet'!$C$4:$C$40,$BA13-3)="","",INDEX('Final Calculation Sheet'!$C$4:$C$40,$BA13-3)),"")</f>
        <v/>
      </c>
      <c r="L7" s="544">
        <f>IFERROR(IF(INDEX('Final Calculation Sheet'!$C$4:$C$40,$BA14-3)="","",INDEX('Final Calculation Sheet'!$C$4:$C$40,$BA14-3)),"")</f>
        <v/>
      </c>
      <c r="M7" s="679">
        <f>IFERROR(IF(INDEX('Final Calculation Sheet'!$C$4:$C$40,$BA15-3)="","",INDEX('Final Calculation Sheet'!$C$4:$C$40,$BA15-3)),"")</f>
        <v/>
      </c>
      <c r="N7" s="544">
        <f>IFERROR(IF(INDEX('Final Calculation Sheet'!$C$4:$C$40,$BA16-3)="","",INDEX('Final Calculation Sheet'!$C$4:$C$40,$BA16-3)),"")</f>
        <v/>
      </c>
      <c r="O7" s="679">
        <f>IFERROR(IF(INDEX('Final Calculation Sheet'!$C$4:$C$40,$BA17-3)="","",INDEX('Final Calculation Sheet'!$C$4:$C$40,$BA17-3)),"")</f>
        <v/>
      </c>
      <c r="P7" s="544">
        <f>IFERROR(IF(INDEX('Final Calculation Sheet'!$C$4:$C$40,$BA18-3)="","",INDEX('Final Calculation Sheet'!$C$4:$C$40,$BA18-3)),"")</f>
        <v/>
      </c>
      <c r="Q7" s="679">
        <f>IFERROR(IF(INDEX('Final Calculation Sheet'!$C$4:$C$40,$BA19-3)="","",INDEX('Final Calculation Sheet'!$C$4:$C$40,$BA19-3)),"")</f>
        <v/>
      </c>
      <c r="R7" s="544">
        <f>IFERROR(IF(INDEX('Final Calculation Sheet'!$C$4:$C$40,$BA20-3)="","",INDEX('Final Calculation Sheet'!$C$4:$C$40,$BA20-3)),"")</f>
        <v/>
      </c>
      <c r="S7" s="679">
        <f>IFERROR(IF(INDEX('Final Calculation Sheet'!$C$4:$C$40,$BA21-3)="","",INDEX('Final Calculation Sheet'!$C$4:$C$40,$BA21-3)),"")</f>
        <v/>
      </c>
      <c r="T7" s="544">
        <f>IFERROR(IF(INDEX('Final Calculation Sheet'!$C$4:$C$40,$BA22-3)="","",INDEX('Final Calculation Sheet'!$C$4:$C$40,$BA22-3)),"")</f>
        <v/>
      </c>
      <c r="U7" s="679">
        <f>IFERROR(IF(INDEX('Final Calculation Sheet'!$C$4:$C$40,$BA23-3)="","",INDEX('Final Calculation Sheet'!$C$4:$C$40,$BA23-3)),"")</f>
        <v/>
      </c>
      <c r="V7" s="544">
        <f>IFERROR(IF(INDEX('Final Calculation Sheet'!$C$4:$C$40,$BA24-3)="","",INDEX('Final Calculation Sheet'!$C$4:$C$40,$BA24-3)),"")</f>
        <v/>
      </c>
      <c r="W7" s="679">
        <f>IFERROR(IF(INDEX('Final Calculation Sheet'!$C$4:$C$40,$BA25-3)="","",INDEX('Final Calculation Sheet'!$C$4:$C$40,$BA25-3)),"")</f>
        <v/>
      </c>
      <c r="X7" s="544">
        <f>IFERROR(IF(INDEX('Final Calculation Sheet'!$C$4:$C$40,$BA26-3)="","",INDEX('Final Calculation Sheet'!$C$4:$C$40,$BA26-3)),"")</f>
        <v/>
      </c>
      <c r="Y7" s="679">
        <f>IFERROR(IF(INDEX('Final Calculation Sheet'!$C$4:$C$40,$BA27-3)="","",INDEX('Final Calculation Sheet'!$C$4:$C$40,$BA27-3)),"")</f>
        <v/>
      </c>
      <c r="Z7" s="544">
        <f>IFERROR(IF(INDEX('Final Calculation Sheet'!$C$4:$C$40,$BA28-3)="","",INDEX('Final Calculation Sheet'!$C$4:$C$40,$BA28-3)),"")</f>
        <v/>
      </c>
      <c r="AA7" s="679">
        <f>IFERROR(IF(INDEX('Final Calculation Sheet'!$C$4:$C$40,$BA29-3)="","",INDEX('Final Calculation Sheet'!$C$4:$C$40,$BA29-3)),"")</f>
        <v/>
      </c>
      <c r="AB7" s="544">
        <f>IFERROR(IF(INDEX('Final Calculation Sheet'!$C$4:$C$40,$BA30-3)="","",INDEX('Final Calculation Sheet'!$C$4:$C$40,$BA30-3)),"")</f>
        <v/>
      </c>
      <c r="AC7" s="679">
        <f>IFERROR(IF(INDEX('Final Calculation Sheet'!$C$4:$C$40,$BA31-3)="","",INDEX('Final Calculation Sheet'!$C$4:$C$40,$BA31-3)),"")</f>
        <v/>
      </c>
      <c r="AD7" s="544">
        <f>IFERROR(IF(INDEX('Final Calculation Sheet'!$C$4:$C$40,$BA32-3)="","",INDEX('Final Calculation Sheet'!$C$4:$C$40,$BA32-3)),"")</f>
        <v/>
      </c>
      <c r="AE7" s="679">
        <f>IFERROR(IF(INDEX('Final Calculation Sheet'!$C$4:$C$40,$BA33-3)="","",INDEX('Final Calculation Sheet'!$C$4:$C$40,$BA33-3)),"")</f>
        <v/>
      </c>
      <c r="AF7" s="544">
        <f>IFERROR(IF(INDEX('Final Calculation Sheet'!$C$4:$C$40,$BA34-3)="","",INDEX('Final Calculation Sheet'!$C$4:$C$40,$BA34-3)),"")</f>
        <v/>
      </c>
      <c r="AG7" s="679">
        <f>IFERROR(IF(INDEX('Final Calculation Sheet'!$C$4:$C$40,$BA35-3)="","",INDEX('Final Calculation Sheet'!$C$4:$C$40,$BA35-3)),"")</f>
        <v/>
      </c>
      <c r="AH7" s="544">
        <f>IFERROR(IF(INDEX('Final Calculation Sheet'!$C$4:$C$40,$BA36-3)="","",INDEX('Final Calculation Sheet'!$C$4:$C$40,$BA36-3)),"")</f>
        <v/>
      </c>
      <c r="AI7" s="679">
        <f>IFERROR(IF(INDEX('Final Calculation Sheet'!$C$4:$C$40,$BA37-3)="","",INDEX('Final Calculation Sheet'!$C$4:$C$40,$BA37-3)),"")</f>
        <v/>
      </c>
      <c r="AJ7" s="544">
        <f>IFERROR(IF(INDEX('Final Calculation Sheet'!$C$4:$C$40,$BA38-3)="","",INDEX('Final Calculation Sheet'!$C$4:$C$40,$BA38-3)),"")</f>
        <v/>
      </c>
      <c r="AK7" s="679">
        <f>IFERROR(IF(INDEX('Final Calculation Sheet'!$C$4:$C$40,$BA39-3)="","",INDEX('Final Calculation Sheet'!$C$4:$C$40,$BA39-3)),"")</f>
        <v/>
      </c>
      <c r="AL7" s="544">
        <f>IFERROR(IF(INDEX('Final Calculation Sheet'!$C$4:$C$40,$BA40-3)="","",INDEX('Final Calculation Sheet'!$C$4:$C$40,$BA40-3)),"")</f>
        <v/>
      </c>
      <c r="AM7" s="750" t="inlineStr">
        <is>
          <t>–</t>
        </is>
      </c>
      <c r="AO7" t="inlineStr">
        <is>
          <t>Bid Sheet</t>
        </is>
      </c>
      <c r="AQ7" t="inlineStr">
        <is>
          <t>HIND TRADERS</t>
        </is>
      </c>
      <c r="AS7" t="inlineStr">
        <is>
          <t>&gt;=</t>
        </is>
      </c>
      <c r="AW7">
        <f>IF(OR($B$3="ALL BUYERS",'Final Calculation Sheet'!$G7=$B$3),IF($D$3="— no row filter —",1,IF($F$3="is blank",IF(INDEX('Final Calculation Sheet'!$A$4:$AG$40,7-3,$AU$2)="",1,0),IF($F$3="is not blank",IF(INDEX('Final Calculation Sheet'!$A$4:$AG$40,7-3,$AU$2)="",0,1),IF($F$3="contains",IF(ISNUMBER(SEARCH($H$3,INDEX('Final Calculation Sheet'!$A$4:$AG$40,7-3,$AU$2))),1,0),IF($F$3="=",IF(INDEX('Final Calculation Sheet'!$A$4:$AG$40,7-3,$AU$2)=$H$3,1,0),IF($F$3="&lt;&gt;",IF(INDEX('Final Calculation Sheet'!$A$4:$AG$40,7-3,$AU$2)=$H$3,0,1),IF($F$3="&gt;",IF(N(INDEX('Final Calculation Sheet'!$A$4:$AG$40,7-3,$AU$2))&gt;N($H$3),1,0),IF($F$3="&gt;=",IF(N(INDEX('Final Calculation Sheet'!$A$4:$AG$40,7-3,$AU$2))&gt;=N($H$3),1,0),IF($F$3="&lt;",IF(N(INDEX('Final Calculation Sheet'!$A$4:$AG$40,7-3,$AU$2))&lt;N($H$3),1,0),IF($F$3="&lt;=",IF(N(INDEX('Final Calculation Sheet'!$A$4:$AG$40,7-3,$AU$2))&lt;=N($H$3),1,0),0)))))))))),0)</f>
        <v/>
      </c>
      <c r="AY7">
        <f>IF(AW7=1,SUM($AW$4:AW7),"")</f>
        <v/>
      </c>
      <c r="BA7">
        <f>IFERROR(MATCH(4,$AY$4:$AY$40,0)+3,"")</f>
        <v/>
      </c>
    </row>
    <row r="8" ht="15" customHeight="1">
      <c r="A8" s="678" t="inlineStr">
        <is>
          <t>Bid Sheet</t>
        </is>
      </c>
      <c r="B8" s="69">
        <f>IFERROR(IF(INDEX('Final Calculation Sheet'!$D$4:$D$40,$BA4-3)="","",INDEX('Final Calculation Sheet'!$D$4:$D$40,$BA4-3)),"")</f>
        <v/>
      </c>
      <c r="C8" s="676">
        <f>IFERROR(IF(INDEX('Final Calculation Sheet'!$D$4:$D$40,$BA5-3)="","",INDEX('Final Calculation Sheet'!$D$4:$D$40,$BA5-3)),"")</f>
        <v/>
      </c>
      <c r="D8" s="69">
        <f>IFERROR(IF(INDEX('Final Calculation Sheet'!$D$4:$D$40,$BA6-3)="","",INDEX('Final Calculation Sheet'!$D$4:$D$40,$BA6-3)),"")</f>
        <v/>
      </c>
      <c r="E8" s="676">
        <f>IFERROR(IF(INDEX('Final Calculation Sheet'!$D$4:$D$40,$BA7-3)="","",INDEX('Final Calculation Sheet'!$D$4:$D$40,$BA7-3)),"")</f>
        <v/>
      </c>
      <c r="F8" s="69">
        <f>IFERROR(IF(INDEX('Final Calculation Sheet'!$D$4:$D$40,$BA8-3)="","",INDEX('Final Calculation Sheet'!$D$4:$D$40,$BA8-3)),"")</f>
        <v/>
      </c>
      <c r="G8" s="676">
        <f>IFERROR(IF(INDEX('Final Calculation Sheet'!$D$4:$D$40,$BA9-3)="","",INDEX('Final Calculation Sheet'!$D$4:$D$40,$BA9-3)),"")</f>
        <v/>
      </c>
      <c r="H8" s="69">
        <f>IFERROR(IF(INDEX('Final Calculation Sheet'!$D$4:$D$40,$BA10-3)="","",INDEX('Final Calculation Sheet'!$D$4:$D$40,$BA10-3)),"")</f>
        <v/>
      </c>
      <c r="I8" s="676">
        <f>IFERROR(IF(INDEX('Final Calculation Sheet'!$D$4:$D$40,$BA11-3)="","",INDEX('Final Calculation Sheet'!$D$4:$D$40,$BA11-3)),"")</f>
        <v/>
      </c>
      <c r="J8" s="69">
        <f>IFERROR(IF(INDEX('Final Calculation Sheet'!$D$4:$D$40,$BA12-3)="","",INDEX('Final Calculation Sheet'!$D$4:$D$40,$BA12-3)),"")</f>
        <v/>
      </c>
      <c r="K8" s="676">
        <f>IFERROR(IF(INDEX('Final Calculation Sheet'!$D$4:$D$40,$BA13-3)="","",INDEX('Final Calculation Sheet'!$D$4:$D$40,$BA13-3)),"")</f>
        <v/>
      </c>
      <c r="L8" s="69">
        <f>IFERROR(IF(INDEX('Final Calculation Sheet'!$D$4:$D$40,$BA14-3)="","",INDEX('Final Calculation Sheet'!$D$4:$D$40,$BA14-3)),"")</f>
        <v/>
      </c>
      <c r="M8" s="676">
        <f>IFERROR(IF(INDEX('Final Calculation Sheet'!$D$4:$D$40,$BA15-3)="","",INDEX('Final Calculation Sheet'!$D$4:$D$40,$BA15-3)),"")</f>
        <v/>
      </c>
      <c r="N8" s="69">
        <f>IFERROR(IF(INDEX('Final Calculation Sheet'!$D$4:$D$40,$BA16-3)="","",INDEX('Final Calculation Sheet'!$D$4:$D$40,$BA16-3)),"")</f>
        <v/>
      </c>
      <c r="O8" s="676">
        <f>IFERROR(IF(INDEX('Final Calculation Sheet'!$D$4:$D$40,$BA17-3)="","",INDEX('Final Calculation Sheet'!$D$4:$D$40,$BA17-3)),"")</f>
        <v/>
      </c>
      <c r="P8" s="69">
        <f>IFERROR(IF(INDEX('Final Calculation Sheet'!$D$4:$D$40,$BA18-3)="","",INDEX('Final Calculation Sheet'!$D$4:$D$40,$BA18-3)),"")</f>
        <v/>
      </c>
      <c r="Q8" s="676">
        <f>IFERROR(IF(INDEX('Final Calculation Sheet'!$D$4:$D$40,$BA19-3)="","",INDEX('Final Calculation Sheet'!$D$4:$D$40,$BA19-3)),"")</f>
        <v/>
      </c>
      <c r="R8" s="69">
        <f>IFERROR(IF(INDEX('Final Calculation Sheet'!$D$4:$D$40,$BA20-3)="","",INDEX('Final Calculation Sheet'!$D$4:$D$40,$BA20-3)),"")</f>
        <v/>
      </c>
      <c r="S8" s="676">
        <f>IFERROR(IF(INDEX('Final Calculation Sheet'!$D$4:$D$40,$BA21-3)="","",INDEX('Final Calculation Sheet'!$D$4:$D$40,$BA21-3)),"")</f>
        <v/>
      </c>
      <c r="T8" s="69">
        <f>IFERROR(IF(INDEX('Final Calculation Sheet'!$D$4:$D$40,$BA22-3)="","",INDEX('Final Calculation Sheet'!$D$4:$D$40,$BA22-3)),"")</f>
        <v/>
      </c>
      <c r="U8" s="676">
        <f>IFERROR(IF(INDEX('Final Calculation Sheet'!$D$4:$D$40,$BA23-3)="","",INDEX('Final Calculation Sheet'!$D$4:$D$40,$BA23-3)),"")</f>
        <v/>
      </c>
      <c r="V8" s="69">
        <f>IFERROR(IF(INDEX('Final Calculation Sheet'!$D$4:$D$40,$BA24-3)="","",INDEX('Final Calculation Sheet'!$D$4:$D$40,$BA24-3)),"")</f>
        <v/>
      </c>
      <c r="W8" s="676">
        <f>IFERROR(IF(INDEX('Final Calculation Sheet'!$D$4:$D$40,$BA25-3)="","",INDEX('Final Calculation Sheet'!$D$4:$D$40,$BA25-3)),"")</f>
        <v/>
      </c>
      <c r="X8" s="69">
        <f>IFERROR(IF(INDEX('Final Calculation Sheet'!$D$4:$D$40,$BA26-3)="","",INDEX('Final Calculation Sheet'!$D$4:$D$40,$BA26-3)),"")</f>
        <v/>
      </c>
      <c r="Y8" s="676">
        <f>IFERROR(IF(INDEX('Final Calculation Sheet'!$D$4:$D$40,$BA27-3)="","",INDEX('Final Calculation Sheet'!$D$4:$D$40,$BA27-3)),"")</f>
        <v/>
      </c>
      <c r="Z8" s="69">
        <f>IFERROR(IF(INDEX('Final Calculation Sheet'!$D$4:$D$40,$BA28-3)="","",INDEX('Final Calculation Sheet'!$D$4:$D$40,$BA28-3)),"")</f>
        <v/>
      </c>
      <c r="AA8" s="676">
        <f>IFERROR(IF(INDEX('Final Calculation Sheet'!$D$4:$D$40,$BA29-3)="","",INDEX('Final Calculation Sheet'!$D$4:$D$40,$BA29-3)),"")</f>
        <v/>
      </c>
      <c r="AB8" s="69">
        <f>IFERROR(IF(INDEX('Final Calculation Sheet'!$D$4:$D$40,$BA30-3)="","",INDEX('Final Calculation Sheet'!$D$4:$D$40,$BA30-3)),"")</f>
        <v/>
      </c>
      <c r="AC8" s="676">
        <f>IFERROR(IF(INDEX('Final Calculation Sheet'!$D$4:$D$40,$BA31-3)="","",INDEX('Final Calculation Sheet'!$D$4:$D$40,$BA31-3)),"")</f>
        <v/>
      </c>
      <c r="AD8" s="69">
        <f>IFERROR(IF(INDEX('Final Calculation Sheet'!$D$4:$D$40,$BA32-3)="","",INDEX('Final Calculation Sheet'!$D$4:$D$40,$BA32-3)),"")</f>
        <v/>
      </c>
      <c r="AE8" s="676">
        <f>IFERROR(IF(INDEX('Final Calculation Sheet'!$D$4:$D$40,$BA33-3)="","",INDEX('Final Calculation Sheet'!$D$4:$D$40,$BA33-3)),"")</f>
        <v/>
      </c>
      <c r="AF8" s="69">
        <f>IFERROR(IF(INDEX('Final Calculation Sheet'!$D$4:$D$40,$BA34-3)="","",INDEX('Final Calculation Sheet'!$D$4:$D$40,$BA34-3)),"")</f>
        <v/>
      </c>
      <c r="AG8" s="676">
        <f>IFERROR(IF(INDEX('Final Calculation Sheet'!$D$4:$D$40,$BA35-3)="","",INDEX('Final Calculation Sheet'!$D$4:$D$40,$BA35-3)),"")</f>
        <v/>
      </c>
      <c r="AH8" s="69">
        <f>IFERROR(IF(INDEX('Final Calculation Sheet'!$D$4:$D$40,$BA36-3)="","",INDEX('Final Calculation Sheet'!$D$4:$D$40,$BA36-3)),"")</f>
        <v/>
      </c>
      <c r="AI8" s="676">
        <f>IFERROR(IF(INDEX('Final Calculation Sheet'!$D$4:$D$40,$BA37-3)="","",INDEX('Final Calculation Sheet'!$D$4:$D$40,$BA37-3)),"")</f>
        <v/>
      </c>
      <c r="AJ8" s="69">
        <f>IFERROR(IF(INDEX('Final Calculation Sheet'!$D$4:$D$40,$BA38-3)="","",INDEX('Final Calculation Sheet'!$D$4:$D$40,$BA38-3)),"")</f>
        <v/>
      </c>
      <c r="AK8" s="676">
        <f>IFERROR(IF(INDEX('Final Calculation Sheet'!$D$4:$D$40,$BA39-3)="","",INDEX('Final Calculation Sheet'!$D$4:$D$40,$BA39-3)),"")</f>
        <v/>
      </c>
      <c r="AL8" s="69">
        <f>IFERROR(IF(INDEX('Final Calculation Sheet'!$D$4:$D$40,$BA40-3)="","",INDEX('Final Calculation Sheet'!$D$4:$D$40,$BA40-3)),"")</f>
        <v/>
      </c>
      <c r="AM8" s="677" t="inlineStr">
        <is>
          <t>–</t>
        </is>
      </c>
      <c r="AO8" t="inlineStr">
        <is>
          <t>Unit</t>
        </is>
      </c>
      <c r="AQ8" t="inlineStr">
        <is>
          <t>KASHYAP TRADING CO</t>
        </is>
      </c>
      <c r="AS8" t="inlineStr">
        <is>
          <t>&lt;</t>
        </is>
      </c>
      <c r="AW8">
        <f>IF(OR($B$3="ALL BUYERS",'Final Calculation Sheet'!$G8=$B$3),IF($D$3="— no row filter —",1,IF($F$3="is blank",IF(INDEX('Final Calculation Sheet'!$A$4:$AG$40,8-3,$AU$2)="",1,0),IF($F$3="is not blank",IF(INDEX('Final Calculation Sheet'!$A$4:$AG$40,8-3,$AU$2)="",0,1),IF($F$3="contains",IF(ISNUMBER(SEARCH($H$3,INDEX('Final Calculation Sheet'!$A$4:$AG$40,8-3,$AU$2))),1,0),IF($F$3="=",IF(INDEX('Final Calculation Sheet'!$A$4:$AG$40,8-3,$AU$2)=$H$3,1,0),IF($F$3="&lt;&gt;",IF(INDEX('Final Calculation Sheet'!$A$4:$AG$40,8-3,$AU$2)=$H$3,0,1),IF($F$3="&gt;",IF(N(INDEX('Final Calculation Sheet'!$A$4:$AG$40,8-3,$AU$2))&gt;N($H$3),1,0),IF($F$3="&gt;=",IF(N(INDEX('Final Calculation Sheet'!$A$4:$AG$40,8-3,$AU$2))&gt;=N($H$3),1,0),IF($F$3="&lt;",IF(N(INDEX('Final Calculation Sheet'!$A$4:$AG$40,8-3,$AU$2))&lt;N($H$3),1,0),IF($F$3="&lt;=",IF(N(INDEX('Final Calculation Sheet'!$A$4:$AG$40,8-3,$AU$2))&lt;=N($H$3),1,0),0)))))))))),0)</f>
        <v/>
      </c>
      <c r="AY8">
        <f>IF(AW8=1,SUM($AW$4:AW8),"")</f>
        <v/>
      </c>
      <c r="BA8">
        <f>IFERROR(MATCH(5,$AY$4:$AY$40,0)+3,"")</f>
        <v/>
      </c>
    </row>
    <row r="9" ht="15" customHeight="1">
      <c r="A9" s="675" t="inlineStr">
        <is>
          <t>Unit</t>
        </is>
      </c>
      <c r="B9" s="69">
        <f>IFERROR(IF(INDEX('Final Calculation Sheet'!$E$4:$E$40,$BA4-3)="","",INDEX('Final Calculation Sheet'!$E$4:$E$40,$BA4-3)),"")</f>
        <v/>
      </c>
      <c r="C9" s="676">
        <f>IFERROR(IF(INDEX('Final Calculation Sheet'!$E$4:$E$40,$BA5-3)="","",INDEX('Final Calculation Sheet'!$E$4:$E$40,$BA5-3)),"")</f>
        <v/>
      </c>
      <c r="D9" s="69">
        <f>IFERROR(IF(INDEX('Final Calculation Sheet'!$E$4:$E$40,$BA6-3)="","",INDEX('Final Calculation Sheet'!$E$4:$E$40,$BA6-3)),"")</f>
        <v/>
      </c>
      <c r="E9" s="676">
        <f>IFERROR(IF(INDEX('Final Calculation Sheet'!$E$4:$E$40,$BA7-3)="","",INDEX('Final Calculation Sheet'!$E$4:$E$40,$BA7-3)),"")</f>
        <v/>
      </c>
      <c r="F9" s="69">
        <f>IFERROR(IF(INDEX('Final Calculation Sheet'!$E$4:$E$40,$BA8-3)="","",INDEX('Final Calculation Sheet'!$E$4:$E$40,$BA8-3)),"")</f>
        <v/>
      </c>
      <c r="G9" s="676">
        <f>IFERROR(IF(INDEX('Final Calculation Sheet'!$E$4:$E$40,$BA9-3)="","",INDEX('Final Calculation Sheet'!$E$4:$E$40,$BA9-3)),"")</f>
        <v/>
      </c>
      <c r="H9" s="69">
        <f>IFERROR(IF(INDEX('Final Calculation Sheet'!$E$4:$E$40,$BA10-3)="","",INDEX('Final Calculation Sheet'!$E$4:$E$40,$BA10-3)),"")</f>
        <v/>
      </c>
      <c r="I9" s="676">
        <f>IFERROR(IF(INDEX('Final Calculation Sheet'!$E$4:$E$40,$BA11-3)="","",INDEX('Final Calculation Sheet'!$E$4:$E$40,$BA11-3)),"")</f>
        <v/>
      </c>
      <c r="J9" s="69">
        <f>IFERROR(IF(INDEX('Final Calculation Sheet'!$E$4:$E$40,$BA12-3)="","",INDEX('Final Calculation Sheet'!$E$4:$E$40,$BA12-3)),"")</f>
        <v/>
      </c>
      <c r="K9" s="676">
        <f>IFERROR(IF(INDEX('Final Calculation Sheet'!$E$4:$E$40,$BA13-3)="","",INDEX('Final Calculation Sheet'!$E$4:$E$40,$BA13-3)),"")</f>
        <v/>
      </c>
      <c r="L9" s="69">
        <f>IFERROR(IF(INDEX('Final Calculation Sheet'!$E$4:$E$40,$BA14-3)="","",INDEX('Final Calculation Sheet'!$E$4:$E$40,$BA14-3)),"")</f>
        <v/>
      </c>
      <c r="M9" s="676">
        <f>IFERROR(IF(INDEX('Final Calculation Sheet'!$E$4:$E$40,$BA15-3)="","",INDEX('Final Calculation Sheet'!$E$4:$E$40,$BA15-3)),"")</f>
        <v/>
      </c>
      <c r="N9" s="69">
        <f>IFERROR(IF(INDEX('Final Calculation Sheet'!$E$4:$E$40,$BA16-3)="","",INDEX('Final Calculation Sheet'!$E$4:$E$40,$BA16-3)),"")</f>
        <v/>
      </c>
      <c r="O9" s="676">
        <f>IFERROR(IF(INDEX('Final Calculation Sheet'!$E$4:$E$40,$BA17-3)="","",INDEX('Final Calculation Sheet'!$E$4:$E$40,$BA17-3)),"")</f>
        <v/>
      </c>
      <c r="P9" s="69">
        <f>IFERROR(IF(INDEX('Final Calculation Sheet'!$E$4:$E$40,$BA18-3)="","",INDEX('Final Calculation Sheet'!$E$4:$E$40,$BA18-3)),"")</f>
        <v/>
      </c>
      <c r="Q9" s="676">
        <f>IFERROR(IF(INDEX('Final Calculation Sheet'!$E$4:$E$40,$BA19-3)="","",INDEX('Final Calculation Sheet'!$E$4:$E$40,$BA19-3)),"")</f>
        <v/>
      </c>
      <c r="R9" s="69">
        <f>IFERROR(IF(INDEX('Final Calculation Sheet'!$E$4:$E$40,$BA20-3)="","",INDEX('Final Calculation Sheet'!$E$4:$E$40,$BA20-3)),"")</f>
        <v/>
      </c>
      <c r="S9" s="676">
        <f>IFERROR(IF(INDEX('Final Calculation Sheet'!$E$4:$E$40,$BA21-3)="","",INDEX('Final Calculation Sheet'!$E$4:$E$40,$BA21-3)),"")</f>
        <v/>
      </c>
      <c r="T9" s="69">
        <f>IFERROR(IF(INDEX('Final Calculation Sheet'!$E$4:$E$40,$BA22-3)="","",INDEX('Final Calculation Sheet'!$E$4:$E$40,$BA22-3)),"")</f>
        <v/>
      </c>
      <c r="U9" s="676">
        <f>IFERROR(IF(INDEX('Final Calculation Sheet'!$E$4:$E$40,$BA23-3)="","",INDEX('Final Calculation Sheet'!$E$4:$E$40,$BA23-3)),"")</f>
        <v/>
      </c>
      <c r="V9" s="69">
        <f>IFERROR(IF(INDEX('Final Calculation Sheet'!$E$4:$E$40,$BA24-3)="","",INDEX('Final Calculation Sheet'!$E$4:$E$40,$BA24-3)),"")</f>
        <v/>
      </c>
      <c r="W9" s="676">
        <f>IFERROR(IF(INDEX('Final Calculation Sheet'!$E$4:$E$40,$BA25-3)="","",INDEX('Final Calculation Sheet'!$E$4:$E$40,$BA25-3)),"")</f>
        <v/>
      </c>
      <c r="X9" s="69">
        <f>IFERROR(IF(INDEX('Final Calculation Sheet'!$E$4:$E$40,$BA26-3)="","",INDEX('Final Calculation Sheet'!$E$4:$E$40,$BA26-3)),"")</f>
        <v/>
      </c>
      <c r="Y9" s="676">
        <f>IFERROR(IF(INDEX('Final Calculation Sheet'!$E$4:$E$40,$BA27-3)="","",INDEX('Final Calculation Sheet'!$E$4:$E$40,$BA27-3)),"")</f>
        <v/>
      </c>
      <c r="Z9" s="69">
        <f>IFERROR(IF(INDEX('Final Calculation Sheet'!$E$4:$E$40,$BA28-3)="","",INDEX('Final Calculation Sheet'!$E$4:$E$40,$BA28-3)),"")</f>
        <v/>
      </c>
      <c r="AA9" s="676">
        <f>IFERROR(IF(INDEX('Final Calculation Sheet'!$E$4:$E$40,$BA29-3)="","",INDEX('Final Calculation Sheet'!$E$4:$E$40,$BA29-3)),"")</f>
        <v/>
      </c>
      <c r="AB9" s="69">
        <f>IFERROR(IF(INDEX('Final Calculation Sheet'!$E$4:$E$40,$BA30-3)="","",INDEX('Final Calculation Sheet'!$E$4:$E$40,$BA30-3)),"")</f>
        <v/>
      </c>
      <c r="AC9" s="676">
        <f>IFERROR(IF(INDEX('Final Calculation Sheet'!$E$4:$E$40,$BA31-3)="","",INDEX('Final Calculation Sheet'!$E$4:$E$40,$BA31-3)),"")</f>
        <v/>
      </c>
      <c r="AD9" s="69">
        <f>IFERROR(IF(INDEX('Final Calculation Sheet'!$E$4:$E$40,$BA32-3)="","",INDEX('Final Calculation Sheet'!$E$4:$E$40,$BA32-3)),"")</f>
        <v/>
      </c>
      <c r="AE9" s="676">
        <f>IFERROR(IF(INDEX('Final Calculation Sheet'!$E$4:$E$40,$BA33-3)="","",INDEX('Final Calculation Sheet'!$E$4:$E$40,$BA33-3)),"")</f>
        <v/>
      </c>
      <c r="AF9" s="69">
        <f>IFERROR(IF(INDEX('Final Calculation Sheet'!$E$4:$E$40,$BA34-3)="","",INDEX('Final Calculation Sheet'!$E$4:$E$40,$BA34-3)),"")</f>
        <v/>
      </c>
      <c r="AG9" s="676">
        <f>IFERROR(IF(INDEX('Final Calculation Sheet'!$E$4:$E$40,$BA35-3)="","",INDEX('Final Calculation Sheet'!$E$4:$E$40,$BA35-3)),"")</f>
        <v/>
      </c>
      <c r="AH9" s="69">
        <f>IFERROR(IF(INDEX('Final Calculation Sheet'!$E$4:$E$40,$BA36-3)="","",INDEX('Final Calculation Sheet'!$E$4:$E$40,$BA36-3)),"")</f>
        <v/>
      </c>
      <c r="AI9" s="676">
        <f>IFERROR(IF(INDEX('Final Calculation Sheet'!$E$4:$E$40,$BA37-3)="","",INDEX('Final Calculation Sheet'!$E$4:$E$40,$BA37-3)),"")</f>
        <v/>
      </c>
      <c r="AJ9" s="69">
        <f>IFERROR(IF(INDEX('Final Calculation Sheet'!$E$4:$E$40,$BA38-3)="","",INDEX('Final Calculation Sheet'!$E$4:$E$40,$BA38-3)),"")</f>
        <v/>
      </c>
      <c r="AK9" s="676">
        <f>IFERROR(IF(INDEX('Final Calculation Sheet'!$E$4:$E$40,$BA39-3)="","",INDEX('Final Calculation Sheet'!$E$4:$E$40,$BA39-3)),"")</f>
        <v/>
      </c>
      <c r="AL9" s="69">
        <f>IFERROR(IF(INDEX('Final Calculation Sheet'!$E$4:$E$40,$BA40-3)="","",INDEX('Final Calculation Sheet'!$E$4:$E$40,$BA40-3)),"")</f>
        <v/>
      </c>
      <c r="AM9" s="677" t="inlineStr">
        <is>
          <t>–</t>
        </is>
      </c>
      <c r="AO9" t="inlineStr">
        <is>
          <t>Lot No.</t>
        </is>
      </c>
      <c r="AQ9" t="inlineStr">
        <is>
          <t>M I SCRAP TRADERS</t>
        </is>
      </c>
      <c r="AS9" t="inlineStr">
        <is>
          <t>&lt;=</t>
        </is>
      </c>
      <c r="AW9">
        <f>IF(OR($B$3="ALL BUYERS",'Final Calculation Sheet'!$G9=$B$3),IF($D$3="— no row filter —",1,IF($F$3="is blank",IF(INDEX('Final Calculation Sheet'!$A$4:$AG$40,9-3,$AU$2)="",1,0),IF($F$3="is not blank",IF(INDEX('Final Calculation Sheet'!$A$4:$AG$40,9-3,$AU$2)="",0,1),IF($F$3="contains",IF(ISNUMBER(SEARCH($H$3,INDEX('Final Calculation Sheet'!$A$4:$AG$40,9-3,$AU$2))),1,0),IF($F$3="=",IF(INDEX('Final Calculation Sheet'!$A$4:$AG$40,9-3,$AU$2)=$H$3,1,0),IF($F$3="&lt;&gt;",IF(INDEX('Final Calculation Sheet'!$A$4:$AG$40,9-3,$AU$2)=$H$3,0,1),IF($F$3="&gt;",IF(N(INDEX('Final Calculation Sheet'!$A$4:$AG$40,9-3,$AU$2))&gt;N($H$3),1,0),IF($F$3="&gt;=",IF(N(INDEX('Final Calculation Sheet'!$A$4:$AG$40,9-3,$AU$2))&gt;=N($H$3),1,0),IF($F$3="&lt;",IF(N(INDEX('Final Calculation Sheet'!$A$4:$AG$40,9-3,$AU$2))&lt;N($H$3),1,0),IF($F$3="&lt;=",IF(N(INDEX('Final Calculation Sheet'!$A$4:$AG$40,9-3,$AU$2))&lt;=N($H$3),1,0),0)))))))))),0)</f>
        <v/>
      </c>
      <c r="AY9">
        <f>IF(AW9=1,SUM($AW$4:AW9),"")</f>
        <v/>
      </c>
      <c r="BA9">
        <f>IFERROR(MATCH(6,$AY$4:$AY$40,0)+3,"")</f>
        <v/>
      </c>
    </row>
    <row r="10" ht="15" customHeight="1">
      <c r="A10" s="678" t="inlineStr">
        <is>
          <t>Lot No.</t>
        </is>
      </c>
      <c r="B10" s="69">
        <f>IFERROR(IF(INDEX('Final Calculation Sheet'!$F$4:$F$40,$BA4-3)="","",INDEX('Final Calculation Sheet'!$F$4:$F$40,$BA4-3)),"")</f>
        <v/>
      </c>
      <c r="C10" s="676">
        <f>IFERROR(IF(INDEX('Final Calculation Sheet'!$F$4:$F$40,$BA5-3)="","",INDEX('Final Calculation Sheet'!$F$4:$F$40,$BA5-3)),"")</f>
        <v/>
      </c>
      <c r="D10" s="69">
        <f>IFERROR(IF(INDEX('Final Calculation Sheet'!$F$4:$F$40,$BA6-3)="","",INDEX('Final Calculation Sheet'!$F$4:$F$40,$BA6-3)),"")</f>
        <v/>
      </c>
      <c r="E10" s="676">
        <f>IFERROR(IF(INDEX('Final Calculation Sheet'!$F$4:$F$40,$BA7-3)="","",INDEX('Final Calculation Sheet'!$F$4:$F$40,$BA7-3)),"")</f>
        <v/>
      </c>
      <c r="F10" s="69">
        <f>IFERROR(IF(INDEX('Final Calculation Sheet'!$F$4:$F$40,$BA8-3)="","",INDEX('Final Calculation Sheet'!$F$4:$F$40,$BA8-3)),"")</f>
        <v/>
      </c>
      <c r="G10" s="676">
        <f>IFERROR(IF(INDEX('Final Calculation Sheet'!$F$4:$F$40,$BA9-3)="","",INDEX('Final Calculation Sheet'!$F$4:$F$40,$BA9-3)),"")</f>
        <v/>
      </c>
      <c r="H10" s="69">
        <f>IFERROR(IF(INDEX('Final Calculation Sheet'!$F$4:$F$40,$BA10-3)="","",INDEX('Final Calculation Sheet'!$F$4:$F$40,$BA10-3)),"")</f>
        <v/>
      </c>
      <c r="I10" s="676">
        <f>IFERROR(IF(INDEX('Final Calculation Sheet'!$F$4:$F$40,$BA11-3)="","",INDEX('Final Calculation Sheet'!$F$4:$F$40,$BA11-3)),"")</f>
        <v/>
      </c>
      <c r="J10" s="69">
        <f>IFERROR(IF(INDEX('Final Calculation Sheet'!$F$4:$F$40,$BA12-3)="","",INDEX('Final Calculation Sheet'!$F$4:$F$40,$BA12-3)),"")</f>
        <v/>
      </c>
      <c r="K10" s="676">
        <f>IFERROR(IF(INDEX('Final Calculation Sheet'!$F$4:$F$40,$BA13-3)="","",INDEX('Final Calculation Sheet'!$F$4:$F$40,$BA13-3)),"")</f>
        <v/>
      </c>
      <c r="L10" s="69">
        <f>IFERROR(IF(INDEX('Final Calculation Sheet'!$F$4:$F$40,$BA14-3)="","",INDEX('Final Calculation Sheet'!$F$4:$F$40,$BA14-3)),"")</f>
        <v/>
      </c>
      <c r="M10" s="676">
        <f>IFERROR(IF(INDEX('Final Calculation Sheet'!$F$4:$F$40,$BA15-3)="","",INDEX('Final Calculation Sheet'!$F$4:$F$40,$BA15-3)),"")</f>
        <v/>
      </c>
      <c r="N10" s="69">
        <f>IFERROR(IF(INDEX('Final Calculation Sheet'!$F$4:$F$40,$BA16-3)="","",INDEX('Final Calculation Sheet'!$F$4:$F$40,$BA16-3)),"")</f>
        <v/>
      </c>
      <c r="O10" s="676">
        <f>IFERROR(IF(INDEX('Final Calculation Sheet'!$F$4:$F$40,$BA17-3)="","",INDEX('Final Calculation Sheet'!$F$4:$F$40,$BA17-3)),"")</f>
        <v/>
      </c>
      <c r="P10" s="69">
        <f>IFERROR(IF(INDEX('Final Calculation Sheet'!$F$4:$F$40,$BA18-3)="","",INDEX('Final Calculation Sheet'!$F$4:$F$40,$BA18-3)),"")</f>
        <v/>
      </c>
      <c r="Q10" s="676">
        <f>IFERROR(IF(INDEX('Final Calculation Sheet'!$F$4:$F$40,$BA19-3)="","",INDEX('Final Calculation Sheet'!$F$4:$F$40,$BA19-3)),"")</f>
        <v/>
      </c>
      <c r="R10" s="69">
        <f>IFERROR(IF(INDEX('Final Calculation Sheet'!$F$4:$F$40,$BA20-3)="","",INDEX('Final Calculation Sheet'!$F$4:$F$40,$BA20-3)),"")</f>
        <v/>
      </c>
      <c r="S10" s="676">
        <f>IFERROR(IF(INDEX('Final Calculation Sheet'!$F$4:$F$40,$BA21-3)="","",INDEX('Final Calculation Sheet'!$F$4:$F$40,$BA21-3)),"")</f>
        <v/>
      </c>
      <c r="T10" s="69">
        <f>IFERROR(IF(INDEX('Final Calculation Sheet'!$F$4:$F$40,$BA22-3)="","",INDEX('Final Calculation Sheet'!$F$4:$F$40,$BA22-3)),"")</f>
        <v/>
      </c>
      <c r="U10" s="676">
        <f>IFERROR(IF(INDEX('Final Calculation Sheet'!$F$4:$F$40,$BA23-3)="","",INDEX('Final Calculation Sheet'!$F$4:$F$40,$BA23-3)),"")</f>
        <v/>
      </c>
      <c r="V10" s="69">
        <f>IFERROR(IF(INDEX('Final Calculation Sheet'!$F$4:$F$40,$BA24-3)="","",INDEX('Final Calculation Sheet'!$F$4:$F$40,$BA24-3)),"")</f>
        <v/>
      </c>
      <c r="W10" s="676">
        <f>IFERROR(IF(INDEX('Final Calculation Sheet'!$F$4:$F$40,$BA25-3)="","",INDEX('Final Calculation Sheet'!$F$4:$F$40,$BA25-3)),"")</f>
        <v/>
      </c>
      <c r="X10" s="69">
        <f>IFERROR(IF(INDEX('Final Calculation Sheet'!$F$4:$F$40,$BA26-3)="","",INDEX('Final Calculation Sheet'!$F$4:$F$40,$BA26-3)),"")</f>
        <v/>
      </c>
      <c r="Y10" s="676">
        <f>IFERROR(IF(INDEX('Final Calculation Sheet'!$F$4:$F$40,$BA27-3)="","",INDEX('Final Calculation Sheet'!$F$4:$F$40,$BA27-3)),"")</f>
        <v/>
      </c>
      <c r="Z10" s="69">
        <f>IFERROR(IF(INDEX('Final Calculation Sheet'!$F$4:$F$40,$BA28-3)="","",INDEX('Final Calculation Sheet'!$F$4:$F$40,$BA28-3)),"")</f>
        <v/>
      </c>
      <c r="AA10" s="676">
        <f>IFERROR(IF(INDEX('Final Calculation Sheet'!$F$4:$F$40,$BA29-3)="","",INDEX('Final Calculation Sheet'!$F$4:$F$40,$BA29-3)),"")</f>
        <v/>
      </c>
      <c r="AB10" s="69">
        <f>IFERROR(IF(INDEX('Final Calculation Sheet'!$F$4:$F$40,$BA30-3)="","",INDEX('Final Calculation Sheet'!$F$4:$F$40,$BA30-3)),"")</f>
        <v/>
      </c>
      <c r="AC10" s="676">
        <f>IFERROR(IF(INDEX('Final Calculation Sheet'!$F$4:$F$40,$BA31-3)="","",INDEX('Final Calculation Sheet'!$F$4:$F$40,$BA31-3)),"")</f>
        <v/>
      </c>
      <c r="AD10" s="69">
        <f>IFERROR(IF(INDEX('Final Calculation Sheet'!$F$4:$F$40,$BA32-3)="","",INDEX('Final Calculation Sheet'!$F$4:$F$40,$BA32-3)),"")</f>
        <v/>
      </c>
      <c r="AE10" s="676">
        <f>IFERROR(IF(INDEX('Final Calculation Sheet'!$F$4:$F$40,$BA33-3)="","",INDEX('Final Calculation Sheet'!$F$4:$F$40,$BA33-3)),"")</f>
        <v/>
      </c>
      <c r="AF10" s="69">
        <f>IFERROR(IF(INDEX('Final Calculation Sheet'!$F$4:$F$40,$BA34-3)="","",INDEX('Final Calculation Sheet'!$F$4:$F$40,$BA34-3)),"")</f>
        <v/>
      </c>
      <c r="AG10" s="676">
        <f>IFERROR(IF(INDEX('Final Calculation Sheet'!$F$4:$F$40,$BA35-3)="","",INDEX('Final Calculation Sheet'!$F$4:$F$40,$BA35-3)),"")</f>
        <v/>
      </c>
      <c r="AH10" s="69">
        <f>IFERROR(IF(INDEX('Final Calculation Sheet'!$F$4:$F$40,$BA36-3)="","",INDEX('Final Calculation Sheet'!$F$4:$F$40,$BA36-3)),"")</f>
        <v/>
      </c>
      <c r="AI10" s="676">
        <f>IFERROR(IF(INDEX('Final Calculation Sheet'!$F$4:$F$40,$BA37-3)="","",INDEX('Final Calculation Sheet'!$F$4:$F$40,$BA37-3)),"")</f>
        <v/>
      </c>
      <c r="AJ10" s="69">
        <f>IFERROR(IF(INDEX('Final Calculation Sheet'!$F$4:$F$40,$BA38-3)="","",INDEX('Final Calculation Sheet'!$F$4:$F$40,$BA38-3)),"")</f>
        <v/>
      </c>
      <c r="AK10" s="676">
        <f>IFERROR(IF(INDEX('Final Calculation Sheet'!$F$4:$F$40,$BA39-3)="","",INDEX('Final Calculation Sheet'!$F$4:$F$40,$BA39-3)),"")</f>
        <v/>
      </c>
      <c r="AL10" s="69">
        <f>IFERROR(IF(INDEX('Final Calculation Sheet'!$F$4:$F$40,$BA40-3)="","",INDEX('Final Calculation Sheet'!$F$4:$F$40,$BA40-3)),"")</f>
        <v/>
      </c>
      <c r="AM10" s="677" t="inlineStr">
        <is>
          <t>–</t>
        </is>
      </c>
      <c r="AO10" t="inlineStr">
        <is>
          <t>Buyer</t>
        </is>
      </c>
      <c r="AQ10" t="inlineStr">
        <is>
          <t>NATIONAL ENTERPRISES</t>
        </is>
      </c>
      <c r="AS10" t="inlineStr">
        <is>
          <t>contains</t>
        </is>
      </c>
      <c r="AW10">
        <f>IF(OR($B$3="ALL BUYERS",'Final Calculation Sheet'!$G10=$B$3),IF($D$3="— no row filter —",1,IF($F$3="is blank",IF(INDEX('Final Calculation Sheet'!$A$4:$AG$40,10-3,$AU$2)="",1,0),IF($F$3="is not blank",IF(INDEX('Final Calculation Sheet'!$A$4:$AG$40,10-3,$AU$2)="",0,1),IF($F$3="contains",IF(ISNUMBER(SEARCH($H$3,INDEX('Final Calculation Sheet'!$A$4:$AG$40,10-3,$AU$2))),1,0),IF($F$3="=",IF(INDEX('Final Calculation Sheet'!$A$4:$AG$40,10-3,$AU$2)=$H$3,1,0),IF($F$3="&lt;&gt;",IF(INDEX('Final Calculation Sheet'!$A$4:$AG$40,10-3,$AU$2)=$H$3,0,1),IF($F$3="&gt;",IF(N(INDEX('Final Calculation Sheet'!$A$4:$AG$40,10-3,$AU$2))&gt;N($H$3),1,0),IF($F$3="&gt;=",IF(N(INDEX('Final Calculation Sheet'!$A$4:$AG$40,10-3,$AU$2))&gt;=N($H$3),1,0),IF($F$3="&lt;",IF(N(INDEX('Final Calculation Sheet'!$A$4:$AG$40,10-3,$AU$2))&lt;N($H$3),1,0),IF($F$3="&lt;=",IF(N(INDEX('Final Calculation Sheet'!$A$4:$AG$40,10-3,$AU$2))&lt;=N($H$3),1,0),0)))))))))),0)</f>
        <v/>
      </c>
      <c r="AY10">
        <f>IF(AW10=1,SUM($AW$4:AW10),"")</f>
        <v/>
      </c>
      <c r="BA10">
        <f>IFERROR(MATCH(7,$AY$4:$AY$40,0)+3,"")</f>
        <v/>
      </c>
    </row>
    <row r="11" ht="15" customHeight="1">
      <c r="A11" s="675" t="inlineStr">
        <is>
          <t>Buyer</t>
        </is>
      </c>
      <c r="B11" s="69">
        <f>IFERROR(IF(INDEX('Final Calculation Sheet'!$G$4:$G$40,$BA4-3)="","",INDEX('Final Calculation Sheet'!$G$4:$G$40,$BA4-3)),"")</f>
        <v/>
      </c>
      <c r="C11" s="676">
        <f>IFERROR(IF(INDEX('Final Calculation Sheet'!$G$4:$G$40,$BA5-3)="","",INDEX('Final Calculation Sheet'!$G$4:$G$40,$BA5-3)),"")</f>
        <v/>
      </c>
      <c r="D11" s="69">
        <f>IFERROR(IF(INDEX('Final Calculation Sheet'!$G$4:$G$40,$BA6-3)="","",INDEX('Final Calculation Sheet'!$G$4:$G$40,$BA6-3)),"")</f>
        <v/>
      </c>
      <c r="E11" s="676">
        <f>IFERROR(IF(INDEX('Final Calculation Sheet'!$G$4:$G$40,$BA7-3)="","",INDEX('Final Calculation Sheet'!$G$4:$G$40,$BA7-3)),"")</f>
        <v/>
      </c>
      <c r="F11" s="69">
        <f>IFERROR(IF(INDEX('Final Calculation Sheet'!$G$4:$G$40,$BA8-3)="","",INDEX('Final Calculation Sheet'!$G$4:$G$40,$BA8-3)),"")</f>
        <v/>
      </c>
      <c r="G11" s="676">
        <f>IFERROR(IF(INDEX('Final Calculation Sheet'!$G$4:$G$40,$BA9-3)="","",INDEX('Final Calculation Sheet'!$G$4:$G$40,$BA9-3)),"")</f>
        <v/>
      </c>
      <c r="H11" s="69">
        <f>IFERROR(IF(INDEX('Final Calculation Sheet'!$G$4:$G$40,$BA10-3)="","",INDEX('Final Calculation Sheet'!$G$4:$G$40,$BA10-3)),"")</f>
        <v/>
      </c>
      <c r="I11" s="676">
        <f>IFERROR(IF(INDEX('Final Calculation Sheet'!$G$4:$G$40,$BA11-3)="","",INDEX('Final Calculation Sheet'!$G$4:$G$40,$BA11-3)),"")</f>
        <v/>
      </c>
      <c r="J11" s="69">
        <f>IFERROR(IF(INDEX('Final Calculation Sheet'!$G$4:$G$40,$BA12-3)="","",INDEX('Final Calculation Sheet'!$G$4:$G$40,$BA12-3)),"")</f>
        <v/>
      </c>
      <c r="K11" s="676">
        <f>IFERROR(IF(INDEX('Final Calculation Sheet'!$G$4:$G$40,$BA13-3)="","",INDEX('Final Calculation Sheet'!$G$4:$G$40,$BA13-3)),"")</f>
        <v/>
      </c>
      <c r="L11" s="69">
        <f>IFERROR(IF(INDEX('Final Calculation Sheet'!$G$4:$G$40,$BA14-3)="","",INDEX('Final Calculation Sheet'!$G$4:$G$40,$BA14-3)),"")</f>
        <v/>
      </c>
      <c r="M11" s="676">
        <f>IFERROR(IF(INDEX('Final Calculation Sheet'!$G$4:$G$40,$BA15-3)="","",INDEX('Final Calculation Sheet'!$G$4:$G$40,$BA15-3)),"")</f>
        <v/>
      </c>
      <c r="N11" s="69">
        <f>IFERROR(IF(INDEX('Final Calculation Sheet'!$G$4:$G$40,$BA16-3)="","",INDEX('Final Calculation Sheet'!$G$4:$G$40,$BA16-3)),"")</f>
        <v/>
      </c>
      <c r="O11" s="676">
        <f>IFERROR(IF(INDEX('Final Calculation Sheet'!$G$4:$G$40,$BA17-3)="","",INDEX('Final Calculation Sheet'!$G$4:$G$40,$BA17-3)),"")</f>
        <v/>
      </c>
      <c r="P11" s="69">
        <f>IFERROR(IF(INDEX('Final Calculation Sheet'!$G$4:$G$40,$BA18-3)="","",INDEX('Final Calculation Sheet'!$G$4:$G$40,$BA18-3)),"")</f>
        <v/>
      </c>
      <c r="Q11" s="676">
        <f>IFERROR(IF(INDEX('Final Calculation Sheet'!$G$4:$G$40,$BA19-3)="","",INDEX('Final Calculation Sheet'!$G$4:$G$40,$BA19-3)),"")</f>
        <v/>
      </c>
      <c r="R11" s="69">
        <f>IFERROR(IF(INDEX('Final Calculation Sheet'!$G$4:$G$40,$BA20-3)="","",INDEX('Final Calculation Sheet'!$G$4:$G$40,$BA20-3)),"")</f>
        <v/>
      </c>
      <c r="S11" s="676">
        <f>IFERROR(IF(INDEX('Final Calculation Sheet'!$G$4:$G$40,$BA21-3)="","",INDEX('Final Calculation Sheet'!$G$4:$G$40,$BA21-3)),"")</f>
        <v/>
      </c>
      <c r="T11" s="69">
        <f>IFERROR(IF(INDEX('Final Calculation Sheet'!$G$4:$G$40,$BA22-3)="","",INDEX('Final Calculation Sheet'!$G$4:$G$40,$BA22-3)),"")</f>
        <v/>
      </c>
      <c r="U11" s="676">
        <f>IFERROR(IF(INDEX('Final Calculation Sheet'!$G$4:$G$40,$BA23-3)="","",INDEX('Final Calculation Sheet'!$G$4:$G$40,$BA23-3)),"")</f>
        <v/>
      </c>
      <c r="V11" s="69">
        <f>IFERROR(IF(INDEX('Final Calculation Sheet'!$G$4:$G$40,$BA24-3)="","",INDEX('Final Calculation Sheet'!$G$4:$G$40,$BA24-3)),"")</f>
        <v/>
      </c>
      <c r="W11" s="676">
        <f>IFERROR(IF(INDEX('Final Calculation Sheet'!$G$4:$G$40,$BA25-3)="","",INDEX('Final Calculation Sheet'!$G$4:$G$40,$BA25-3)),"")</f>
        <v/>
      </c>
      <c r="X11" s="69">
        <f>IFERROR(IF(INDEX('Final Calculation Sheet'!$G$4:$G$40,$BA26-3)="","",INDEX('Final Calculation Sheet'!$G$4:$G$40,$BA26-3)),"")</f>
        <v/>
      </c>
      <c r="Y11" s="676">
        <f>IFERROR(IF(INDEX('Final Calculation Sheet'!$G$4:$G$40,$BA27-3)="","",INDEX('Final Calculation Sheet'!$G$4:$G$40,$BA27-3)),"")</f>
        <v/>
      </c>
      <c r="Z11" s="69">
        <f>IFERROR(IF(INDEX('Final Calculation Sheet'!$G$4:$G$40,$BA28-3)="","",INDEX('Final Calculation Sheet'!$G$4:$G$40,$BA28-3)),"")</f>
        <v/>
      </c>
      <c r="AA11" s="676">
        <f>IFERROR(IF(INDEX('Final Calculation Sheet'!$G$4:$G$40,$BA29-3)="","",INDEX('Final Calculation Sheet'!$G$4:$G$40,$BA29-3)),"")</f>
        <v/>
      </c>
      <c r="AB11" s="69">
        <f>IFERROR(IF(INDEX('Final Calculation Sheet'!$G$4:$G$40,$BA30-3)="","",INDEX('Final Calculation Sheet'!$G$4:$G$40,$BA30-3)),"")</f>
        <v/>
      </c>
      <c r="AC11" s="676">
        <f>IFERROR(IF(INDEX('Final Calculation Sheet'!$G$4:$G$40,$BA31-3)="","",INDEX('Final Calculation Sheet'!$G$4:$G$40,$BA31-3)),"")</f>
        <v/>
      </c>
      <c r="AD11" s="69">
        <f>IFERROR(IF(INDEX('Final Calculation Sheet'!$G$4:$G$40,$BA32-3)="","",INDEX('Final Calculation Sheet'!$G$4:$G$40,$BA32-3)),"")</f>
        <v/>
      </c>
      <c r="AE11" s="676">
        <f>IFERROR(IF(INDEX('Final Calculation Sheet'!$G$4:$G$40,$BA33-3)="","",INDEX('Final Calculation Sheet'!$G$4:$G$40,$BA33-3)),"")</f>
        <v/>
      </c>
      <c r="AF11" s="69">
        <f>IFERROR(IF(INDEX('Final Calculation Sheet'!$G$4:$G$40,$BA34-3)="","",INDEX('Final Calculation Sheet'!$G$4:$G$40,$BA34-3)),"")</f>
        <v/>
      </c>
      <c r="AG11" s="676">
        <f>IFERROR(IF(INDEX('Final Calculation Sheet'!$G$4:$G$40,$BA35-3)="","",INDEX('Final Calculation Sheet'!$G$4:$G$40,$BA35-3)),"")</f>
        <v/>
      </c>
      <c r="AH11" s="69">
        <f>IFERROR(IF(INDEX('Final Calculation Sheet'!$G$4:$G$40,$BA36-3)="","",INDEX('Final Calculation Sheet'!$G$4:$G$40,$BA36-3)),"")</f>
        <v/>
      </c>
      <c r="AI11" s="676">
        <f>IFERROR(IF(INDEX('Final Calculation Sheet'!$G$4:$G$40,$BA37-3)="","",INDEX('Final Calculation Sheet'!$G$4:$G$40,$BA37-3)),"")</f>
        <v/>
      </c>
      <c r="AJ11" s="69">
        <f>IFERROR(IF(INDEX('Final Calculation Sheet'!$G$4:$G$40,$BA38-3)="","",INDEX('Final Calculation Sheet'!$G$4:$G$40,$BA38-3)),"")</f>
        <v/>
      </c>
      <c r="AK11" s="676">
        <f>IFERROR(IF(INDEX('Final Calculation Sheet'!$G$4:$G$40,$BA39-3)="","",INDEX('Final Calculation Sheet'!$G$4:$G$40,$BA39-3)),"")</f>
        <v/>
      </c>
      <c r="AL11" s="69">
        <f>IFERROR(IF(INDEX('Final Calculation Sheet'!$G$4:$G$40,$BA40-3)="","",INDEX('Final Calculation Sheet'!$G$4:$G$40,$BA40-3)),"")</f>
        <v/>
      </c>
      <c r="AM11" s="677" t="inlineStr">
        <is>
          <t>–</t>
        </is>
      </c>
      <c r="AO11" t="inlineStr">
        <is>
          <t>Mat. Value</t>
        </is>
      </c>
      <c r="AQ11" t="inlineStr">
        <is>
          <t>NATIONAL SCRAP AND BUILDING MATERIAL SUPPLIER</t>
        </is>
      </c>
      <c r="AS11" t="inlineStr">
        <is>
          <t>is blank</t>
        </is>
      </c>
      <c r="AW11">
        <f>IF(OR($B$3="ALL BUYERS",'Final Calculation Sheet'!$G11=$B$3),IF($D$3="— no row filter —",1,IF($F$3="is blank",IF(INDEX('Final Calculation Sheet'!$A$4:$AG$40,11-3,$AU$2)="",1,0),IF($F$3="is not blank",IF(INDEX('Final Calculation Sheet'!$A$4:$AG$40,11-3,$AU$2)="",0,1),IF($F$3="contains",IF(ISNUMBER(SEARCH($H$3,INDEX('Final Calculation Sheet'!$A$4:$AG$40,11-3,$AU$2))),1,0),IF($F$3="=",IF(INDEX('Final Calculation Sheet'!$A$4:$AG$40,11-3,$AU$2)=$H$3,1,0),IF($F$3="&lt;&gt;",IF(INDEX('Final Calculation Sheet'!$A$4:$AG$40,11-3,$AU$2)=$H$3,0,1),IF($F$3="&gt;",IF(N(INDEX('Final Calculation Sheet'!$A$4:$AG$40,11-3,$AU$2))&gt;N($H$3),1,0),IF($F$3="&gt;=",IF(N(INDEX('Final Calculation Sheet'!$A$4:$AG$40,11-3,$AU$2))&gt;=N($H$3),1,0),IF($F$3="&lt;",IF(N(INDEX('Final Calculation Sheet'!$A$4:$AG$40,11-3,$AU$2))&lt;N($H$3),1,0),IF($F$3="&lt;=",IF(N(INDEX('Final Calculation Sheet'!$A$4:$AG$40,11-3,$AU$2))&lt;=N($H$3),1,0),0)))))))))),0)</f>
        <v/>
      </c>
      <c r="AY11">
        <f>IF(AW11=1,SUM($AW$4:AW11),"")</f>
        <v/>
      </c>
      <c r="BA11">
        <f>IFERROR(MATCH(8,$AY$4:$AY$40,0)+3,"")</f>
        <v/>
      </c>
    </row>
    <row r="12" ht="15" customHeight="1">
      <c r="A12" s="678" t="inlineStr">
        <is>
          <t>Mat. Value</t>
        </is>
      </c>
      <c r="B12" s="544">
        <f>IFERROR(IF(INDEX('Final Calculation Sheet'!$H$4:$H$40,$BA4-3)="","",INDEX('Final Calculation Sheet'!$H$4:$H$40,$BA4-3)),"")</f>
        <v/>
      </c>
      <c r="C12" s="679">
        <f>IFERROR(IF(INDEX('Final Calculation Sheet'!$H$4:$H$40,$BA5-3)="","",INDEX('Final Calculation Sheet'!$H$4:$H$40,$BA5-3)),"")</f>
        <v/>
      </c>
      <c r="D12" s="544">
        <f>IFERROR(IF(INDEX('Final Calculation Sheet'!$H$4:$H$40,$BA6-3)="","",INDEX('Final Calculation Sheet'!$H$4:$H$40,$BA6-3)),"")</f>
        <v/>
      </c>
      <c r="E12" s="679">
        <f>IFERROR(IF(INDEX('Final Calculation Sheet'!$H$4:$H$40,$BA7-3)="","",INDEX('Final Calculation Sheet'!$H$4:$H$40,$BA7-3)),"")</f>
        <v/>
      </c>
      <c r="F12" s="544">
        <f>IFERROR(IF(INDEX('Final Calculation Sheet'!$H$4:$H$40,$BA8-3)="","",INDEX('Final Calculation Sheet'!$H$4:$H$40,$BA8-3)),"")</f>
        <v/>
      </c>
      <c r="G12" s="679">
        <f>IFERROR(IF(INDEX('Final Calculation Sheet'!$H$4:$H$40,$BA9-3)="","",INDEX('Final Calculation Sheet'!$H$4:$H$40,$BA9-3)),"")</f>
        <v/>
      </c>
      <c r="H12" s="544">
        <f>IFERROR(IF(INDEX('Final Calculation Sheet'!$H$4:$H$40,$BA10-3)="","",INDEX('Final Calculation Sheet'!$H$4:$H$40,$BA10-3)),"")</f>
        <v/>
      </c>
      <c r="I12" s="679">
        <f>IFERROR(IF(INDEX('Final Calculation Sheet'!$H$4:$H$40,$BA11-3)="","",INDEX('Final Calculation Sheet'!$H$4:$H$40,$BA11-3)),"")</f>
        <v/>
      </c>
      <c r="J12" s="544">
        <f>IFERROR(IF(INDEX('Final Calculation Sheet'!$H$4:$H$40,$BA12-3)="","",INDEX('Final Calculation Sheet'!$H$4:$H$40,$BA12-3)),"")</f>
        <v/>
      </c>
      <c r="K12" s="679">
        <f>IFERROR(IF(INDEX('Final Calculation Sheet'!$H$4:$H$40,$BA13-3)="","",INDEX('Final Calculation Sheet'!$H$4:$H$40,$BA13-3)),"")</f>
        <v/>
      </c>
      <c r="L12" s="544">
        <f>IFERROR(IF(INDEX('Final Calculation Sheet'!$H$4:$H$40,$BA14-3)="","",INDEX('Final Calculation Sheet'!$H$4:$H$40,$BA14-3)),"")</f>
        <v/>
      </c>
      <c r="M12" s="679">
        <f>IFERROR(IF(INDEX('Final Calculation Sheet'!$H$4:$H$40,$BA15-3)="","",INDEX('Final Calculation Sheet'!$H$4:$H$40,$BA15-3)),"")</f>
        <v/>
      </c>
      <c r="N12" s="544">
        <f>IFERROR(IF(INDEX('Final Calculation Sheet'!$H$4:$H$40,$BA16-3)="","",INDEX('Final Calculation Sheet'!$H$4:$H$40,$BA16-3)),"")</f>
        <v/>
      </c>
      <c r="O12" s="679">
        <f>IFERROR(IF(INDEX('Final Calculation Sheet'!$H$4:$H$40,$BA17-3)="","",INDEX('Final Calculation Sheet'!$H$4:$H$40,$BA17-3)),"")</f>
        <v/>
      </c>
      <c r="P12" s="544">
        <f>IFERROR(IF(INDEX('Final Calculation Sheet'!$H$4:$H$40,$BA18-3)="","",INDEX('Final Calculation Sheet'!$H$4:$H$40,$BA18-3)),"")</f>
        <v/>
      </c>
      <c r="Q12" s="679">
        <f>IFERROR(IF(INDEX('Final Calculation Sheet'!$H$4:$H$40,$BA19-3)="","",INDEX('Final Calculation Sheet'!$H$4:$H$40,$BA19-3)),"")</f>
        <v/>
      </c>
      <c r="R12" s="544">
        <f>IFERROR(IF(INDEX('Final Calculation Sheet'!$H$4:$H$40,$BA20-3)="","",INDEX('Final Calculation Sheet'!$H$4:$H$40,$BA20-3)),"")</f>
        <v/>
      </c>
      <c r="S12" s="679">
        <f>IFERROR(IF(INDEX('Final Calculation Sheet'!$H$4:$H$40,$BA21-3)="","",INDEX('Final Calculation Sheet'!$H$4:$H$40,$BA21-3)),"")</f>
        <v/>
      </c>
      <c r="T12" s="544">
        <f>IFERROR(IF(INDEX('Final Calculation Sheet'!$H$4:$H$40,$BA22-3)="","",INDEX('Final Calculation Sheet'!$H$4:$H$40,$BA22-3)),"")</f>
        <v/>
      </c>
      <c r="U12" s="679">
        <f>IFERROR(IF(INDEX('Final Calculation Sheet'!$H$4:$H$40,$BA23-3)="","",INDEX('Final Calculation Sheet'!$H$4:$H$40,$BA23-3)),"")</f>
        <v/>
      </c>
      <c r="V12" s="544">
        <f>IFERROR(IF(INDEX('Final Calculation Sheet'!$H$4:$H$40,$BA24-3)="","",INDEX('Final Calculation Sheet'!$H$4:$H$40,$BA24-3)),"")</f>
        <v/>
      </c>
      <c r="W12" s="679">
        <f>IFERROR(IF(INDEX('Final Calculation Sheet'!$H$4:$H$40,$BA25-3)="","",INDEX('Final Calculation Sheet'!$H$4:$H$40,$BA25-3)),"")</f>
        <v/>
      </c>
      <c r="X12" s="544">
        <f>IFERROR(IF(INDEX('Final Calculation Sheet'!$H$4:$H$40,$BA26-3)="","",INDEX('Final Calculation Sheet'!$H$4:$H$40,$BA26-3)),"")</f>
        <v/>
      </c>
      <c r="Y12" s="679">
        <f>IFERROR(IF(INDEX('Final Calculation Sheet'!$H$4:$H$40,$BA27-3)="","",INDEX('Final Calculation Sheet'!$H$4:$H$40,$BA27-3)),"")</f>
        <v/>
      </c>
      <c r="Z12" s="544">
        <f>IFERROR(IF(INDEX('Final Calculation Sheet'!$H$4:$H$40,$BA28-3)="","",INDEX('Final Calculation Sheet'!$H$4:$H$40,$BA28-3)),"")</f>
        <v/>
      </c>
      <c r="AA12" s="679">
        <f>IFERROR(IF(INDEX('Final Calculation Sheet'!$H$4:$H$40,$BA29-3)="","",INDEX('Final Calculation Sheet'!$H$4:$H$40,$BA29-3)),"")</f>
        <v/>
      </c>
      <c r="AB12" s="544">
        <f>IFERROR(IF(INDEX('Final Calculation Sheet'!$H$4:$H$40,$BA30-3)="","",INDEX('Final Calculation Sheet'!$H$4:$H$40,$BA30-3)),"")</f>
        <v/>
      </c>
      <c r="AC12" s="679">
        <f>IFERROR(IF(INDEX('Final Calculation Sheet'!$H$4:$H$40,$BA31-3)="","",INDEX('Final Calculation Sheet'!$H$4:$H$40,$BA31-3)),"")</f>
        <v/>
      </c>
      <c r="AD12" s="544">
        <f>IFERROR(IF(INDEX('Final Calculation Sheet'!$H$4:$H$40,$BA32-3)="","",INDEX('Final Calculation Sheet'!$H$4:$H$40,$BA32-3)),"")</f>
        <v/>
      </c>
      <c r="AE12" s="679">
        <f>IFERROR(IF(INDEX('Final Calculation Sheet'!$H$4:$H$40,$BA33-3)="","",INDEX('Final Calculation Sheet'!$H$4:$H$40,$BA33-3)),"")</f>
        <v/>
      </c>
      <c r="AF12" s="544">
        <f>IFERROR(IF(INDEX('Final Calculation Sheet'!$H$4:$H$40,$BA34-3)="","",INDEX('Final Calculation Sheet'!$H$4:$H$40,$BA34-3)),"")</f>
        <v/>
      </c>
      <c r="AG12" s="679">
        <f>IFERROR(IF(INDEX('Final Calculation Sheet'!$H$4:$H$40,$BA35-3)="","",INDEX('Final Calculation Sheet'!$H$4:$H$40,$BA35-3)),"")</f>
        <v/>
      </c>
      <c r="AH12" s="544">
        <f>IFERROR(IF(INDEX('Final Calculation Sheet'!$H$4:$H$40,$BA36-3)="","",INDEX('Final Calculation Sheet'!$H$4:$H$40,$BA36-3)),"")</f>
        <v/>
      </c>
      <c r="AI12" s="679">
        <f>IFERROR(IF(INDEX('Final Calculation Sheet'!$H$4:$H$40,$BA37-3)="","",INDEX('Final Calculation Sheet'!$H$4:$H$40,$BA37-3)),"")</f>
        <v/>
      </c>
      <c r="AJ12" s="544">
        <f>IFERROR(IF(INDEX('Final Calculation Sheet'!$H$4:$H$40,$BA38-3)="","",INDEX('Final Calculation Sheet'!$H$4:$H$40,$BA38-3)),"")</f>
        <v/>
      </c>
      <c r="AK12" s="679">
        <f>IFERROR(IF(INDEX('Final Calculation Sheet'!$H$4:$H$40,$BA39-3)="","",INDEX('Final Calculation Sheet'!$H$4:$H$40,$BA39-3)),"")</f>
        <v/>
      </c>
      <c r="AL12" s="544">
        <f>IFERROR(IF(INDEX('Final Calculation Sheet'!$H$4:$H$40,$BA40-3)="","",INDEX('Final Calculation Sheet'!$H$4:$H$40,$BA40-3)),"")</f>
        <v/>
      </c>
      <c r="AM12" s="680">
        <f>IF(COUNT(B12:AL12)=0,"",SUM(B12:AL12))</f>
        <v/>
      </c>
      <c r="AO12" t="inlineStr">
        <is>
          <t>GST</t>
        </is>
      </c>
      <c r="AQ12" t="inlineStr">
        <is>
          <t>OMKAR STEELS</t>
        </is>
      </c>
      <c r="AS12" t="inlineStr">
        <is>
          <t>is not blank</t>
        </is>
      </c>
      <c r="AW12">
        <f>IF(OR($B$3="ALL BUYERS",'Final Calculation Sheet'!$G12=$B$3),IF($D$3="— no row filter —",1,IF($F$3="is blank",IF(INDEX('Final Calculation Sheet'!$A$4:$AG$40,12-3,$AU$2)="",1,0),IF($F$3="is not blank",IF(INDEX('Final Calculation Sheet'!$A$4:$AG$40,12-3,$AU$2)="",0,1),IF($F$3="contains",IF(ISNUMBER(SEARCH($H$3,INDEX('Final Calculation Sheet'!$A$4:$AG$40,12-3,$AU$2))),1,0),IF($F$3="=",IF(INDEX('Final Calculation Sheet'!$A$4:$AG$40,12-3,$AU$2)=$H$3,1,0),IF($F$3="&lt;&gt;",IF(INDEX('Final Calculation Sheet'!$A$4:$AG$40,12-3,$AU$2)=$H$3,0,1),IF($F$3="&gt;",IF(N(INDEX('Final Calculation Sheet'!$A$4:$AG$40,12-3,$AU$2))&gt;N($H$3),1,0),IF($F$3="&gt;=",IF(N(INDEX('Final Calculation Sheet'!$A$4:$AG$40,12-3,$AU$2))&gt;=N($H$3),1,0),IF($F$3="&lt;",IF(N(INDEX('Final Calculation Sheet'!$A$4:$AG$40,12-3,$AU$2))&lt;N($H$3),1,0),IF($F$3="&lt;=",IF(N(INDEX('Final Calculation Sheet'!$A$4:$AG$40,12-3,$AU$2))&lt;=N($H$3),1,0),0)))))))))),0)</f>
        <v/>
      </c>
      <c r="AY12">
        <f>IF(AW12=1,SUM($AW$4:AW12),"")</f>
        <v/>
      </c>
      <c r="BA12">
        <f>IFERROR(MATCH(9,$AY$4:$AY$40,0)+3,"")</f>
        <v/>
      </c>
    </row>
    <row r="13" ht="15" customHeight="1">
      <c r="A13" s="675" t="inlineStr">
        <is>
          <t>GST</t>
        </is>
      </c>
      <c r="B13" s="544">
        <f>IFERROR(IF(INDEX('Final Calculation Sheet'!$I$4:$I$40,$BA4-3)="","",INDEX('Final Calculation Sheet'!$I$4:$I$40,$BA4-3)),"")</f>
        <v/>
      </c>
      <c r="C13" s="679">
        <f>IFERROR(IF(INDEX('Final Calculation Sheet'!$I$4:$I$40,$BA5-3)="","",INDEX('Final Calculation Sheet'!$I$4:$I$40,$BA5-3)),"")</f>
        <v/>
      </c>
      <c r="D13" s="544">
        <f>IFERROR(IF(INDEX('Final Calculation Sheet'!$I$4:$I$40,$BA6-3)="","",INDEX('Final Calculation Sheet'!$I$4:$I$40,$BA6-3)),"")</f>
        <v/>
      </c>
      <c r="E13" s="679">
        <f>IFERROR(IF(INDEX('Final Calculation Sheet'!$I$4:$I$40,$BA7-3)="","",INDEX('Final Calculation Sheet'!$I$4:$I$40,$BA7-3)),"")</f>
        <v/>
      </c>
      <c r="F13" s="544">
        <f>IFERROR(IF(INDEX('Final Calculation Sheet'!$I$4:$I$40,$BA8-3)="","",INDEX('Final Calculation Sheet'!$I$4:$I$40,$BA8-3)),"")</f>
        <v/>
      </c>
      <c r="G13" s="679">
        <f>IFERROR(IF(INDEX('Final Calculation Sheet'!$I$4:$I$40,$BA9-3)="","",INDEX('Final Calculation Sheet'!$I$4:$I$40,$BA9-3)),"")</f>
        <v/>
      </c>
      <c r="H13" s="544">
        <f>IFERROR(IF(INDEX('Final Calculation Sheet'!$I$4:$I$40,$BA10-3)="","",INDEX('Final Calculation Sheet'!$I$4:$I$40,$BA10-3)),"")</f>
        <v/>
      </c>
      <c r="I13" s="679">
        <f>IFERROR(IF(INDEX('Final Calculation Sheet'!$I$4:$I$40,$BA11-3)="","",INDEX('Final Calculation Sheet'!$I$4:$I$40,$BA11-3)),"")</f>
        <v/>
      </c>
      <c r="J13" s="544">
        <f>IFERROR(IF(INDEX('Final Calculation Sheet'!$I$4:$I$40,$BA12-3)="","",INDEX('Final Calculation Sheet'!$I$4:$I$40,$BA12-3)),"")</f>
        <v/>
      </c>
      <c r="K13" s="679">
        <f>IFERROR(IF(INDEX('Final Calculation Sheet'!$I$4:$I$40,$BA13-3)="","",INDEX('Final Calculation Sheet'!$I$4:$I$40,$BA13-3)),"")</f>
        <v/>
      </c>
      <c r="L13" s="544">
        <f>IFERROR(IF(INDEX('Final Calculation Sheet'!$I$4:$I$40,$BA14-3)="","",INDEX('Final Calculation Sheet'!$I$4:$I$40,$BA14-3)),"")</f>
        <v/>
      </c>
      <c r="M13" s="679">
        <f>IFERROR(IF(INDEX('Final Calculation Sheet'!$I$4:$I$40,$BA15-3)="","",INDEX('Final Calculation Sheet'!$I$4:$I$40,$BA15-3)),"")</f>
        <v/>
      </c>
      <c r="N13" s="544">
        <f>IFERROR(IF(INDEX('Final Calculation Sheet'!$I$4:$I$40,$BA16-3)="","",INDEX('Final Calculation Sheet'!$I$4:$I$40,$BA16-3)),"")</f>
        <v/>
      </c>
      <c r="O13" s="679">
        <f>IFERROR(IF(INDEX('Final Calculation Sheet'!$I$4:$I$40,$BA17-3)="","",INDEX('Final Calculation Sheet'!$I$4:$I$40,$BA17-3)),"")</f>
        <v/>
      </c>
      <c r="P13" s="544">
        <f>IFERROR(IF(INDEX('Final Calculation Sheet'!$I$4:$I$40,$BA18-3)="","",INDEX('Final Calculation Sheet'!$I$4:$I$40,$BA18-3)),"")</f>
        <v/>
      </c>
      <c r="Q13" s="679">
        <f>IFERROR(IF(INDEX('Final Calculation Sheet'!$I$4:$I$40,$BA19-3)="","",INDEX('Final Calculation Sheet'!$I$4:$I$40,$BA19-3)),"")</f>
        <v/>
      </c>
      <c r="R13" s="544">
        <f>IFERROR(IF(INDEX('Final Calculation Sheet'!$I$4:$I$40,$BA20-3)="","",INDEX('Final Calculation Sheet'!$I$4:$I$40,$BA20-3)),"")</f>
        <v/>
      </c>
      <c r="S13" s="679">
        <f>IFERROR(IF(INDEX('Final Calculation Sheet'!$I$4:$I$40,$BA21-3)="","",INDEX('Final Calculation Sheet'!$I$4:$I$40,$BA21-3)),"")</f>
        <v/>
      </c>
      <c r="T13" s="544">
        <f>IFERROR(IF(INDEX('Final Calculation Sheet'!$I$4:$I$40,$BA22-3)="","",INDEX('Final Calculation Sheet'!$I$4:$I$40,$BA22-3)),"")</f>
        <v/>
      </c>
      <c r="U13" s="679">
        <f>IFERROR(IF(INDEX('Final Calculation Sheet'!$I$4:$I$40,$BA23-3)="","",INDEX('Final Calculation Sheet'!$I$4:$I$40,$BA23-3)),"")</f>
        <v/>
      </c>
      <c r="V13" s="544">
        <f>IFERROR(IF(INDEX('Final Calculation Sheet'!$I$4:$I$40,$BA24-3)="","",INDEX('Final Calculation Sheet'!$I$4:$I$40,$BA24-3)),"")</f>
        <v/>
      </c>
      <c r="W13" s="679">
        <f>IFERROR(IF(INDEX('Final Calculation Sheet'!$I$4:$I$40,$BA25-3)="","",INDEX('Final Calculation Sheet'!$I$4:$I$40,$BA25-3)),"")</f>
        <v/>
      </c>
      <c r="X13" s="544">
        <f>IFERROR(IF(INDEX('Final Calculation Sheet'!$I$4:$I$40,$BA26-3)="","",INDEX('Final Calculation Sheet'!$I$4:$I$40,$BA26-3)),"")</f>
        <v/>
      </c>
      <c r="Y13" s="679">
        <f>IFERROR(IF(INDEX('Final Calculation Sheet'!$I$4:$I$40,$BA27-3)="","",INDEX('Final Calculation Sheet'!$I$4:$I$40,$BA27-3)),"")</f>
        <v/>
      </c>
      <c r="Z13" s="544">
        <f>IFERROR(IF(INDEX('Final Calculation Sheet'!$I$4:$I$40,$BA28-3)="","",INDEX('Final Calculation Sheet'!$I$4:$I$40,$BA28-3)),"")</f>
        <v/>
      </c>
      <c r="AA13" s="679">
        <f>IFERROR(IF(INDEX('Final Calculation Sheet'!$I$4:$I$40,$BA29-3)="","",INDEX('Final Calculation Sheet'!$I$4:$I$40,$BA29-3)),"")</f>
        <v/>
      </c>
      <c r="AB13" s="544">
        <f>IFERROR(IF(INDEX('Final Calculation Sheet'!$I$4:$I$40,$BA30-3)="","",INDEX('Final Calculation Sheet'!$I$4:$I$40,$BA30-3)),"")</f>
        <v/>
      </c>
      <c r="AC13" s="679">
        <f>IFERROR(IF(INDEX('Final Calculation Sheet'!$I$4:$I$40,$BA31-3)="","",INDEX('Final Calculation Sheet'!$I$4:$I$40,$BA31-3)),"")</f>
        <v/>
      </c>
      <c r="AD13" s="544">
        <f>IFERROR(IF(INDEX('Final Calculation Sheet'!$I$4:$I$40,$BA32-3)="","",INDEX('Final Calculation Sheet'!$I$4:$I$40,$BA32-3)),"")</f>
        <v/>
      </c>
      <c r="AE13" s="679">
        <f>IFERROR(IF(INDEX('Final Calculation Sheet'!$I$4:$I$40,$BA33-3)="","",INDEX('Final Calculation Sheet'!$I$4:$I$40,$BA33-3)),"")</f>
        <v/>
      </c>
      <c r="AF13" s="544">
        <f>IFERROR(IF(INDEX('Final Calculation Sheet'!$I$4:$I$40,$BA34-3)="","",INDEX('Final Calculation Sheet'!$I$4:$I$40,$BA34-3)),"")</f>
        <v/>
      </c>
      <c r="AG13" s="679">
        <f>IFERROR(IF(INDEX('Final Calculation Sheet'!$I$4:$I$40,$BA35-3)="","",INDEX('Final Calculation Sheet'!$I$4:$I$40,$BA35-3)),"")</f>
        <v/>
      </c>
      <c r="AH13" s="544">
        <f>IFERROR(IF(INDEX('Final Calculation Sheet'!$I$4:$I$40,$BA36-3)="","",INDEX('Final Calculation Sheet'!$I$4:$I$40,$BA36-3)),"")</f>
        <v/>
      </c>
      <c r="AI13" s="679">
        <f>IFERROR(IF(INDEX('Final Calculation Sheet'!$I$4:$I$40,$BA37-3)="","",INDEX('Final Calculation Sheet'!$I$4:$I$40,$BA37-3)),"")</f>
        <v/>
      </c>
      <c r="AJ13" s="544">
        <f>IFERROR(IF(INDEX('Final Calculation Sheet'!$I$4:$I$40,$BA38-3)="","",INDEX('Final Calculation Sheet'!$I$4:$I$40,$BA38-3)),"")</f>
        <v/>
      </c>
      <c r="AK13" s="679">
        <f>IFERROR(IF(INDEX('Final Calculation Sheet'!$I$4:$I$40,$BA39-3)="","",INDEX('Final Calculation Sheet'!$I$4:$I$40,$BA39-3)),"")</f>
        <v/>
      </c>
      <c r="AL13" s="544">
        <f>IFERROR(IF(INDEX('Final Calculation Sheet'!$I$4:$I$40,$BA40-3)="","",INDEX('Final Calculation Sheet'!$I$4:$I$40,$BA40-3)),"")</f>
        <v/>
      </c>
      <c r="AM13" s="680">
        <f>IF(COUNT(B13:AL13)=0,"",SUM(B13:AL13))</f>
        <v/>
      </c>
      <c r="AO13" t="inlineStr">
        <is>
          <t>Mat. Value + GST</t>
        </is>
      </c>
      <c r="AQ13" t="inlineStr">
        <is>
          <t>S M ENTERPRISES</t>
        </is>
      </c>
      <c r="AW13">
        <f>IF(OR($B$3="ALL BUYERS",'Final Calculation Sheet'!$G13=$B$3),IF($D$3="— no row filter —",1,IF($F$3="is blank",IF(INDEX('Final Calculation Sheet'!$A$4:$AG$40,13-3,$AU$2)="",1,0),IF($F$3="is not blank",IF(INDEX('Final Calculation Sheet'!$A$4:$AG$40,13-3,$AU$2)="",0,1),IF($F$3="contains",IF(ISNUMBER(SEARCH($H$3,INDEX('Final Calculation Sheet'!$A$4:$AG$40,13-3,$AU$2))),1,0),IF($F$3="=",IF(INDEX('Final Calculation Sheet'!$A$4:$AG$40,13-3,$AU$2)=$H$3,1,0),IF($F$3="&lt;&gt;",IF(INDEX('Final Calculation Sheet'!$A$4:$AG$40,13-3,$AU$2)=$H$3,0,1),IF($F$3="&gt;",IF(N(INDEX('Final Calculation Sheet'!$A$4:$AG$40,13-3,$AU$2))&gt;N($H$3),1,0),IF($F$3="&gt;=",IF(N(INDEX('Final Calculation Sheet'!$A$4:$AG$40,13-3,$AU$2))&gt;=N($H$3),1,0),IF($F$3="&lt;",IF(N(INDEX('Final Calculation Sheet'!$A$4:$AG$40,13-3,$AU$2))&lt;N($H$3),1,0),IF($F$3="&lt;=",IF(N(INDEX('Final Calculation Sheet'!$A$4:$AG$40,13-3,$AU$2))&lt;=N($H$3),1,0),0)))))))))),0)</f>
        <v/>
      </c>
      <c r="AY13">
        <f>IF(AW13=1,SUM($AW$4:AW13),"")</f>
        <v/>
      </c>
      <c r="BA13">
        <f>IFERROR(MATCH(10,$AY$4:$AY$40,0)+3,"")</f>
        <v/>
      </c>
    </row>
    <row r="14" ht="15" customHeight="1">
      <c r="A14" s="678" t="inlineStr">
        <is>
          <t>Mat. Value + GST</t>
        </is>
      </c>
      <c r="B14" s="544">
        <f>IFERROR(IF(INDEX('Final Calculation Sheet'!$J$4:$J$40,$BA4-3)="","",INDEX('Final Calculation Sheet'!$J$4:$J$40,$BA4-3)),"")</f>
        <v/>
      </c>
      <c r="C14" s="679">
        <f>IFERROR(IF(INDEX('Final Calculation Sheet'!$J$4:$J$40,$BA5-3)="","",INDEX('Final Calculation Sheet'!$J$4:$J$40,$BA5-3)),"")</f>
        <v/>
      </c>
      <c r="D14" s="544">
        <f>IFERROR(IF(INDEX('Final Calculation Sheet'!$J$4:$J$40,$BA6-3)="","",INDEX('Final Calculation Sheet'!$J$4:$J$40,$BA6-3)),"")</f>
        <v/>
      </c>
      <c r="E14" s="679">
        <f>IFERROR(IF(INDEX('Final Calculation Sheet'!$J$4:$J$40,$BA7-3)="","",INDEX('Final Calculation Sheet'!$J$4:$J$40,$BA7-3)),"")</f>
        <v/>
      </c>
      <c r="F14" s="544">
        <f>IFERROR(IF(INDEX('Final Calculation Sheet'!$J$4:$J$40,$BA8-3)="","",INDEX('Final Calculation Sheet'!$J$4:$J$40,$BA8-3)),"")</f>
        <v/>
      </c>
      <c r="G14" s="679">
        <f>IFERROR(IF(INDEX('Final Calculation Sheet'!$J$4:$J$40,$BA9-3)="","",INDEX('Final Calculation Sheet'!$J$4:$J$40,$BA9-3)),"")</f>
        <v/>
      </c>
      <c r="H14" s="544">
        <f>IFERROR(IF(INDEX('Final Calculation Sheet'!$J$4:$J$40,$BA10-3)="","",INDEX('Final Calculation Sheet'!$J$4:$J$40,$BA10-3)),"")</f>
        <v/>
      </c>
      <c r="I14" s="679">
        <f>IFERROR(IF(INDEX('Final Calculation Sheet'!$J$4:$J$40,$BA11-3)="","",INDEX('Final Calculation Sheet'!$J$4:$J$40,$BA11-3)),"")</f>
        <v/>
      </c>
      <c r="J14" s="544">
        <f>IFERROR(IF(INDEX('Final Calculation Sheet'!$J$4:$J$40,$BA12-3)="","",INDEX('Final Calculation Sheet'!$J$4:$J$40,$BA12-3)),"")</f>
        <v/>
      </c>
      <c r="K14" s="679">
        <f>IFERROR(IF(INDEX('Final Calculation Sheet'!$J$4:$J$40,$BA13-3)="","",INDEX('Final Calculation Sheet'!$J$4:$J$40,$BA13-3)),"")</f>
        <v/>
      </c>
      <c r="L14" s="544">
        <f>IFERROR(IF(INDEX('Final Calculation Sheet'!$J$4:$J$40,$BA14-3)="","",INDEX('Final Calculation Sheet'!$J$4:$J$40,$BA14-3)),"")</f>
        <v/>
      </c>
      <c r="M14" s="679">
        <f>IFERROR(IF(INDEX('Final Calculation Sheet'!$J$4:$J$40,$BA15-3)="","",INDEX('Final Calculation Sheet'!$J$4:$J$40,$BA15-3)),"")</f>
        <v/>
      </c>
      <c r="N14" s="544">
        <f>IFERROR(IF(INDEX('Final Calculation Sheet'!$J$4:$J$40,$BA16-3)="","",INDEX('Final Calculation Sheet'!$J$4:$J$40,$BA16-3)),"")</f>
        <v/>
      </c>
      <c r="O14" s="679">
        <f>IFERROR(IF(INDEX('Final Calculation Sheet'!$J$4:$J$40,$BA17-3)="","",INDEX('Final Calculation Sheet'!$J$4:$J$40,$BA17-3)),"")</f>
        <v/>
      </c>
      <c r="P14" s="544">
        <f>IFERROR(IF(INDEX('Final Calculation Sheet'!$J$4:$J$40,$BA18-3)="","",INDEX('Final Calculation Sheet'!$J$4:$J$40,$BA18-3)),"")</f>
        <v/>
      </c>
      <c r="Q14" s="679">
        <f>IFERROR(IF(INDEX('Final Calculation Sheet'!$J$4:$J$40,$BA19-3)="","",INDEX('Final Calculation Sheet'!$J$4:$J$40,$BA19-3)),"")</f>
        <v/>
      </c>
      <c r="R14" s="544">
        <f>IFERROR(IF(INDEX('Final Calculation Sheet'!$J$4:$J$40,$BA20-3)="","",INDEX('Final Calculation Sheet'!$J$4:$J$40,$BA20-3)),"")</f>
        <v/>
      </c>
      <c r="S14" s="679">
        <f>IFERROR(IF(INDEX('Final Calculation Sheet'!$J$4:$J$40,$BA21-3)="","",INDEX('Final Calculation Sheet'!$J$4:$J$40,$BA21-3)),"")</f>
        <v/>
      </c>
      <c r="T14" s="544">
        <f>IFERROR(IF(INDEX('Final Calculation Sheet'!$J$4:$J$40,$BA22-3)="","",INDEX('Final Calculation Sheet'!$J$4:$J$40,$BA22-3)),"")</f>
        <v/>
      </c>
      <c r="U14" s="679">
        <f>IFERROR(IF(INDEX('Final Calculation Sheet'!$J$4:$J$40,$BA23-3)="","",INDEX('Final Calculation Sheet'!$J$4:$J$40,$BA23-3)),"")</f>
        <v/>
      </c>
      <c r="V14" s="544">
        <f>IFERROR(IF(INDEX('Final Calculation Sheet'!$J$4:$J$40,$BA24-3)="","",INDEX('Final Calculation Sheet'!$J$4:$J$40,$BA24-3)),"")</f>
        <v/>
      </c>
      <c r="W14" s="679">
        <f>IFERROR(IF(INDEX('Final Calculation Sheet'!$J$4:$J$40,$BA25-3)="","",INDEX('Final Calculation Sheet'!$J$4:$J$40,$BA25-3)),"")</f>
        <v/>
      </c>
      <c r="X14" s="544">
        <f>IFERROR(IF(INDEX('Final Calculation Sheet'!$J$4:$J$40,$BA26-3)="","",INDEX('Final Calculation Sheet'!$J$4:$J$40,$BA26-3)),"")</f>
        <v/>
      </c>
      <c r="Y14" s="679">
        <f>IFERROR(IF(INDEX('Final Calculation Sheet'!$J$4:$J$40,$BA27-3)="","",INDEX('Final Calculation Sheet'!$J$4:$J$40,$BA27-3)),"")</f>
        <v/>
      </c>
      <c r="Z14" s="544">
        <f>IFERROR(IF(INDEX('Final Calculation Sheet'!$J$4:$J$40,$BA28-3)="","",INDEX('Final Calculation Sheet'!$J$4:$J$40,$BA28-3)),"")</f>
        <v/>
      </c>
      <c r="AA14" s="679">
        <f>IFERROR(IF(INDEX('Final Calculation Sheet'!$J$4:$J$40,$BA29-3)="","",INDEX('Final Calculation Sheet'!$J$4:$J$40,$BA29-3)),"")</f>
        <v/>
      </c>
      <c r="AB14" s="544">
        <f>IFERROR(IF(INDEX('Final Calculation Sheet'!$J$4:$J$40,$BA30-3)="","",INDEX('Final Calculation Sheet'!$J$4:$J$40,$BA30-3)),"")</f>
        <v/>
      </c>
      <c r="AC14" s="679">
        <f>IFERROR(IF(INDEX('Final Calculation Sheet'!$J$4:$J$40,$BA31-3)="","",INDEX('Final Calculation Sheet'!$J$4:$J$40,$BA31-3)),"")</f>
        <v/>
      </c>
      <c r="AD14" s="544">
        <f>IFERROR(IF(INDEX('Final Calculation Sheet'!$J$4:$J$40,$BA32-3)="","",INDEX('Final Calculation Sheet'!$J$4:$J$40,$BA32-3)),"")</f>
        <v/>
      </c>
      <c r="AE14" s="679">
        <f>IFERROR(IF(INDEX('Final Calculation Sheet'!$J$4:$J$40,$BA33-3)="","",INDEX('Final Calculation Sheet'!$J$4:$J$40,$BA33-3)),"")</f>
        <v/>
      </c>
      <c r="AF14" s="544">
        <f>IFERROR(IF(INDEX('Final Calculation Sheet'!$J$4:$J$40,$BA34-3)="","",INDEX('Final Calculation Sheet'!$J$4:$J$40,$BA34-3)),"")</f>
        <v/>
      </c>
      <c r="AG14" s="679">
        <f>IFERROR(IF(INDEX('Final Calculation Sheet'!$J$4:$J$40,$BA35-3)="","",INDEX('Final Calculation Sheet'!$J$4:$J$40,$BA35-3)),"")</f>
        <v/>
      </c>
      <c r="AH14" s="544">
        <f>IFERROR(IF(INDEX('Final Calculation Sheet'!$J$4:$J$40,$BA36-3)="","",INDEX('Final Calculation Sheet'!$J$4:$J$40,$BA36-3)),"")</f>
        <v/>
      </c>
      <c r="AI14" s="679">
        <f>IFERROR(IF(INDEX('Final Calculation Sheet'!$J$4:$J$40,$BA37-3)="","",INDEX('Final Calculation Sheet'!$J$4:$J$40,$BA37-3)),"")</f>
        <v/>
      </c>
      <c r="AJ14" s="544">
        <f>IFERROR(IF(INDEX('Final Calculation Sheet'!$J$4:$J$40,$BA38-3)="","",INDEX('Final Calculation Sheet'!$J$4:$J$40,$BA38-3)),"")</f>
        <v/>
      </c>
      <c r="AK14" s="679">
        <f>IFERROR(IF(INDEX('Final Calculation Sheet'!$J$4:$J$40,$BA39-3)="","",INDEX('Final Calculation Sheet'!$J$4:$J$40,$BA39-3)),"")</f>
        <v/>
      </c>
      <c r="AL14" s="544">
        <f>IFERROR(IF(INDEX('Final Calculation Sheet'!$J$4:$J$40,$BA40-3)="","",INDEX('Final Calculation Sheet'!$J$4:$J$40,$BA40-3)),"")</f>
        <v/>
      </c>
      <c r="AM14" s="680">
        <f>IF(COUNT(B14:AL14)=0,"",SUM(B14:AL14))</f>
        <v/>
      </c>
      <c r="AO14" t="inlineStr">
        <is>
          <t>TCS</t>
        </is>
      </c>
      <c r="AQ14" t="inlineStr">
        <is>
          <t>SAHARA ENTERPRISES</t>
        </is>
      </c>
      <c r="AW14">
        <f>IF(OR($B$3="ALL BUYERS",'Final Calculation Sheet'!$G14=$B$3),IF($D$3="— no row filter —",1,IF($F$3="is blank",IF(INDEX('Final Calculation Sheet'!$A$4:$AG$40,14-3,$AU$2)="",1,0),IF($F$3="is not blank",IF(INDEX('Final Calculation Sheet'!$A$4:$AG$40,14-3,$AU$2)="",0,1),IF($F$3="contains",IF(ISNUMBER(SEARCH($H$3,INDEX('Final Calculation Sheet'!$A$4:$AG$40,14-3,$AU$2))),1,0),IF($F$3="=",IF(INDEX('Final Calculation Sheet'!$A$4:$AG$40,14-3,$AU$2)=$H$3,1,0),IF($F$3="&lt;&gt;",IF(INDEX('Final Calculation Sheet'!$A$4:$AG$40,14-3,$AU$2)=$H$3,0,1),IF($F$3="&gt;",IF(N(INDEX('Final Calculation Sheet'!$A$4:$AG$40,14-3,$AU$2))&gt;N($H$3),1,0),IF($F$3="&gt;=",IF(N(INDEX('Final Calculation Sheet'!$A$4:$AG$40,14-3,$AU$2))&gt;=N($H$3),1,0),IF($F$3="&lt;",IF(N(INDEX('Final Calculation Sheet'!$A$4:$AG$40,14-3,$AU$2))&lt;N($H$3),1,0),IF($F$3="&lt;=",IF(N(INDEX('Final Calculation Sheet'!$A$4:$AG$40,14-3,$AU$2))&lt;=N($H$3),1,0),0)))))))))),0)</f>
        <v/>
      </c>
      <c r="AY14">
        <f>IF(AW14=1,SUM($AW$4:AW14),"")</f>
        <v/>
      </c>
      <c r="BA14">
        <f>IFERROR(MATCH(11,$AY$4:$AY$40,0)+3,"")</f>
        <v/>
      </c>
    </row>
    <row r="15" ht="15" customHeight="1">
      <c r="A15" s="675" t="inlineStr">
        <is>
          <t>TCS</t>
        </is>
      </c>
      <c r="B15" s="544">
        <f>IFERROR(IF(INDEX('Final Calculation Sheet'!$K$4:$K$40,$BA4-3)="","",INDEX('Final Calculation Sheet'!$K$4:$K$40,$BA4-3)),"")</f>
        <v/>
      </c>
      <c r="C15" s="679">
        <f>IFERROR(IF(INDEX('Final Calculation Sheet'!$K$4:$K$40,$BA5-3)="","",INDEX('Final Calculation Sheet'!$K$4:$K$40,$BA5-3)),"")</f>
        <v/>
      </c>
      <c r="D15" s="544">
        <f>IFERROR(IF(INDEX('Final Calculation Sheet'!$K$4:$K$40,$BA6-3)="","",INDEX('Final Calculation Sheet'!$K$4:$K$40,$BA6-3)),"")</f>
        <v/>
      </c>
      <c r="E15" s="679">
        <f>IFERROR(IF(INDEX('Final Calculation Sheet'!$K$4:$K$40,$BA7-3)="","",INDEX('Final Calculation Sheet'!$K$4:$K$40,$BA7-3)),"")</f>
        <v/>
      </c>
      <c r="F15" s="544">
        <f>IFERROR(IF(INDEX('Final Calculation Sheet'!$K$4:$K$40,$BA8-3)="","",INDEX('Final Calculation Sheet'!$K$4:$K$40,$BA8-3)),"")</f>
        <v/>
      </c>
      <c r="G15" s="679">
        <f>IFERROR(IF(INDEX('Final Calculation Sheet'!$K$4:$K$40,$BA9-3)="","",INDEX('Final Calculation Sheet'!$K$4:$K$40,$BA9-3)),"")</f>
        <v/>
      </c>
      <c r="H15" s="544">
        <f>IFERROR(IF(INDEX('Final Calculation Sheet'!$K$4:$K$40,$BA10-3)="","",INDEX('Final Calculation Sheet'!$K$4:$K$40,$BA10-3)),"")</f>
        <v/>
      </c>
      <c r="I15" s="679">
        <f>IFERROR(IF(INDEX('Final Calculation Sheet'!$K$4:$K$40,$BA11-3)="","",INDEX('Final Calculation Sheet'!$K$4:$K$40,$BA11-3)),"")</f>
        <v/>
      </c>
      <c r="J15" s="544">
        <f>IFERROR(IF(INDEX('Final Calculation Sheet'!$K$4:$K$40,$BA12-3)="","",INDEX('Final Calculation Sheet'!$K$4:$K$40,$BA12-3)),"")</f>
        <v/>
      </c>
      <c r="K15" s="679">
        <f>IFERROR(IF(INDEX('Final Calculation Sheet'!$K$4:$K$40,$BA13-3)="","",INDEX('Final Calculation Sheet'!$K$4:$K$40,$BA13-3)),"")</f>
        <v/>
      </c>
      <c r="L15" s="544">
        <f>IFERROR(IF(INDEX('Final Calculation Sheet'!$K$4:$K$40,$BA14-3)="","",INDEX('Final Calculation Sheet'!$K$4:$K$40,$BA14-3)),"")</f>
        <v/>
      </c>
      <c r="M15" s="679">
        <f>IFERROR(IF(INDEX('Final Calculation Sheet'!$K$4:$K$40,$BA15-3)="","",INDEX('Final Calculation Sheet'!$K$4:$K$40,$BA15-3)),"")</f>
        <v/>
      </c>
      <c r="N15" s="544">
        <f>IFERROR(IF(INDEX('Final Calculation Sheet'!$K$4:$K$40,$BA16-3)="","",INDEX('Final Calculation Sheet'!$K$4:$K$40,$BA16-3)),"")</f>
        <v/>
      </c>
      <c r="O15" s="679">
        <f>IFERROR(IF(INDEX('Final Calculation Sheet'!$K$4:$K$40,$BA17-3)="","",INDEX('Final Calculation Sheet'!$K$4:$K$40,$BA17-3)),"")</f>
        <v/>
      </c>
      <c r="P15" s="544">
        <f>IFERROR(IF(INDEX('Final Calculation Sheet'!$K$4:$K$40,$BA18-3)="","",INDEX('Final Calculation Sheet'!$K$4:$K$40,$BA18-3)),"")</f>
        <v/>
      </c>
      <c r="Q15" s="679">
        <f>IFERROR(IF(INDEX('Final Calculation Sheet'!$K$4:$K$40,$BA19-3)="","",INDEX('Final Calculation Sheet'!$K$4:$K$40,$BA19-3)),"")</f>
        <v/>
      </c>
      <c r="R15" s="544">
        <f>IFERROR(IF(INDEX('Final Calculation Sheet'!$K$4:$K$40,$BA20-3)="","",INDEX('Final Calculation Sheet'!$K$4:$K$40,$BA20-3)),"")</f>
        <v/>
      </c>
      <c r="S15" s="679">
        <f>IFERROR(IF(INDEX('Final Calculation Sheet'!$K$4:$K$40,$BA21-3)="","",INDEX('Final Calculation Sheet'!$K$4:$K$40,$BA21-3)),"")</f>
        <v/>
      </c>
      <c r="T15" s="544">
        <f>IFERROR(IF(INDEX('Final Calculation Sheet'!$K$4:$K$40,$BA22-3)="","",INDEX('Final Calculation Sheet'!$K$4:$K$40,$BA22-3)),"")</f>
        <v/>
      </c>
      <c r="U15" s="679">
        <f>IFERROR(IF(INDEX('Final Calculation Sheet'!$K$4:$K$40,$BA23-3)="","",INDEX('Final Calculation Sheet'!$K$4:$K$40,$BA23-3)),"")</f>
        <v/>
      </c>
      <c r="V15" s="544">
        <f>IFERROR(IF(INDEX('Final Calculation Sheet'!$K$4:$K$40,$BA24-3)="","",INDEX('Final Calculation Sheet'!$K$4:$K$40,$BA24-3)),"")</f>
        <v/>
      </c>
      <c r="W15" s="679">
        <f>IFERROR(IF(INDEX('Final Calculation Sheet'!$K$4:$K$40,$BA25-3)="","",INDEX('Final Calculation Sheet'!$K$4:$K$40,$BA25-3)),"")</f>
        <v/>
      </c>
      <c r="X15" s="544">
        <f>IFERROR(IF(INDEX('Final Calculation Sheet'!$K$4:$K$40,$BA26-3)="","",INDEX('Final Calculation Sheet'!$K$4:$K$40,$BA26-3)),"")</f>
        <v/>
      </c>
      <c r="Y15" s="679">
        <f>IFERROR(IF(INDEX('Final Calculation Sheet'!$K$4:$K$40,$BA27-3)="","",INDEX('Final Calculation Sheet'!$K$4:$K$40,$BA27-3)),"")</f>
        <v/>
      </c>
      <c r="Z15" s="544">
        <f>IFERROR(IF(INDEX('Final Calculation Sheet'!$K$4:$K$40,$BA28-3)="","",INDEX('Final Calculation Sheet'!$K$4:$K$40,$BA28-3)),"")</f>
        <v/>
      </c>
      <c r="AA15" s="679">
        <f>IFERROR(IF(INDEX('Final Calculation Sheet'!$K$4:$K$40,$BA29-3)="","",INDEX('Final Calculation Sheet'!$K$4:$K$40,$BA29-3)),"")</f>
        <v/>
      </c>
      <c r="AB15" s="544">
        <f>IFERROR(IF(INDEX('Final Calculation Sheet'!$K$4:$K$40,$BA30-3)="","",INDEX('Final Calculation Sheet'!$K$4:$K$40,$BA30-3)),"")</f>
        <v/>
      </c>
      <c r="AC15" s="679">
        <f>IFERROR(IF(INDEX('Final Calculation Sheet'!$K$4:$K$40,$BA31-3)="","",INDEX('Final Calculation Sheet'!$K$4:$K$40,$BA31-3)),"")</f>
        <v/>
      </c>
      <c r="AD15" s="544">
        <f>IFERROR(IF(INDEX('Final Calculation Sheet'!$K$4:$K$40,$BA32-3)="","",INDEX('Final Calculation Sheet'!$K$4:$K$40,$BA32-3)),"")</f>
        <v/>
      </c>
      <c r="AE15" s="679">
        <f>IFERROR(IF(INDEX('Final Calculation Sheet'!$K$4:$K$40,$BA33-3)="","",INDEX('Final Calculation Sheet'!$K$4:$K$40,$BA33-3)),"")</f>
        <v/>
      </c>
      <c r="AF15" s="544">
        <f>IFERROR(IF(INDEX('Final Calculation Sheet'!$K$4:$K$40,$BA34-3)="","",INDEX('Final Calculation Sheet'!$K$4:$K$40,$BA34-3)),"")</f>
        <v/>
      </c>
      <c r="AG15" s="679">
        <f>IFERROR(IF(INDEX('Final Calculation Sheet'!$K$4:$K$40,$BA35-3)="","",INDEX('Final Calculation Sheet'!$K$4:$K$40,$BA35-3)),"")</f>
        <v/>
      </c>
      <c r="AH15" s="544">
        <f>IFERROR(IF(INDEX('Final Calculation Sheet'!$K$4:$K$40,$BA36-3)="","",INDEX('Final Calculation Sheet'!$K$4:$K$40,$BA36-3)),"")</f>
        <v/>
      </c>
      <c r="AI15" s="679">
        <f>IFERROR(IF(INDEX('Final Calculation Sheet'!$K$4:$K$40,$BA37-3)="","",INDEX('Final Calculation Sheet'!$K$4:$K$40,$BA37-3)),"")</f>
        <v/>
      </c>
      <c r="AJ15" s="544">
        <f>IFERROR(IF(INDEX('Final Calculation Sheet'!$K$4:$K$40,$BA38-3)="","",INDEX('Final Calculation Sheet'!$K$4:$K$40,$BA38-3)),"")</f>
        <v/>
      </c>
      <c r="AK15" s="679">
        <f>IFERROR(IF(INDEX('Final Calculation Sheet'!$K$4:$K$40,$BA39-3)="","",INDEX('Final Calculation Sheet'!$K$4:$K$40,$BA39-3)),"")</f>
        <v/>
      </c>
      <c r="AL15" s="544">
        <f>IFERROR(IF(INDEX('Final Calculation Sheet'!$K$4:$K$40,$BA40-3)="","",INDEX('Final Calculation Sheet'!$K$4:$K$40,$BA40-3)),"")</f>
        <v/>
      </c>
      <c r="AM15" s="680">
        <f>IF(COUNT(B15:AL15)=0,"",SUM(B15:AL15))</f>
        <v/>
      </c>
      <c r="AO15" t="inlineStr">
        <is>
          <t>TDS u/s 194(O)</t>
        </is>
      </c>
      <c r="AQ15" t="inlineStr">
        <is>
          <t>SHAR JAHAN TRADERS</t>
        </is>
      </c>
      <c r="AW15">
        <f>IF(OR($B$3="ALL BUYERS",'Final Calculation Sheet'!$G15=$B$3),IF($D$3="— no row filter —",1,IF($F$3="is blank",IF(INDEX('Final Calculation Sheet'!$A$4:$AG$40,15-3,$AU$2)="",1,0),IF($F$3="is not blank",IF(INDEX('Final Calculation Sheet'!$A$4:$AG$40,15-3,$AU$2)="",0,1),IF($F$3="contains",IF(ISNUMBER(SEARCH($H$3,INDEX('Final Calculation Sheet'!$A$4:$AG$40,15-3,$AU$2))),1,0),IF($F$3="=",IF(INDEX('Final Calculation Sheet'!$A$4:$AG$40,15-3,$AU$2)=$H$3,1,0),IF($F$3="&lt;&gt;",IF(INDEX('Final Calculation Sheet'!$A$4:$AG$40,15-3,$AU$2)=$H$3,0,1),IF($F$3="&gt;",IF(N(INDEX('Final Calculation Sheet'!$A$4:$AG$40,15-3,$AU$2))&gt;N($H$3),1,0),IF($F$3="&gt;=",IF(N(INDEX('Final Calculation Sheet'!$A$4:$AG$40,15-3,$AU$2))&gt;=N($H$3),1,0),IF($F$3="&lt;",IF(N(INDEX('Final Calculation Sheet'!$A$4:$AG$40,15-3,$AU$2))&lt;N($H$3),1,0),IF($F$3="&lt;=",IF(N(INDEX('Final Calculation Sheet'!$A$4:$AG$40,15-3,$AU$2))&lt;=N($H$3),1,0),0)))))))))),0)</f>
        <v/>
      </c>
      <c r="AY15">
        <f>IF(AW15=1,SUM($AW$4:AW15),"")</f>
        <v/>
      </c>
      <c r="BA15">
        <f>IFERROR(MATCH(12,$AY$4:$AY$40,0)+3,"")</f>
        <v/>
      </c>
    </row>
    <row r="16" ht="15" customHeight="1">
      <c r="A16" s="678" t="inlineStr">
        <is>
          <t>TDS u/s 194(O)</t>
        </is>
      </c>
      <c r="B16" s="544">
        <f>IFERROR(IF(INDEX('Final Calculation Sheet'!$L$4:$L$40,$BA4-3)="","",INDEX('Final Calculation Sheet'!$L$4:$L$40,$BA4-3)),"")</f>
        <v/>
      </c>
      <c r="C16" s="679">
        <f>IFERROR(IF(INDEX('Final Calculation Sheet'!$L$4:$L$40,$BA5-3)="","",INDEX('Final Calculation Sheet'!$L$4:$L$40,$BA5-3)),"")</f>
        <v/>
      </c>
      <c r="D16" s="544">
        <f>IFERROR(IF(INDEX('Final Calculation Sheet'!$L$4:$L$40,$BA6-3)="","",INDEX('Final Calculation Sheet'!$L$4:$L$40,$BA6-3)),"")</f>
        <v/>
      </c>
      <c r="E16" s="679">
        <f>IFERROR(IF(INDEX('Final Calculation Sheet'!$L$4:$L$40,$BA7-3)="","",INDEX('Final Calculation Sheet'!$L$4:$L$40,$BA7-3)),"")</f>
        <v/>
      </c>
      <c r="F16" s="544">
        <f>IFERROR(IF(INDEX('Final Calculation Sheet'!$L$4:$L$40,$BA8-3)="","",INDEX('Final Calculation Sheet'!$L$4:$L$40,$BA8-3)),"")</f>
        <v/>
      </c>
      <c r="G16" s="679">
        <f>IFERROR(IF(INDEX('Final Calculation Sheet'!$L$4:$L$40,$BA9-3)="","",INDEX('Final Calculation Sheet'!$L$4:$L$40,$BA9-3)),"")</f>
        <v/>
      </c>
      <c r="H16" s="544">
        <f>IFERROR(IF(INDEX('Final Calculation Sheet'!$L$4:$L$40,$BA10-3)="","",INDEX('Final Calculation Sheet'!$L$4:$L$40,$BA10-3)),"")</f>
        <v/>
      </c>
      <c r="I16" s="679">
        <f>IFERROR(IF(INDEX('Final Calculation Sheet'!$L$4:$L$40,$BA11-3)="","",INDEX('Final Calculation Sheet'!$L$4:$L$40,$BA11-3)),"")</f>
        <v/>
      </c>
      <c r="J16" s="544">
        <f>IFERROR(IF(INDEX('Final Calculation Sheet'!$L$4:$L$40,$BA12-3)="","",INDEX('Final Calculation Sheet'!$L$4:$L$40,$BA12-3)),"")</f>
        <v/>
      </c>
      <c r="K16" s="679">
        <f>IFERROR(IF(INDEX('Final Calculation Sheet'!$L$4:$L$40,$BA13-3)="","",INDEX('Final Calculation Sheet'!$L$4:$L$40,$BA13-3)),"")</f>
        <v/>
      </c>
      <c r="L16" s="544">
        <f>IFERROR(IF(INDEX('Final Calculation Sheet'!$L$4:$L$40,$BA14-3)="","",INDEX('Final Calculation Sheet'!$L$4:$L$40,$BA14-3)),"")</f>
        <v/>
      </c>
      <c r="M16" s="679">
        <f>IFERROR(IF(INDEX('Final Calculation Sheet'!$L$4:$L$40,$BA15-3)="","",INDEX('Final Calculation Sheet'!$L$4:$L$40,$BA15-3)),"")</f>
        <v/>
      </c>
      <c r="N16" s="544">
        <f>IFERROR(IF(INDEX('Final Calculation Sheet'!$L$4:$L$40,$BA16-3)="","",INDEX('Final Calculation Sheet'!$L$4:$L$40,$BA16-3)),"")</f>
        <v/>
      </c>
      <c r="O16" s="679">
        <f>IFERROR(IF(INDEX('Final Calculation Sheet'!$L$4:$L$40,$BA17-3)="","",INDEX('Final Calculation Sheet'!$L$4:$L$40,$BA17-3)),"")</f>
        <v/>
      </c>
      <c r="P16" s="544">
        <f>IFERROR(IF(INDEX('Final Calculation Sheet'!$L$4:$L$40,$BA18-3)="","",INDEX('Final Calculation Sheet'!$L$4:$L$40,$BA18-3)),"")</f>
        <v/>
      </c>
      <c r="Q16" s="679">
        <f>IFERROR(IF(INDEX('Final Calculation Sheet'!$L$4:$L$40,$BA19-3)="","",INDEX('Final Calculation Sheet'!$L$4:$L$40,$BA19-3)),"")</f>
        <v/>
      </c>
      <c r="R16" s="544">
        <f>IFERROR(IF(INDEX('Final Calculation Sheet'!$L$4:$L$40,$BA20-3)="","",INDEX('Final Calculation Sheet'!$L$4:$L$40,$BA20-3)),"")</f>
        <v/>
      </c>
      <c r="S16" s="679">
        <f>IFERROR(IF(INDEX('Final Calculation Sheet'!$L$4:$L$40,$BA21-3)="","",INDEX('Final Calculation Sheet'!$L$4:$L$40,$BA21-3)),"")</f>
        <v/>
      </c>
      <c r="T16" s="544">
        <f>IFERROR(IF(INDEX('Final Calculation Sheet'!$L$4:$L$40,$BA22-3)="","",INDEX('Final Calculation Sheet'!$L$4:$L$40,$BA22-3)),"")</f>
        <v/>
      </c>
      <c r="U16" s="679">
        <f>IFERROR(IF(INDEX('Final Calculation Sheet'!$L$4:$L$40,$BA23-3)="","",INDEX('Final Calculation Sheet'!$L$4:$L$40,$BA23-3)),"")</f>
        <v/>
      </c>
      <c r="V16" s="544">
        <f>IFERROR(IF(INDEX('Final Calculation Sheet'!$L$4:$L$40,$BA24-3)="","",INDEX('Final Calculation Sheet'!$L$4:$L$40,$BA24-3)),"")</f>
        <v/>
      </c>
      <c r="W16" s="679">
        <f>IFERROR(IF(INDEX('Final Calculation Sheet'!$L$4:$L$40,$BA25-3)="","",INDEX('Final Calculation Sheet'!$L$4:$L$40,$BA25-3)),"")</f>
        <v/>
      </c>
      <c r="X16" s="544">
        <f>IFERROR(IF(INDEX('Final Calculation Sheet'!$L$4:$L$40,$BA26-3)="","",INDEX('Final Calculation Sheet'!$L$4:$L$40,$BA26-3)),"")</f>
        <v/>
      </c>
      <c r="Y16" s="679">
        <f>IFERROR(IF(INDEX('Final Calculation Sheet'!$L$4:$L$40,$BA27-3)="","",INDEX('Final Calculation Sheet'!$L$4:$L$40,$BA27-3)),"")</f>
        <v/>
      </c>
      <c r="Z16" s="544">
        <f>IFERROR(IF(INDEX('Final Calculation Sheet'!$L$4:$L$40,$BA28-3)="","",INDEX('Final Calculation Sheet'!$L$4:$L$40,$BA28-3)),"")</f>
        <v/>
      </c>
      <c r="AA16" s="679">
        <f>IFERROR(IF(INDEX('Final Calculation Sheet'!$L$4:$L$40,$BA29-3)="","",INDEX('Final Calculation Sheet'!$L$4:$L$40,$BA29-3)),"")</f>
        <v/>
      </c>
      <c r="AB16" s="544">
        <f>IFERROR(IF(INDEX('Final Calculation Sheet'!$L$4:$L$40,$BA30-3)="","",INDEX('Final Calculation Sheet'!$L$4:$L$40,$BA30-3)),"")</f>
        <v/>
      </c>
      <c r="AC16" s="679">
        <f>IFERROR(IF(INDEX('Final Calculation Sheet'!$L$4:$L$40,$BA31-3)="","",INDEX('Final Calculation Sheet'!$L$4:$L$40,$BA31-3)),"")</f>
        <v/>
      </c>
      <c r="AD16" s="544">
        <f>IFERROR(IF(INDEX('Final Calculation Sheet'!$L$4:$L$40,$BA32-3)="","",INDEX('Final Calculation Sheet'!$L$4:$L$40,$BA32-3)),"")</f>
        <v/>
      </c>
      <c r="AE16" s="679">
        <f>IFERROR(IF(INDEX('Final Calculation Sheet'!$L$4:$L$40,$BA33-3)="","",INDEX('Final Calculation Sheet'!$L$4:$L$40,$BA33-3)),"")</f>
        <v/>
      </c>
      <c r="AF16" s="544">
        <f>IFERROR(IF(INDEX('Final Calculation Sheet'!$L$4:$L$40,$BA34-3)="","",INDEX('Final Calculation Sheet'!$L$4:$L$40,$BA34-3)),"")</f>
        <v/>
      </c>
      <c r="AG16" s="679">
        <f>IFERROR(IF(INDEX('Final Calculation Sheet'!$L$4:$L$40,$BA35-3)="","",INDEX('Final Calculation Sheet'!$L$4:$L$40,$BA35-3)),"")</f>
        <v/>
      </c>
      <c r="AH16" s="544">
        <f>IFERROR(IF(INDEX('Final Calculation Sheet'!$L$4:$L$40,$BA36-3)="","",INDEX('Final Calculation Sheet'!$L$4:$L$40,$BA36-3)),"")</f>
        <v/>
      </c>
      <c r="AI16" s="679">
        <f>IFERROR(IF(INDEX('Final Calculation Sheet'!$L$4:$L$40,$BA37-3)="","",INDEX('Final Calculation Sheet'!$L$4:$L$40,$BA37-3)),"")</f>
        <v/>
      </c>
      <c r="AJ16" s="544">
        <f>IFERROR(IF(INDEX('Final Calculation Sheet'!$L$4:$L$40,$BA38-3)="","",INDEX('Final Calculation Sheet'!$L$4:$L$40,$BA38-3)),"")</f>
        <v/>
      </c>
      <c r="AK16" s="679">
        <f>IFERROR(IF(INDEX('Final Calculation Sheet'!$L$4:$L$40,$BA39-3)="","",INDEX('Final Calculation Sheet'!$L$4:$L$40,$BA39-3)),"")</f>
        <v/>
      </c>
      <c r="AL16" s="544">
        <f>IFERROR(IF(INDEX('Final Calculation Sheet'!$L$4:$L$40,$BA40-3)="","",INDEX('Final Calculation Sheet'!$L$4:$L$40,$BA40-3)),"")</f>
        <v/>
      </c>
      <c r="AM16" s="680">
        <f>IF(COUNT(B16:AL16)=0,"",SUM(B16:AL16))</f>
        <v/>
      </c>
      <c r="AO16" t="inlineStr">
        <is>
          <t>Service Charge to MSTC</t>
        </is>
      </c>
      <c r="AQ16" t="inlineStr">
        <is>
          <t>STERLING ENTERPRISES</t>
        </is>
      </c>
      <c r="AW16">
        <f>IF(OR($B$3="ALL BUYERS",'Final Calculation Sheet'!$G16=$B$3),IF($D$3="— no row filter —",1,IF($F$3="is blank",IF(INDEX('Final Calculation Sheet'!$A$4:$AG$40,16-3,$AU$2)="",1,0),IF($F$3="is not blank",IF(INDEX('Final Calculation Sheet'!$A$4:$AG$40,16-3,$AU$2)="",0,1),IF($F$3="contains",IF(ISNUMBER(SEARCH($H$3,INDEX('Final Calculation Sheet'!$A$4:$AG$40,16-3,$AU$2))),1,0),IF($F$3="=",IF(INDEX('Final Calculation Sheet'!$A$4:$AG$40,16-3,$AU$2)=$H$3,1,0),IF($F$3="&lt;&gt;",IF(INDEX('Final Calculation Sheet'!$A$4:$AG$40,16-3,$AU$2)=$H$3,0,1),IF($F$3="&gt;",IF(N(INDEX('Final Calculation Sheet'!$A$4:$AG$40,16-3,$AU$2))&gt;N($H$3),1,0),IF($F$3="&gt;=",IF(N(INDEX('Final Calculation Sheet'!$A$4:$AG$40,16-3,$AU$2))&gt;=N($H$3),1,0),IF($F$3="&lt;",IF(N(INDEX('Final Calculation Sheet'!$A$4:$AG$40,16-3,$AU$2))&lt;N($H$3),1,0),IF($F$3="&lt;=",IF(N(INDEX('Final Calculation Sheet'!$A$4:$AG$40,16-3,$AU$2))&lt;=N($H$3),1,0),0)))))))))),0)</f>
        <v/>
      </c>
      <c r="AY16">
        <f>IF(AW16=1,SUM($AW$4:AW16),"")</f>
        <v/>
      </c>
      <c r="BA16">
        <f>IFERROR(MATCH(13,$AY$4:$AY$40,0)+3,"")</f>
        <v/>
      </c>
    </row>
    <row r="17" ht="15" customHeight="1">
      <c r="A17" s="675" t="inlineStr">
        <is>
          <t>Service Charge to MSTC</t>
        </is>
      </c>
      <c r="B17" s="544">
        <f>IFERROR(IF(INDEX('Final Calculation Sheet'!$M$4:$M$40,$BA4-3)="","",INDEX('Final Calculation Sheet'!$M$4:$M$40,$BA4-3)),"")</f>
        <v/>
      </c>
      <c r="C17" s="679">
        <f>IFERROR(IF(INDEX('Final Calculation Sheet'!$M$4:$M$40,$BA5-3)="","",INDEX('Final Calculation Sheet'!$M$4:$M$40,$BA5-3)),"")</f>
        <v/>
      </c>
      <c r="D17" s="544">
        <f>IFERROR(IF(INDEX('Final Calculation Sheet'!$M$4:$M$40,$BA6-3)="","",INDEX('Final Calculation Sheet'!$M$4:$M$40,$BA6-3)),"")</f>
        <v/>
      </c>
      <c r="E17" s="679">
        <f>IFERROR(IF(INDEX('Final Calculation Sheet'!$M$4:$M$40,$BA7-3)="","",INDEX('Final Calculation Sheet'!$M$4:$M$40,$BA7-3)),"")</f>
        <v/>
      </c>
      <c r="F17" s="544">
        <f>IFERROR(IF(INDEX('Final Calculation Sheet'!$M$4:$M$40,$BA8-3)="","",INDEX('Final Calculation Sheet'!$M$4:$M$40,$BA8-3)),"")</f>
        <v/>
      </c>
      <c r="G17" s="679">
        <f>IFERROR(IF(INDEX('Final Calculation Sheet'!$M$4:$M$40,$BA9-3)="","",INDEX('Final Calculation Sheet'!$M$4:$M$40,$BA9-3)),"")</f>
        <v/>
      </c>
      <c r="H17" s="544">
        <f>IFERROR(IF(INDEX('Final Calculation Sheet'!$M$4:$M$40,$BA10-3)="","",INDEX('Final Calculation Sheet'!$M$4:$M$40,$BA10-3)),"")</f>
        <v/>
      </c>
      <c r="I17" s="679">
        <f>IFERROR(IF(INDEX('Final Calculation Sheet'!$M$4:$M$40,$BA11-3)="","",INDEX('Final Calculation Sheet'!$M$4:$M$40,$BA11-3)),"")</f>
        <v/>
      </c>
      <c r="J17" s="544">
        <f>IFERROR(IF(INDEX('Final Calculation Sheet'!$M$4:$M$40,$BA12-3)="","",INDEX('Final Calculation Sheet'!$M$4:$M$40,$BA12-3)),"")</f>
        <v/>
      </c>
      <c r="K17" s="679">
        <f>IFERROR(IF(INDEX('Final Calculation Sheet'!$M$4:$M$40,$BA13-3)="","",INDEX('Final Calculation Sheet'!$M$4:$M$40,$BA13-3)),"")</f>
        <v/>
      </c>
      <c r="L17" s="544">
        <f>IFERROR(IF(INDEX('Final Calculation Sheet'!$M$4:$M$40,$BA14-3)="","",INDEX('Final Calculation Sheet'!$M$4:$M$40,$BA14-3)),"")</f>
        <v/>
      </c>
      <c r="M17" s="679">
        <f>IFERROR(IF(INDEX('Final Calculation Sheet'!$M$4:$M$40,$BA15-3)="","",INDEX('Final Calculation Sheet'!$M$4:$M$40,$BA15-3)),"")</f>
        <v/>
      </c>
      <c r="N17" s="544">
        <f>IFERROR(IF(INDEX('Final Calculation Sheet'!$M$4:$M$40,$BA16-3)="","",INDEX('Final Calculation Sheet'!$M$4:$M$40,$BA16-3)),"")</f>
        <v/>
      </c>
      <c r="O17" s="679">
        <f>IFERROR(IF(INDEX('Final Calculation Sheet'!$M$4:$M$40,$BA17-3)="","",INDEX('Final Calculation Sheet'!$M$4:$M$40,$BA17-3)),"")</f>
        <v/>
      </c>
      <c r="P17" s="544">
        <f>IFERROR(IF(INDEX('Final Calculation Sheet'!$M$4:$M$40,$BA18-3)="","",INDEX('Final Calculation Sheet'!$M$4:$M$40,$BA18-3)),"")</f>
        <v/>
      </c>
      <c r="Q17" s="679">
        <f>IFERROR(IF(INDEX('Final Calculation Sheet'!$M$4:$M$40,$BA19-3)="","",INDEX('Final Calculation Sheet'!$M$4:$M$40,$BA19-3)),"")</f>
        <v/>
      </c>
      <c r="R17" s="544">
        <f>IFERROR(IF(INDEX('Final Calculation Sheet'!$M$4:$M$40,$BA20-3)="","",INDEX('Final Calculation Sheet'!$M$4:$M$40,$BA20-3)),"")</f>
        <v/>
      </c>
      <c r="S17" s="679">
        <f>IFERROR(IF(INDEX('Final Calculation Sheet'!$M$4:$M$40,$BA21-3)="","",INDEX('Final Calculation Sheet'!$M$4:$M$40,$BA21-3)),"")</f>
        <v/>
      </c>
      <c r="T17" s="544">
        <f>IFERROR(IF(INDEX('Final Calculation Sheet'!$M$4:$M$40,$BA22-3)="","",INDEX('Final Calculation Sheet'!$M$4:$M$40,$BA22-3)),"")</f>
        <v/>
      </c>
      <c r="U17" s="679">
        <f>IFERROR(IF(INDEX('Final Calculation Sheet'!$M$4:$M$40,$BA23-3)="","",INDEX('Final Calculation Sheet'!$M$4:$M$40,$BA23-3)),"")</f>
        <v/>
      </c>
      <c r="V17" s="544">
        <f>IFERROR(IF(INDEX('Final Calculation Sheet'!$M$4:$M$40,$BA24-3)="","",INDEX('Final Calculation Sheet'!$M$4:$M$40,$BA24-3)),"")</f>
        <v/>
      </c>
      <c r="W17" s="679">
        <f>IFERROR(IF(INDEX('Final Calculation Sheet'!$M$4:$M$40,$BA25-3)="","",INDEX('Final Calculation Sheet'!$M$4:$M$40,$BA25-3)),"")</f>
        <v/>
      </c>
      <c r="X17" s="544">
        <f>IFERROR(IF(INDEX('Final Calculation Sheet'!$M$4:$M$40,$BA26-3)="","",INDEX('Final Calculation Sheet'!$M$4:$M$40,$BA26-3)),"")</f>
        <v/>
      </c>
      <c r="Y17" s="679">
        <f>IFERROR(IF(INDEX('Final Calculation Sheet'!$M$4:$M$40,$BA27-3)="","",INDEX('Final Calculation Sheet'!$M$4:$M$40,$BA27-3)),"")</f>
        <v/>
      </c>
      <c r="Z17" s="544">
        <f>IFERROR(IF(INDEX('Final Calculation Sheet'!$M$4:$M$40,$BA28-3)="","",INDEX('Final Calculation Sheet'!$M$4:$M$40,$BA28-3)),"")</f>
        <v/>
      </c>
      <c r="AA17" s="679">
        <f>IFERROR(IF(INDEX('Final Calculation Sheet'!$M$4:$M$40,$BA29-3)="","",INDEX('Final Calculation Sheet'!$M$4:$M$40,$BA29-3)),"")</f>
        <v/>
      </c>
      <c r="AB17" s="544">
        <f>IFERROR(IF(INDEX('Final Calculation Sheet'!$M$4:$M$40,$BA30-3)="","",INDEX('Final Calculation Sheet'!$M$4:$M$40,$BA30-3)),"")</f>
        <v/>
      </c>
      <c r="AC17" s="679">
        <f>IFERROR(IF(INDEX('Final Calculation Sheet'!$M$4:$M$40,$BA31-3)="","",INDEX('Final Calculation Sheet'!$M$4:$M$40,$BA31-3)),"")</f>
        <v/>
      </c>
      <c r="AD17" s="544">
        <f>IFERROR(IF(INDEX('Final Calculation Sheet'!$M$4:$M$40,$BA32-3)="","",INDEX('Final Calculation Sheet'!$M$4:$M$40,$BA32-3)),"")</f>
        <v/>
      </c>
      <c r="AE17" s="679">
        <f>IFERROR(IF(INDEX('Final Calculation Sheet'!$M$4:$M$40,$BA33-3)="","",INDEX('Final Calculation Sheet'!$M$4:$M$40,$BA33-3)),"")</f>
        <v/>
      </c>
      <c r="AF17" s="544">
        <f>IFERROR(IF(INDEX('Final Calculation Sheet'!$M$4:$M$40,$BA34-3)="","",INDEX('Final Calculation Sheet'!$M$4:$M$40,$BA34-3)),"")</f>
        <v/>
      </c>
      <c r="AG17" s="679">
        <f>IFERROR(IF(INDEX('Final Calculation Sheet'!$M$4:$M$40,$BA35-3)="","",INDEX('Final Calculation Sheet'!$M$4:$M$40,$BA35-3)),"")</f>
        <v/>
      </c>
      <c r="AH17" s="544">
        <f>IFERROR(IF(INDEX('Final Calculation Sheet'!$M$4:$M$40,$BA36-3)="","",INDEX('Final Calculation Sheet'!$M$4:$M$40,$BA36-3)),"")</f>
        <v/>
      </c>
      <c r="AI17" s="679">
        <f>IFERROR(IF(INDEX('Final Calculation Sheet'!$M$4:$M$40,$BA37-3)="","",INDEX('Final Calculation Sheet'!$M$4:$M$40,$BA37-3)),"")</f>
        <v/>
      </c>
      <c r="AJ17" s="544">
        <f>IFERROR(IF(INDEX('Final Calculation Sheet'!$M$4:$M$40,$BA38-3)="","",INDEX('Final Calculation Sheet'!$M$4:$M$40,$BA38-3)),"")</f>
        <v/>
      </c>
      <c r="AK17" s="679">
        <f>IFERROR(IF(INDEX('Final Calculation Sheet'!$M$4:$M$40,$BA39-3)="","",INDEX('Final Calculation Sheet'!$M$4:$M$40,$BA39-3)),"")</f>
        <v/>
      </c>
      <c r="AL17" s="544">
        <f>IFERROR(IF(INDEX('Final Calculation Sheet'!$M$4:$M$40,$BA40-3)="","",INDEX('Final Calculation Sheet'!$M$4:$M$40,$BA40-3)),"")</f>
        <v/>
      </c>
      <c r="AM17" s="680">
        <f>IF(COUNT(B17:AL17)=0,"",SUM(B17:AL17))</f>
        <v/>
      </c>
      <c r="AO17" t="inlineStr">
        <is>
          <t>TDS u/s 194(H)</t>
        </is>
      </c>
      <c r="AQ17" t="inlineStr">
        <is>
          <t>WATAN SCRAP TRADERS</t>
        </is>
      </c>
      <c r="AW17">
        <f>IF(OR($B$3="ALL BUYERS",'Final Calculation Sheet'!$G17=$B$3),IF($D$3="— no row filter —",1,IF($F$3="is blank",IF(INDEX('Final Calculation Sheet'!$A$4:$AG$40,17-3,$AU$2)="",1,0),IF($F$3="is not blank",IF(INDEX('Final Calculation Sheet'!$A$4:$AG$40,17-3,$AU$2)="",0,1),IF($F$3="contains",IF(ISNUMBER(SEARCH($H$3,INDEX('Final Calculation Sheet'!$A$4:$AG$40,17-3,$AU$2))),1,0),IF($F$3="=",IF(INDEX('Final Calculation Sheet'!$A$4:$AG$40,17-3,$AU$2)=$H$3,1,0),IF($F$3="&lt;&gt;",IF(INDEX('Final Calculation Sheet'!$A$4:$AG$40,17-3,$AU$2)=$H$3,0,1),IF($F$3="&gt;",IF(N(INDEX('Final Calculation Sheet'!$A$4:$AG$40,17-3,$AU$2))&gt;N($H$3),1,0),IF($F$3="&gt;=",IF(N(INDEX('Final Calculation Sheet'!$A$4:$AG$40,17-3,$AU$2))&gt;=N($H$3),1,0),IF($F$3="&lt;",IF(N(INDEX('Final Calculation Sheet'!$A$4:$AG$40,17-3,$AU$2))&lt;N($H$3),1,0),IF($F$3="&lt;=",IF(N(INDEX('Final Calculation Sheet'!$A$4:$AG$40,17-3,$AU$2))&lt;=N($H$3),1,0),0)))))))))),0)</f>
        <v/>
      </c>
      <c r="AY17">
        <f>IF(AW17=1,SUM($AW$4:AW17),"")</f>
        <v/>
      </c>
      <c r="BA17">
        <f>IFERROR(MATCH(14,$AY$4:$AY$40,0)+3,"")</f>
        <v/>
      </c>
    </row>
    <row r="18" ht="15" customHeight="1">
      <c r="A18" s="678" t="inlineStr">
        <is>
          <t>TDS u/s 194(H)</t>
        </is>
      </c>
      <c r="B18" s="547">
        <f>IFERROR(IF(INDEX('Final Calculation Sheet'!$N$4:$N$40,$BA4-3)="","",INDEX('Final Calculation Sheet'!$N$4:$N$40,$BA4-3)),"")</f>
        <v/>
      </c>
      <c r="C18" s="681">
        <f>IFERROR(IF(INDEX('Final Calculation Sheet'!$N$4:$N$40,$BA5-3)="","",INDEX('Final Calculation Sheet'!$N$4:$N$40,$BA5-3)),"")</f>
        <v/>
      </c>
      <c r="D18" s="547">
        <f>IFERROR(IF(INDEX('Final Calculation Sheet'!$N$4:$N$40,$BA6-3)="","",INDEX('Final Calculation Sheet'!$N$4:$N$40,$BA6-3)),"")</f>
        <v/>
      </c>
      <c r="E18" s="681">
        <f>IFERROR(IF(INDEX('Final Calculation Sheet'!$N$4:$N$40,$BA7-3)="","",INDEX('Final Calculation Sheet'!$N$4:$N$40,$BA7-3)),"")</f>
        <v/>
      </c>
      <c r="F18" s="547">
        <f>IFERROR(IF(INDEX('Final Calculation Sheet'!$N$4:$N$40,$BA8-3)="","",INDEX('Final Calculation Sheet'!$N$4:$N$40,$BA8-3)),"")</f>
        <v/>
      </c>
      <c r="G18" s="681">
        <f>IFERROR(IF(INDEX('Final Calculation Sheet'!$N$4:$N$40,$BA9-3)="","",INDEX('Final Calculation Sheet'!$N$4:$N$40,$BA9-3)),"")</f>
        <v/>
      </c>
      <c r="H18" s="547">
        <f>IFERROR(IF(INDEX('Final Calculation Sheet'!$N$4:$N$40,$BA10-3)="","",INDEX('Final Calculation Sheet'!$N$4:$N$40,$BA10-3)),"")</f>
        <v/>
      </c>
      <c r="I18" s="681">
        <f>IFERROR(IF(INDEX('Final Calculation Sheet'!$N$4:$N$40,$BA11-3)="","",INDEX('Final Calculation Sheet'!$N$4:$N$40,$BA11-3)),"")</f>
        <v/>
      </c>
      <c r="J18" s="547">
        <f>IFERROR(IF(INDEX('Final Calculation Sheet'!$N$4:$N$40,$BA12-3)="","",INDEX('Final Calculation Sheet'!$N$4:$N$40,$BA12-3)),"")</f>
        <v/>
      </c>
      <c r="K18" s="681">
        <f>IFERROR(IF(INDEX('Final Calculation Sheet'!$N$4:$N$40,$BA13-3)="","",INDEX('Final Calculation Sheet'!$N$4:$N$40,$BA13-3)),"")</f>
        <v/>
      </c>
      <c r="L18" s="547">
        <f>IFERROR(IF(INDEX('Final Calculation Sheet'!$N$4:$N$40,$BA14-3)="","",INDEX('Final Calculation Sheet'!$N$4:$N$40,$BA14-3)),"")</f>
        <v/>
      </c>
      <c r="M18" s="681">
        <f>IFERROR(IF(INDEX('Final Calculation Sheet'!$N$4:$N$40,$BA15-3)="","",INDEX('Final Calculation Sheet'!$N$4:$N$40,$BA15-3)),"")</f>
        <v/>
      </c>
      <c r="N18" s="547">
        <f>IFERROR(IF(INDEX('Final Calculation Sheet'!$N$4:$N$40,$BA16-3)="","",INDEX('Final Calculation Sheet'!$N$4:$N$40,$BA16-3)),"")</f>
        <v/>
      </c>
      <c r="O18" s="681">
        <f>IFERROR(IF(INDEX('Final Calculation Sheet'!$N$4:$N$40,$BA17-3)="","",INDEX('Final Calculation Sheet'!$N$4:$N$40,$BA17-3)),"")</f>
        <v/>
      </c>
      <c r="P18" s="547">
        <f>IFERROR(IF(INDEX('Final Calculation Sheet'!$N$4:$N$40,$BA18-3)="","",INDEX('Final Calculation Sheet'!$N$4:$N$40,$BA18-3)),"")</f>
        <v/>
      </c>
      <c r="Q18" s="681">
        <f>IFERROR(IF(INDEX('Final Calculation Sheet'!$N$4:$N$40,$BA19-3)="","",INDEX('Final Calculation Sheet'!$N$4:$N$40,$BA19-3)),"")</f>
        <v/>
      </c>
      <c r="R18" s="547">
        <f>IFERROR(IF(INDEX('Final Calculation Sheet'!$N$4:$N$40,$BA20-3)="","",INDEX('Final Calculation Sheet'!$N$4:$N$40,$BA20-3)),"")</f>
        <v/>
      </c>
      <c r="S18" s="681">
        <f>IFERROR(IF(INDEX('Final Calculation Sheet'!$N$4:$N$40,$BA21-3)="","",INDEX('Final Calculation Sheet'!$N$4:$N$40,$BA21-3)),"")</f>
        <v/>
      </c>
      <c r="T18" s="547">
        <f>IFERROR(IF(INDEX('Final Calculation Sheet'!$N$4:$N$40,$BA22-3)="","",INDEX('Final Calculation Sheet'!$N$4:$N$40,$BA22-3)),"")</f>
        <v/>
      </c>
      <c r="U18" s="681">
        <f>IFERROR(IF(INDEX('Final Calculation Sheet'!$N$4:$N$40,$BA23-3)="","",INDEX('Final Calculation Sheet'!$N$4:$N$40,$BA23-3)),"")</f>
        <v/>
      </c>
      <c r="V18" s="547">
        <f>IFERROR(IF(INDEX('Final Calculation Sheet'!$N$4:$N$40,$BA24-3)="","",INDEX('Final Calculation Sheet'!$N$4:$N$40,$BA24-3)),"")</f>
        <v/>
      </c>
      <c r="W18" s="681">
        <f>IFERROR(IF(INDEX('Final Calculation Sheet'!$N$4:$N$40,$BA25-3)="","",INDEX('Final Calculation Sheet'!$N$4:$N$40,$BA25-3)),"")</f>
        <v/>
      </c>
      <c r="X18" s="547">
        <f>IFERROR(IF(INDEX('Final Calculation Sheet'!$N$4:$N$40,$BA26-3)="","",INDEX('Final Calculation Sheet'!$N$4:$N$40,$BA26-3)),"")</f>
        <v/>
      </c>
      <c r="Y18" s="681">
        <f>IFERROR(IF(INDEX('Final Calculation Sheet'!$N$4:$N$40,$BA27-3)="","",INDEX('Final Calculation Sheet'!$N$4:$N$40,$BA27-3)),"")</f>
        <v/>
      </c>
      <c r="Z18" s="547">
        <f>IFERROR(IF(INDEX('Final Calculation Sheet'!$N$4:$N$40,$BA28-3)="","",INDEX('Final Calculation Sheet'!$N$4:$N$40,$BA28-3)),"")</f>
        <v/>
      </c>
      <c r="AA18" s="681">
        <f>IFERROR(IF(INDEX('Final Calculation Sheet'!$N$4:$N$40,$BA29-3)="","",INDEX('Final Calculation Sheet'!$N$4:$N$40,$BA29-3)),"")</f>
        <v/>
      </c>
      <c r="AB18" s="547">
        <f>IFERROR(IF(INDEX('Final Calculation Sheet'!$N$4:$N$40,$BA30-3)="","",INDEX('Final Calculation Sheet'!$N$4:$N$40,$BA30-3)),"")</f>
        <v/>
      </c>
      <c r="AC18" s="681">
        <f>IFERROR(IF(INDEX('Final Calculation Sheet'!$N$4:$N$40,$BA31-3)="","",INDEX('Final Calculation Sheet'!$N$4:$N$40,$BA31-3)),"")</f>
        <v/>
      </c>
      <c r="AD18" s="547">
        <f>IFERROR(IF(INDEX('Final Calculation Sheet'!$N$4:$N$40,$BA32-3)="","",INDEX('Final Calculation Sheet'!$N$4:$N$40,$BA32-3)),"")</f>
        <v/>
      </c>
      <c r="AE18" s="681">
        <f>IFERROR(IF(INDEX('Final Calculation Sheet'!$N$4:$N$40,$BA33-3)="","",INDEX('Final Calculation Sheet'!$N$4:$N$40,$BA33-3)),"")</f>
        <v/>
      </c>
      <c r="AF18" s="547">
        <f>IFERROR(IF(INDEX('Final Calculation Sheet'!$N$4:$N$40,$BA34-3)="","",INDEX('Final Calculation Sheet'!$N$4:$N$40,$BA34-3)),"")</f>
        <v/>
      </c>
      <c r="AG18" s="681">
        <f>IFERROR(IF(INDEX('Final Calculation Sheet'!$N$4:$N$40,$BA35-3)="","",INDEX('Final Calculation Sheet'!$N$4:$N$40,$BA35-3)),"")</f>
        <v/>
      </c>
      <c r="AH18" s="547">
        <f>IFERROR(IF(INDEX('Final Calculation Sheet'!$N$4:$N$40,$BA36-3)="","",INDEX('Final Calculation Sheet'!$N$4:$N$40,$BA36-3)),"")</f>
        <v/>
      </c>
      <c r="AI18" s="681">
        <f>IFERROR(IF(INDEX('Final Calculation Sheet'!$N$4:$N$40,$BA37-3)="","",INDEX('Final Calculation Sheet'!$N$4:$N$40,$BA37-3)),"")</f>
        <v/>
      </c>
      <c r="AJ18" s="547">
        <f>IFERROR(IF(INDEX('Final Calculation Sheet'!$N$4:$N$40,$BA38-3)="","",INDEX('Final Calculation Sheet'!$N$4:$N$40,$BA38-3)),"")</f>
        <v/>
      </c>
      <c r="AK18" s="681">
        <f>IFERROR(IF(INDEX('Final Calculation Sheet'!$N$4:$N$40,$BA39-3)="","",INDEX('Final Calculation Sheet'!$N$4:$N$40,$BA39-3)),"")</f>
        <v/>
      </c>
      <c r="AL18" s="547">
        <f>IFERROR(IF(INDEX('Final Calculation Sheet'!$N$4:$N$40,$BA40-3)="","",INDEX('Final Calculation Sheet'!$N$4:$N$40,$BA40-3)),"")</f>
        <v/>
      </c>
      <c r="AM18" s="682">
        <f>IF(COUNT(B18:AL18)=0,"",SUM(B18:AL18))</f>
        <v/>
      </c>
      <c r="AO18" t="inlineStr">
        <is>
          <t>Net Service Charge (post TDS 194H)</t>
        </is>
      </c>
      <c r="AW18">
        <f>IF(OR($B$3="ALL BUYERS",'Final Calculation Sheet'!$G18=$B$3),IF($D$3="— no row filter —",1,IF($F$3="is blank",IF(INDEX('Final Calculation Sheet'!$A$4:$AG$40,18-3,$AU$2)="",1,0),IF($F$3="is not blank",IF(INDEX('Final Calculation Sheet'!$A$4:$AG$40,18-3,$AU$2)="",0,1),IF($F$3="contains",IF(ISNUMBER(SEARCH($H$3,INDEX('Final Calculation Sheet'!$A$4:$AG$40,18-3,$AU$2))),1,0),IF($F$3="=",IF(INDEX('Final Calculation Sheet'!$A$4:$AG$40,18-3,$AU$2)=$H$3,1,0),IF($F$3="&lt;&gt;",IF(INDEX('Final Calculation Sheet'!$A$4:$AG$40,18-3,$AU$2)=$H$3,0,1),IF($F$3="&gt;",IF(N(INDEX('Final Calculation Sheet'!$A$4:$AG$40,18-3,$AU$2))&gt;N($H$3),1,0),IF($F$3="&gt;=",IF(N(INDEX('Final Calculation Sheet'!$A$4:$AG$40,18-3,$AU$2))&gt;=N($H$3),1,0),IF($F$3="&lt;",IF(N(INDEX('Final Calculation Sheet'!$A$4:$AG$40,18-3,$AU$2))&lt;N($H$3),1,0),IF($F$3="&lt;=",IF(N(INDEX('Final Calculation Sheet'!$A$4:$AG$40,18-3,$AU$2))&lt;=N($H$3),1,0),0)))))))))),0)</f>
        <v/>
      </c>
      <c r="AY18">
        <f>IF(AW18=1,SUM($AW$4:AW18),"")</f>
        <v/>
      </c>
      <c r="BA18">
        <f>IFERROR(MATCH(15,$AY$4:$AY$40,0)+3,"")</f>
        <v/>
      </c>
    </row>
    <row r="19" ht="15" customHeight="1">
      <c r="A19" s="675" t="inlineStr">
        <is>
          <t>Net Service Charge (post TDS 194H)</t>
        </is>
      </c>
      <c r="B19" s="544">
        <f>IFERROR(IF(INDEX('Final Calculation Sheet'!$O$4:$O$40,$BA4-3)="","",INDEX('Final Calculation Sheet'!$O$4:$O$40,$BA4-3)),"")</f>
        <v/>
      </c>
      <c r="C19" s="679">
        <f>IFERROR(IF(INDEX('Final Calculation Sheet'!$O$4:$O$40,$BA5-3)="","",INDEX('Final Calculation Sheet'!$O$4:$O$40,$BA5-3)),"")</f>
        <v/>
      </c>
      <c r="D19" s="544">
        <f>IFERROR(IF(INDEX('Final Calculation Sheet'!$O$4:$O$40,$BA6-3)="","",INDEX('Final Calculation Sheet'!$O$4:$O$40,$BA6-3)),"")</f>
        <v/>
      </c>
      <c r="E19" s="679">
        <f>IFERROR(IF(INDEX('Final Calculation Sheet'!$O$4:$O$40,$BA7-3)="","",INDEX('Final Calculation Sheet'!$O$4:$O$40,$BA7-3)),"")</f>
        <v/>
      </c>
      <c r="F19" s="544">
        <f>IFERROR(IF(INDEX('Final Calculation Sheet'!$O$4:$O$40,$BA8-3)="","",INDEX('Final Calculation Sheet'!$O$4:$O$40,$BA8-3)),"")</f>
        <v/>
      </c>
      <c r="G19" s="679">
        <f>IFERROR(IF(INDEX('Final Calculation Sheet'!$O$4:$O$40,$BA9-3)="","",INDEX('Final Calculation Sheet'!$O$4:$O$40,$BA9-3)),"")</f>
        <v/>
      </c>
      <c r="H19" s="544">
        <f>IFERROR(IF(INDEX('Final Calculation Sheet'!$O$4:$O$40,$BA10-3)="","",INDEX('Final Calculation Sheet'!$O$4:$O$40,$BA10-3)),"")</f>
        <v/>
      </c>
      <c r="I19" s="679">
        <f>IFERROR(IF(INDEX('Final Calculation Sheet'!$O$4:$O$40,$BA11-3)="","",INDEX('Final Calculation Sheet'!$O$4:$O$40,$BA11-3)),"")</f>
        <v/>
      </c>
      <c r="J19" s="544">
        <f>IFERROR(IF(INDEX('Final Calculation Sheet'!$O$4:$O$40,$BA12-3)="","",INDEX('Final Calculation Sheet'!$O$4:$O$40,$BA12-3)),"")</f>
        <v/>
      </c>
      <c r="K19" s="679">
        <f>IFERROR(IF(INDEX('Final Calculation Sheet'!$O$4:$O$40,$BA13-3)="","",INDEX('Final Calculation Sheet'!$O$4:$O$40,$BA13-3)),"")</f>
        <v/>
      </c>
      <c r="L19" s="544">
        <f>IFERROR(IF(INDEX('Final Calculation Sheet'!$O$4:$O$40,$BA14-3)="","",INDEX('Final Calculation Sheet'!$O$4:$O$40,$BA14-3)),"")</f>
        <v/>
      </c>
      <c r="M19" s="679">
        <f>IFERROR(IF(INDEX('Final Calculation Sheet'!$O$4:$O$40,$BA15-3)="","",INDEX('Final Calculation Sheet'!$O$4:$O$40,$BA15-3)),"")</f>
        <v/>
      </c>
      <c r="N19" s="544">
        <f>IFERROR(IF(INDEX('Final Calculation Sheet'!$O$4:$O$40,$BA16-3)="","",INDEX('Final Calculation Sheet'!$O$4:$O$40,$BA16-3)),"")</f>
        <v/>
      </c>
      <c r="O19" s="679">
        <f>IFERROR(IF(INDEX('Final Calculation Sheet'!$O$4:$O$40,$BA17-3)="","",INDEX('Final Calculation Sheet'!$O$4:$O$40,$BA17-3)),"")</f>
        <v/>
      </c>
      <c r="P19" s="544">
        <f>IFERROR(IF(INDEX('Final Calculation Sheet'!$O$4:$O$40,$BA18-3)="","",INDEX('Final Calculation Sheet'!$O$4:$O$40,$BA18-3)),"")</f>
        <v/>
      </c>
      <c r="Q19" s="679">
        <f>IFERROR(IF(INDEX('Final Calculation Sheet'!$O$4:$O$40,$BA19-3)="","",INDEX('Final Calculation Sheet'!$O$4:$O$40,$BA19-3)),"")</f>
        <v/>
      </c>
      <c r="R19" s="544">
        <f>IFERROR(IF(INDEX('Final Calculation Sheet'!$O$4:$O$40,$BA20-3)="","",INDEX('Final Calculation Sheet'!$O$4:$O$40,$BA20-3)),"")</f>
        <v/>
      </c>
      <c r="S19" s="679">
        <f>IFERROR(IF(INDEX('Final Calculation Sheet'!$O$4:$O$40,$BA21-3)="","",INDEX('Final Calculation Sheet'!$O$4:$O$40,$BA21-3)),"")</f>
        <v/>
      </c>
      <c r="T19" s="544">
        <f>IFERROR(IF(INDEX('Final Calculation Sheet'!$O$4:$O$40,$BA22-3)="","",INDEX('Final Calculation Sheet'!$O$4:$O$40,$BA22-3)),"")</f>
        <v/>
      </c>
      <c r="U19" s="679">
        <f>IFERROR(IF(INDEX('Final Calculation Sheet'!$O$4:$O$40,$BA23-3)="","",INDEX('Final Calculation Sheet'!$O$4:$O$40,$BA23-3)),"")</f>
        <v/>
      </c>
      <c r="V19" s="544">
        <f>IFERROR(IF(INDEX('Final Calculation Sheet'!$O$4:$O$40,$BA24-3)="","",INDEX('Final Calculation Sheet'!$O$4:$O$40,$BA24-3)),"")</f>
        <v/>
      </c>
      <c r="W19" s="679">
        <f>IFERROR(IF(INDEX('Final Calculation Sheet'!$O$4:$O$40,$BA25-3)="","",INDEX('Final Calculation Sheet'!$O$4:$O$40,$BA25-3)),"")</f>
        <v/>
      </c>
      <c r="X19" s="544">
        <f>IFERROR(IF(INDEX('Final Calculation Sheet'!$O$4:$O$40,$BA26-3)="","",INDEX('Final Calculation Sheet'!$O$4:$O$40,$BA26-3)),"")</f>
        <v/>
      </c>
      <c r="Y19" s="679">
        <f>IFERROR(IF(INDEX('Final Calculation Sheet'!$O$4:$O$40,$BA27-3)="","",INDEX('Final Calculation Sheet'!$O$4:$O$40,$BA27-3)),"")</f>
        <v/>
      </c>
      <c r="Z19" s="544">
        <f>IFERROR(IF(INDEX('Final Calculation Sheet'!$O$4:$O$40,$BA28-3)="","",INDEX('Final Calculation Sheet'!$O$4:$O$40,$BA28-3)),"")</f>
        <v/>
      </c>
      <c r="AA19" s="679">
        <f>IFERROR(IF(INDEX('Final Calculation Sheet'!$O$4:$O$40,$BA29-3)="","",INDEX('Final Calculation Sheet'!$O$4:$O$40,$BA29-3)),"")</f>
        <v/>
      </c>
      <c r="AB19" s="544">
        <f>IFERROR(IF(INDEX('Final Calculation Sheet'!$O$4:$O$40,$BA30-3)="","",INDEX('Final Calculation Sheet'!$O$4:$O$40,$BA30-3)),"")</f>
        <v/>
      </c>
      <c r="AC19" s="679">
        <f>IFERROR(IF(INDEX('Final Calculation Sheet'!$O$4:$O$40,$BA31-3)="","",INDEX('Final Calculation Sheet'!$O$4:$O$40,$BA31-3)),"")</f>
        <v/>
      </c>
      <c r="AD19" s="544">
        <f>IFERROR(IF(INDEX('Final Calculation Sheet'!$O$4:$O$40,$BA32-3)="","",INDEX('Final Calculation Sheet'!$O$4:$O$40,$BA32-3)),"")</f>
        <v/>
      </c>
      <c r="AE19" s="679">
        <f>IFERROR(IF(INDEX('Final Calculation Sheet'!$O$4:$O$40,$BA33-3)="","",INDEX('Final Calculation Sheet'!$O$4:$O$40,$BA33-3)),"")</f>
        <v/>
      </c>
      <c r="AF19" s="544">
        <f>IFERROR(IF(INDEX('Final Calculation Sheet'!$O$4:$O$40,$BA34-3)="","",INDEX('Final Calculation Sheet'!$O$4:$O$40,$BA34-3)),"")</f>
        <v/>
      </c>
      <c r="AG19" s="679">
        <f>IFERROR(IF(INDEX('Final Calculation Sheet'!$O$4:$O$40,$BA35-3)="","",INDEX('Final Calculation Sheet'!$O$4:$O$40,$BA35-3)),"")</f>
        <v/>
      </c>
      <c r="AH19" s="544">
        <f>IFERROR(IF(INDEX('Final Calculation Sheet'!$O$4:$O$40,$BA36-3)="","",INDEX('Final Calculation Sheet'!$O$4:$O$40,$BA36-3)),"")</f>
        <v/>
      </c>
      <c r="AI19" s="679">
        <f>IFERROR(IF(INDEX('Final Calculation Sheet'!$O$4:$O$40,$BA37-3)="","",INDEX('Final Calculation Sheet'!$O$4:$O$40,$BA37-3)),"")</f>
        <v/>
      </c>
      <c r="AJ19" s="544">
        <f>IFERROR(IF(INDEX('Final Calculation Sheet'!$O$4:$O$40,$BA38-3)="","",INDEX('Final Calculation Sheet'!$O$4:$O$40,$BA38-3)),"")</f>
        <v/>
      </c>
      <c r="AK19" s="679">
        <f>IFERROR(IF(INDEX('Final Calculation Sheet'!$O$4:$O$40,$BA39-3)="","",INDEX('Final Calculation Sheet'!$O$4:$O$40,$BA39-3)),"")</f>
        <v/>
      </c>
      <c r="AL19" s="544">
        <f>IFERROR(IF(INDEX('Final Calculation Sheet'!$O$4:$O$40,$BA40-3)="","",INDEX('Final Calculation Sheet'!$O$4:$O$40,$BA40-3)),"")</f>
        <v/>
      </c>
      <c r="AM19" s="680">
        <f>IF(COUNT(B19:AL19)=0,"",SUM(B19:AL19))</f>
        <v/>
      </c>
      <c r="AO19" t="inlineStr">
        <is>
          <t>Service charge to MSTC</t>
        </is>
      </c>
      <c r="AW19">
        <f>IF(OR($B$3="ALL BUYERS",'Final Calculation Sheet'!$G19=$B$3),IF($D$3="— no row filter —",1,IF($F$3="is blank",IF(INDEX('Final Calculation Sheet'!$A$4:$AG$40,19-3,$AU$2)="",1,0),IF($F$3="is not blank",IF(INDEX('Final Calculation Sheet'!$A$4:$AG$40,19-3,$AU$2)="",0,1),IF($F$3="contains",IF(ISNUMBER(SEARCH($H$3,INDEX('Final Calculation Sheet'!$A$4:$AG$40,19-3,$AU$2))),1,0),IF($F$3="=",IF(INDEX('Final Calculation Sheet'!$A$4:$AG$40,19-3,$AU$2)=$H$3,1,0),IF($F$3="&lt;&gt;",IF(INDEX('Final Calculation Sheet'!$A$4:$AG$40,19-3,$AU$2)=$H$3,0,1),IF($F$3="&gt;",IF(N(INDEX('Final Calculation Sheet'!$A$4:$AG$40,19-3,$AU$2))&gt;N($H$3),1,0),IF($F$3="&gt;=",IF(N(INDEX('Final Calculation Sheet'!$A$4:$AG$40,19-3,$AU$2))&gt;=N($H$3),1,0),IF($F$3="&lt;",IF(N(INDEX('Final Calculation Sheet'!$A$4:$AG$40,19-3,$AU$2))&lt;N($H$3),1,0),IF($F$3="&lt;=",IF(N(INDEX('Final Calculation Sheet'!$A$4:$AG$40,19-3,$AU$2))&lt;=N($H$3),1,0),0)))))))))),0)</f>
        <v/>
      </c>
      <c r="AY19">
        <f>IF(AW19=1,SUM($AW$4:AW19),"")</f>
        <v/>
      </c>
      <c r="BA19">
        <f>IFERROR(MATCH(16,$AY$4:$AY$40,0)+3,"")</f>
        <v/>
      </c>
    </row>
    <row r="20" ht="15" customHeight="1">
      <c r="A20" s="678" t="inlineStr">
        <is>
          <t>Service charge to MSTC</t>
        </is>
      </c>
      <c r="B20" s="544">
        <f>IFERROR(IF(INDEX('Final Calculation Sheet'!$P$4:$P$40,$BA4-3)="","",INDEX('Final Calculation Sheet'!$P$4:$P$40,$BA4-3)),"")</f>
        <v/>
      </c>
      <c r="C20" s="679">
        <f>IFERROR(IF(INDEX('Final Calculation Sheet'!$P$4:$P$40,$BA5-3)="","",INDEX('Final Calculation Sheet'!$P$4:$P$40,$BA5-3)),"")</f>
        <v/>
      </c>
      <c r="D20" s="544">
        <f>IFERROR(IF(INDEX('Final Calculation Sheet'!$P$4:$P$40,$BA6-3)="","",INDEX('Final Calculation Sheet'!$P$4:$P$40,$BA6-3)),"")</f>
        <v/>
      </c>
      <c r="E20" s="679">
        <f>IFERROR(IF(INDEX('Final Calculation Sheet'!$P$4:$P$40,$BA7-3)="","",INDEX('Final Calculation Sheet'!$P$4:$P$40,$BA7-3)),"")</f>
        <v/>
      </c>
      <c r="F20" s="544">
        <f>IFERROR(IF(INDEX('Final Calculation Sheet'!$P$4:$P$40,$BA8-3)="","",INDEX('Final Calculation Sheet'!$P$4:$P$40,$BA8-3)),"")</f>
        <v/>
      </c>
      <c r="G20" s="679">
        <f>IFERROR(IF(INDEX('Final Calculation Sheet'!$P$4:$P$40,$BA9-3)="","",INDEX('Final Calculation Sheet'!$P$4:$P$40,$BA9-3)),"")</f>
        <v/>
      </c>
      <c r="H20" s="544">
        <f>IFERROR(IF(INDEX('Final Calculation Sheet'!$P$4:$P$40,$BA10-3)="","",INDEX('Final Calculation Sheet'!$P$4:$P$40,$BA10-3)),"")</f>
        <v/>
      </c>
      <c r="I20" s="679">
        <f>IFERROR(IF(INDEX('Final Calculation Sheet'!$P$4:$P$40,$BA11-3)="","",INDEX('Final Calculation Sheet'!$P$4:$P$40,$BA11-3)),"")</f>
        <v/>
      </c>
      <c r="J20" s="544">
        <f>IFERROR(IF(INDEX('Final Calculation Sheet'!$P$4:$P$40,$BA12-3)="","",INDEX('Final Calculation Sheet'!$P$4:$P$40,$BA12-3)),"")</f>
        <v/>
      </c>
      <c r="K20" s="679">
        <f>IFERROR(IF(INDEX('Final Calculation Sheet'!$P$4:$P$40,$BA13-3)="","",INDEX('Final Calculation Sheet'!$P$4:$P$40,$BA13-3)),"")</f>
        <v/>
      </c>
      <c r="L20" s="544">
        <f>IFERROR(IF(INDEX('Final Calculation Sheet'!$P$4:$P$40,$BA14-3)="","",INDEX('Final Calculation Sheet'!$P$4:$P$40,$BA14-3)),"")</f>
        <v/>
      </c>
      <c r="M20" s="679">
        <f>IFERROR(IF(INDEX('Final Calculation Sheet'!$P$4:$P$40,$BA15-3)="","",INDEX('Final Calculation Sheet'!$P$4:$P$40,$BA15-3)),"")</f>
        <v/>
      </c>
      <c r="N20" s="544">
        <f>IFERROR(IF(INDEX('Final Calculation Sheet'!$P$4:$P$40,$BA16-3)="","",INDEX('Final Calculation Sheet'!$P$4:$P$40,$BA16-3)),"")</f>
        <v/>
      </c>
      <c r="O20" s="679">
        <f>IFERROR(IF(INDEX('Final Calculation Sheet'!$P$4:$P$40,$BA17-3)="","",INDEX('Final Calculation Sheet'!$P$4:$P$40,$BA17-3)),"")</f>
        <v/>
      </c>
      <c r="P20" s="544">
        <f>IFERROR(IF(INDEX('Final Calculation Sheet'!$P$4:$P$40,$BA18-3)="","",INDEX('Final Calculation Sheet'!$P$4:$P$40,$BA18-3)),"")</f>
        <v/>
      </c>
      <c r="Q20" s="679">
        <f>IFERROR(IF(INDEX('Final Calculation Sheet'!$P$4:$P$40,$BA19-3)="","",INDEX('Final Calculation Sheet'!$P$4:$P$40,$BA19-3)),"")</f>
        <v/>
      </c>
      <c r="R20" s="544">
        <f>IFERROR(IF(INDEX('Final Calculation Sheet'!$P$4:$P$40,$BA20-3)="","",INDEX('Final Calculation Sheet'!$P$4:$P$40,$BA20-3)),"")</f>
        <v/>
      </c>
      <c r="S20" s="679">
        <f>IFERROR(IF(INDEX('Final Calculation Sheet'!$P$4:$P$40,$BA21-3)="","",INDEX('Final Calculation Sheet'!$P$4:$P$40,$BA21-3)),"")</f>
        <v/>
      </c>
      <c r="T20" s="544">
        <f>IFERROR(IF(INDEX('Final Calculation Sheet'!$P$4:$P$40,$BA22-3)="","",INDEX('Final Calculation Sheet'!$P$4:$P$40,$BA22-3)),"")</f>
        <v/>
      </c>
      <c r="U20" s="679">
        <f>IFERROR(IF(INDEX('Final Calculation Sheet'!$P$4:$P$40,$BA23-3)="","",INDEX('Final Calculation Sheet'!$P$4:$P$40,$BA23-3)),"")</f>
        <v/>
      </c>
      <c r="V20" s="544">
        <f>IFERROR(IF(INDEX('Final Calculation Sheet'!$P$4:$P$40,$BA24-3)="","",INDEX('Final Calculation Sheet'!$P$4:$P$40,$BA24-3)),"")</f>
        <v/>
      </c>
      <c r="W20" s="679">
        <f>IFERROR(IF(INDEX('Final Calculation Sheet'!$P$4:$P$40,$BA25-3)="","",INDEX('Final Calculation Sheet'!$P$4:$P$40,$BA25-3)),"")</f>
        <v/>
      </c>
      <c r="X20" s="544">
        <f>IFERROR(IF(INDEX('Final Calculation Sheet'!$P$4:$P$40,$BA26-3)="","",INDEX('Final Calculation Sheet'!$P$4:$P$40,$BA26-3)),"")</f>
        <v/>
      </c>
      <c r="Y20" s="679">
        <f>IFERROR(IF(INDEX('Final Calculation Sheet'!$P$4:$P$40,$BA27-3)="","",INDEX('Final Calculation Sheet'!$P$4:$P$40,$BA27-3)),"")</f>
        <v/>
      </c>
      <c r="Z20" s="544">
        <f>IFERROR(IF(INDEX('Final Calculation Sheet'!$P$4:$P$40,$BA28-3)="","",INDEX('Final Calculation Sheet'!$P$4:$P$40,$BA28-3)),"")</f>
        <v/>
      </c>
      <c r="AA20" s="679">
        <f>IFERROR(IF(INDEX('Final Calculation Sheet'!$P$4:$P$40,$BA29-3)="","",INDEX('Final Calculation Sheet'!$P$4:$P$40,$BA29-3)),"")</f>
        <v/>
      </c>
      <c r="AB20" s="544">
        <f>IFERROR(IF(INDEX('Final Calculation Sheet'!$P$4:$P$40,$BA30-3)="","",INDEX('Final Calculation Sheet'!$P$4:$P$40,$BA30-3)),"")</f>
        <v/>
      </c>
      <c r="AC20" s="679">
        <f>IFERROR(IF(INDEX('Final Calculation Sheet'!$P$4:$P$40,$BA31-3)="","",INDEX('Final Calculation Sheet'!$P$4:$P$40,$BA31-3)),"")</f>
        <v/>
      </c>
      <c r="AD20" s="544">
        <f>IFERROR(IF(INDEX('Final Calculation Sheet'!$P$4:$P$40,$BA32-3)="","",INDEX('Final Calculation Sheet'!$P$4:$P$40,$BA32-3)),"")</f>
        <v/>
      </c>
      <c r="AE20" s="679">
        <f>IFERROR(IF(INDEX('Final Calculation Sheet'!$P$4:$P$40,$BA33-3)="","",INDEX('Final Calculation Sheet'!$P$4:$P$40,$BA33-3)),"")</f>
        <v/>
      </c>
      <c r="AF20" s="544">
        <f>IFERROR(IF(INDEX('Final Calculation Sheet'!$P$4:$P$40,$BA34-3)="","",INDEX('Final Calculation Sheet'!$P$4:$P$40,$BA34-3)),"")</f>
        <v/>
      </c>
      <c r="AG20" s="679">
        <f>IFERROR(IF(INDEX('Final Calculation Sheet'!$P$4:$P$40,$BA35-3)="","",INDEX('Final Calculation Sheet'!$P$4:$P$40,$BA35-3)),"")</f>
        <v/>
      </c>
      <c r="AH20" s="544">
        <f>IFERROR(IF(INDEX('Final Calculation Sheet'!$P$4:$P$40,$BA36-3)="","",INDEX('Final Calculation Sheet'!$P$4:$P$40,$BA36-3)),"")</f>
        <v/>
      </c>
      <c r="AI20" s="679">
        <f>IFERROR(IF(INDEX('Final Calculation Sheet'!$P$4:$P$40,$BA37-3)="","",INDEX('Final Calculation Sheet'!$P$4:$P$40,$BA37-3)),"")</f>
        <v/>
      </c>
      <c r="AJ20" s="544">
        <f>IFERROR(IF(INDEX('Final Calculation Sheet'!$P$4:$P$40,$BA38-3)="","",INDEX('Final Calculation Sheet'!$P$4:$P$40,$BA38-3)),"")</f>
        <v/>
      </c>
      <c r="AK20" s="679">
        <f>IFERROR(IF(INDEX('Final Calculation Sheet'!$P$4:$P$40,$BA39-3)="","",INDEX('Final Calculation Sheet'!$P$4:$P$40,$BA39-3)),"")</f>
        <v/>
      </c>
      <c r="AL20" s="544">
        <f>IFERROR(IF(INDEX('Final Calculation Sheet'!$P$4:$P$40,$BA40-3)="","",INDEX('Final Calculation Sheet'!$P$4:$P$40,$BA40-3)),"")</f>
        <v/>
      </c>
      <c r="AM20" s="680">
        <f>IF(COUNT(B20:AL20)=0,"",SUM(B20:AL20))</f>
        <v/>
      </c>
      <c r="AO20" t="inlineStr">
        <is>
          <t>GST TDS Rate</t>
        </is>
      </c>
      <c r="AW20">
        <f>IF(OR($B$3="ALL BUYERS",'Final Calculation Sheet'!$G20=$B$3),IF($D$3="— no row filter —",1,IF($F$3="is blank",IF(INDEX('Final Calculation Sheet'!$A$4:$AG$40,20-3,$AU$2)="",1,0),IF($F$3="is not blank",IF(INDEX('Final Calculation Sheet'!$A$4:$AG$40,20-3,$AU$2)="",0,1),IF($F$3="contains",IF(ISNUMBER(SEARCH($H$3,INDEX('Final Calculation Sheet'!$A$4:$AG$40,20-3,$AU$2))),1,0),IF($F$3="=",IF(INDEX('Final Calculation Sheet'!$A$4:$AG$40,20-3,$AU$2)=$H$3,1,0),IF($F$3="&lt;&gt;",IF(INDEX('Final Calculation Sheet'!$A$4:$AG$40,20-3,$AU$2)=$H$3,0,1),IF($F$3="&gt;",IF(N(INDEX('Final Calculation Sheet'!$A$4:$AG$40,20-3,$AU$2))&gt;N($H$3),1,0),IF($F$3="&gt;=",IF(N(INDEX('Final Calculation Sheet'!$A$4:$AG$40,20-3,$AU$2))&gt;=N($H$3),1,0),IF($F$3="&lt;",IF(N(INDEX('Final Calculation Sheet'!$A$4:$AG$40,20-3,$AU$2))&lt;N($H$3),1,0),IF($F$3="&lt;=",IF(N(INDEX('Final Calculation Sheet'!$A$4:$AG$40,20-3,$AU$2))&lt;=N($H$3),1,0),0)))))))))),0)</f>
        <v/>
      </c>
      <c r="AY20">
        <f>IF(AW20=1,SUM($AW$4:AW20),"")</f>
        <v/>
      </c>
      <c r="BA20">
        <f>IFERROR(MATCH(17,$AY$4:$AY$40,0)+3,"")</f>
        <v/>
      </c>
    </row>
    <row r="21" ht="15" customHeight="1">
      <c r="A21" s="675" t="inlineStr">
        <is>
          <t>GST TDS Rate</t>
        </is>
      </c>
      <c r="B21" s="549">
        <f>IFERROR(IF(INDEX('Final Calculation Sheet'!$Q$4:$Q$40,$BA4-3)="","",INDEX('Final Calculation Sheet'!$Q$4:$Q$40,$BA4-3)),"")</f>
        <v/>
      </c>
      <c r="C21" s="683">
        <f>IFERROR(IF(INDEX('Final Calculation Sheet'!$Q$4:$Q$40,$BA5-3)="","",INDEX('Final Calculation Sheet'!$Q$4:$Q$40,$BA5-3)),"")</f>
        <v/>
      </c>
      <c r="D21" s="549">
        <f>IFERROR(IF(INDEX('Final Calculation Sheet'!$Q$4:$Q$40,$BA6-3)="","",INDEX('Final Calculation Sheet'!$Q$4:$Q$40,$BA6-3)),"")</f>
        <v/>
      </c>
      <c r="E21" s="683">
        <f>IFERROR(IF(INDEX('Final Calculation Sheet'!$Q$4:$Q$40,$BA7-3)="","",INDEX('Final Calculation Sheet'!$Q$4:$Q$40,$BA7-3)),"")</f>
        <v/>
      </c>
      <c r="F21" s="549">
        <f>IFERROR(IF(INDEX('Final Calculation Sheet'!$Q$4:$Q$40,$BA8-3)="","",INDEX('Final Calculation Sheet'!$Q$4:$Q$40,$BA8-3)),"")</f>
        <v/>
      </c>
      <c r="G21" s="683">
        <f>IFERROR(IF(INDEX('Final Calculation Sheet'!$Q$4:$Q$40,$BA9-3)="","",INDEX('Final Calculation Sheet'!$Q$4:$Q$40,$BA9-3)),"")</f>
        <v/>
      </c>
      <c r="H21" s="549">
        <f>IFERROR(IF(INDEX('Final Calculation Sheet'!$Q$4:$Q$40,$BA10-3)="","",INDEX('Final Calculation Sheet'!$Q$4:$Q$40,$BA10-3)),"")</f>
        <v/>
      </c>
      <c r="I21" s="683">
        <f>IFERROR(IF(INDEX('Final Calculation Sheet'!$Q$4:$Q$40,$BA11-3)="","",INDEX('Final Calculation Sheet'!$Q$4:$Q$40,$BA11-3)),"")</f>
        <v/>
      </c>
      <c r="J21" s="549">
        <f>IFERROR(IF(INDEX('Final Calculation Sheet'!$Q$4:$Q$40,$BA12-3)="","",INDEX('Final Calculation Sheet'!$Q$4:$Q$40,$BA12-3)),"")</f>
        <v/>
      </c>
      <c r="K21" s="683">
        <f>IFERROR(IF(INDEX('Final Calculation Sheet'!$Q$4:$Q$40,$BA13-3)="","",INDEX('Final Calculation Sheet'!$Q$4:$Q$40,$BA13-3)),"")</f>
        <v/>
      </c>
      <c r="L21" s="549">
        <f>IFERROR(IF(INDEX('Final Calculation Sheet'!$Q$4:$Q$40,$BA14-3)="","",INDEX('Final Calculation Sheet'!$Q$4:$Q$40,$BA14-3)),"")</f>
        <v/>
      </c>
      <c r="M21" s="683">
        <f>IFERROR(IF(INDEX('Final Calculation Sheet'!$Q$4:$Q$40,$BA15-3)="","",INDEX('Final Calculation Sheet'!$Q$4:$Q$40,$BA15-3)),"")</f>
        <v/>
      </c>
      <c r="N21" s="549">
        <f>IFERROR(IF(INDEX('Final Calculation Sheet'!$Q$4:$Q$40,$BA16-3)="","",INDEX('Final Calculation Sheet'!$Q$4:$Q$40,$BA16-3)),"")</f>
        <v/>
      </c>
      <c r="O21" s="683">
        <f>IFERROR(IF(INDEX('Final Calculation Sheet'!$Q$4:$Q$40,$BA17-3)="","",INDEX('Final Calculation Sheet'!$Q$4:$Q$40,$BA17-3)),"")</f>
        <v/>
      </c>
      <c r="P21" s="549">
        <f>IFERROR(IF(INDEX('Final Calculation Sheet'!$Q$4:$Q$40,$BA18-3)="","",INDEX('Final Calculation Sheet'!$Q$4:$Q$40,$BA18-3)),"")</f>
        <v/>
      </c>
      <c r="Q21" s="683">
        <f>IFERROR(IF(INDEX('Final Calculation Sheet'!$Q$4:$Q$40,$BA19-3)="","",INDEX('Final Calculation Sheet'!$Q$4:$Q$40,$BA19-3)),"")</f>
        <v/>
      </c>
      <c r="R21" s="549">
        <f>IFERROR(IF(INDEX('Final Calculation Sheet'!$Q$4:$Q$40,$BA20-3)="","",INDEX('Final Calculation Sheet'!$Q$4:$Q$40,$BA20-3)),"")</f>
        <v/>
      </c>
      <c r="S21" s="683">
        <f>IFERROR(IF(INDEX('Final Calculation Sheet'!$Q$4:$Q$40,$BA21-3)="","",INDEX('Final Calculation Sheet'!$Q$4:$Q$40,$BA21-3)),"")</f>
        <v/>
      </c>
      <c r="T21" s="549">
        <f>IFERROR(IF(INDEX('Final Calculation Sheet'!$Q$4:$Q$40,$BA22-3)="","",INDEX('Final Calculation Sheet'!$Q$4:$Q$40,$BA22-3)),"")</f>
        <v/>
      </c>
      <c r="U21" s="683">
        <f>IFERROR(IF(INDEX('Final Calculation Sheet'!$Q$4:$Q$40,$BA23-3)="","",INDEX('Final Calculation Sheet'!$Q$4:$Q$40,$BA23-3)),"")</f>
        <v/>
      </c>
      <c r="V21" s="549">
        <f>IFERROR(IF(INDEX('Final Calculation Sheet'!$Q$4:$Q$40,$BA24-3)="","",INDEX('Final Calculation Sheet'!$Q$4:$Q$40,$BA24-3)),"")</f>
        <v/>
      </c>
      <c r="W21" s="683">
        <f>IFERROR(IF(INDEX('Final Calculation Sheet'!$Q$4:$Q$40,$BA25-3)="","",INDEX('Final Calculation Sheet'!$Q$4:$Q$40,$BA25-3)),"")</f>
        <v/>
      </c>
      <c r="X21" s="549">
        <f>IFERROR(IF(INDEX('Final Calculation Sheet'!$Q$4:$Q$40,$BA26-3)="","",INDEX('Final Calculation Sheet'!$Q$4:$Q$40,$BA26-3)),"")</f>
        <v/>
      </c>
      <c r="Y21" s="683">
        <f>IFERROR(IF(INDEX('Final Calculation Sheet'!$Q$4:$Q$40,$BA27-3)="","",INDEX('Final Calculation Sheet'!$Q$4:$Q$40,$BA27-3)),"")</f>
        <v/>
      </c>
      <c r="Z21" s="549">
        <f>IFERROR(IF(INDEX('Final Calculation Sheet'!$Q$4:$Q$40,$BA28-3)="","",INDEX('Final Calculation Sheet'!$Q$4:$Q$40,$BA28-3)),"")</f>
        <v/>
      </c>
      <c r="AA21" s="683">
        <f>IFERROR(IF(INDEX('Final Calculation Sheet'!$Q$4:$Q$40,$BA29-3)="","",INDEX('Final Calculation Sheet'!$Q$4:$Q$40,$BA29-3)),"")</f>
        <v/>
      </c>
      <c r="AB21" s="549">
        <f>IFERROR(IF(INDEX('Final Calculation Sheet'!$Q$4:$Q$40,$BA30-3)="","",INDEX('Final Calculation Sheet'!$Q$4:$Q$40,$BA30-3)),"")</f>
        <v/>
      </c>
      <c r="AC21" s="683">
        <f>IFERROR(IF(INDEX('Final Calculation Sheet'!$Q$4:$Q$40,$BA31-3)="","",INDEX('Final Calculation Sheet'!$Q$4:$Q$40,$BA31-3)),"")</f>
        <v/>
      </c>
      <c r="AD21" s="549">
        <f>IFERROR(IF(INDEX('Final Calculation Sheet'!$Q$4:$Q$40,$BA32-3)="","",INDEX('Final Calculation Sheet'!$Q$4:$Q$40,$BA32-3)),"")</f>
        <v/>
      </c>
      <c r="AE21" s="683">
        <f>IFERROR(IF(INDEX('Final Calculation Sheet'!$Q$4:$Q$40,$BA33-3)="","",INDEX('Final Calculation Sheet'!$Q$4:$Q$40,$BA33-3)),"")</f>
        <v/>
      </c>
      <c r="AF21" s="549">
        <f>IFERROR(IF(INDEX('Final Calculation Sheet'!$Q$4:$Q$40,$BA34-3)="","",INDEX('Final Calculation Sheet'!$Q$4:$Q$40,$BA34-3)),"")</f>
        <v/>
      </c>
      <c r="AG21" s="683">
        <f>IFERROR(IF(INDEX('Final Calculation Sheet'!$Q$4:$Q$40,$BA35-3)="","",INDEX('Final Calculation Sheet'!$Q$4:$Q$40,$BA35-3)),"")</f>
        <v/>
      </c>
      <c r="AH21" s="549">
        <f>IFERROR(IF(INDEX('Final Calculation Sheet'!$Q$4:$Q$40,$BA36-3)="","",INDEX('Final Calculation Sheet'!$Q$4:$Q$40,$BA36-3)),"")</f>
        <v/>
      </c>
      <c r="AI21" s="683">
        <f>IFERROR(IF(INDEX('Final Calculation Sheet'!$Q$4:$Q$40,$BA37-3)="","",INDEX('Final Calculation Sheet'!$Q$4:$Q$40,$BA37-3)),"")</f>
        <v/>
      </c>
      <c r="AJ21" s="549">
        <f>IFERROR(IF(INDEX('Final Calculation Sheet'!$Q$4:$Q$40,$BA38-3)="","",INDEX('Final Calculation Sheet'!$Q$4:$Q$40,$BA38-3)),"")</f>
        <v/>
      </c>
      <c r="AK21" s="683">
        <f>IFERROR(IF(INDEX('Final Calculation Sheet'!$Q$4:$Q$40,$BA39-3)="","",INDEX('Final Calculation Sheet'!$Q$4:$Q$40,$BA39-3)),"")</f>
        <v/>
      </c>
      <c r="AL21" s="549">
        <f>IFERROR(IF(INDEX('Final Calculation Sheet'!$Q$4:$Q$40,$BA40-3)="","",INDEX('Final Calculation Sheet'!$Q$4:$Q$40,$BA40-3)),"")</f>
        <v/>
      </c>
      <c r="AM21" s="750" t="inlineStr">
        <is>
          <t>–</t>
        </is>
      </c>
      <c r="AO21" t="inlineStr">
        <is>
          <t>GST TDS</t>
        </is>
      </c>
      <c r="AW21">
        <f>IF(OR($B$3="ALL BUYERS",'Final Calculation Sheet'!$G21=$B$3),IF($D$3="— no row filter —",1,IF($F$3="is blank",IF(INDEX('Final Calculation Sheet'!$A$4:$AG$40,21-3,$AU$2)="",1,0),IF($F$3="is not blank",IF(INDEX('Final Calculation Sheet'!$A$4:$AG$40,21-3,$AU$2)="",0,1),IF($F$3="contains",IF(ISNUMBER(SEARCH($H$3,INDEX('Final Calculation Sheet'!$A$4:$AG$40,21-3,$AU$2))),1,0),IF($F$3="=",IF(INDEX('Final Calculation Sheet'!$A$4:$AG$40,21-3,$AU$2)=$H$3,1,0),IF($F$3="&lt;&gt;",IF(INDEX('Final Calculation Sheet'!$A$4:$AG$40,21-3,$AU$2)=$H$3,0,1),IF($F$3="&gt;",IF(N(INDEX('Final Calculation Sheet'!$A$4:$AG$40,21-3,$AU$2))&gt;N($H$3),1,0),IF($F$3="&gt;=",IF(N(INDEX('Final Calculation Sheet'!$A$4:$AG$40,21-3,$AU$2))&gt;=N($H$3),1,0),IF($F$3="&lt;",IF(N(INDEX('Final Calculation Sheet'!$A$4:$AG$40,21-3,$AU$2))&lt;N($H$3),1,0),IF($F$3="&lt;=",IF(N(INDEX('Final Calculation Sheet'!$A$4:$AG$40,21-3,$AU$2))&lt;=N($H$3),1,0),0)))))))))),0)</f>
        <v/>
      </c>
      <c r="AY21">
        <f>IF(AW21=1,SUM($AW$4:AW21),"")</f>
        <v/>
      </c>
      <c r="BA21">
        <f>IFERROR(MATCH(18,$AY$4:$AY$40,0)+3,"")</f>
        <v/>
      </c>
    </row>
    <row r="22" ht="15" customHeight="1">
      <c r="A22" s="678" t="inlineStr">
        <is>
          <t>GST TDS</t>
        </is>
      </c>
      <c r="B22" s="544">
        <f>IFERROR(IF(INDEX('Final Calculation Sheet'!$R$4:$R$40,$BA4-3)="","",INDEX('Final Calculation Sheet'!$R$4:$R$40,$BA4-3)),"")</f>
        <v/>
      </c>
      <c r="C22" s="679">
        <f>IFERROR(IF(INDEX('Final Calculation Sheet'!$R$4:$R$40,$BA5-3)="","",INDEX('Final Calculation Sheet'!$R$4:$R$40,$BA5-3)),"")</f>
        <v/>
      </c>
      <c r="D22" s="544">
        <f>IFERROR(IF(INDEX('Final Calculation Sheet'!$R$4:$R$40,$BA6-3)="","",INDEX('Final Calculation Sheet'!$R$4:$R$40,$BA6-3)),"")</f>
        <v/>
      </c>
      <c r="E22" s="679">
        <f>IFERROR(IF(INDEX('Final Calculation Sheet'!$R$4:$R$40,$BA7-3)="","",INDEX('Final Calculation Sheet'!$R$4:$R$40,$BA7-3)),"")</f>
        <v/>
      </c>
      <c r="F22" s="544">
        <f>IFERROR(IF(INDEX('Final Calculation Sheet'!$R$4:$R$40,$BA8-3)="","",INDEX('Final Calculation Sheet'!$R$4:$R$40,$BA8-3)),"")</f>
        <v/>
      </c>
      <c r="G22" s="679">
        <f>IFERROR(IF(INDEX('Final Calculation Sheet'!$R$4:$R$40,$BA9-3)="","",INDEX('Final Calculation Sheet'!$R$4:$R$40,$BA9-3)),"")</f>
        <v/>
      </c>
      <c r="H22" s="544">
        <f>IFERROR(IF(INDEX('Final Calculation Sheet'!$R$4:$R$40,$BA10-3)="","",INDEX('Final Calculation Sheet'!$R$4:$R$40,$BA10-3)),"")</f>
        <v/>
      </c>
      <c r="I22" s="679">
        <f>IFERROR(IF(INDEX('Final Calculation Sheet'!$R$4:$R$40,$BA11-3)="","",INDEX('Final Calculation Sheet'!$R$4:$R$40,$BA11-3)),"")</f>
        <v/>
      </c>
      <c r="J22" s="544">
        <f>IFERROR(IF(INDEX('Final Calculation Sheet'!$R$4:$R$40,$BA12-3)="","",INDEX('Final Calculation Sheet'!$R$4:$R$40,$BA12-3)),"")</f>
        <v/>
      </c>
      <c r="K22" s="679">
        <f>IFERROR(IF(INDEX('Final Calculation Sheet'!$R$4:$R$40,$BA13-3)="","",INDEX('Final Calculation Sheet'!$R$4:$R$40,$BA13-3)),"")</f>
        <v/>
      </c>
      <c r="L22" s="544">
        <f>IFERROR(IF(INDEX('Final Calculation Sheet'!$R$4:$R$40,$BA14-3)="","",INDEX('Final Calculation Sheet'!$R$4:$R$40,$BA14-3)),"")</f>
        <v/>
      </c>
      <c r="M22" s="679">
        <f>IFERROR(IF(INDEX('Final Calculation Sheet'!$R$4:$R$40,$BA15-3)="","",INDEX('Final Calculation Sheet'!$R$4:$R$40,$BA15-3)),"")</f>
        <v/>
      </c>
      <c r="N22" s="544">
        <f>IFERROR(IF(INDEX('Final Calculation Sheet'!$R$4:$R$40,$BA16-3)="","",INDEX('Final Calculation Sheet'!$R$4:$R$40,$BA16-3)),"")</f>
        <v/>
      </c>
      <c r="O22" s="679">
        <f>IFERROR(IF(INDEX('Final Calculation Sheet'!$R$4:$R$40,$BA17-3)="","",INDEX('Final Calculation Sheet'!$R$4:$R$40,$BA17-3)),"")</f>
        <v/>
      </c>
      <c r="P22" s="544">
        <f>IFERROR(IF(INDEX('Final Calculation Sheet'!$R$4:$R$40,$BA18-3)="","",INDEX('Final Calculation Sheet'!$R$4:$R$40,$BA18-3)),"")</f>
        <v/>
      </c>
      <c r="Q22" s="679">
        <f>IFERROR(IF(INDEX('Final Calculation Sheet'!$R$4:$R$40,$BA19-3)="","",INDEX('Final Calculation Sheet'!$R$4:$R$40,$BA19-3)),"")</f>
        <v/>
      </c>
      <c r="R22" s="544">
        <f>IFERROR(IF(INDEX('Final Calculation Sheet'!$R$4:$R$40,$BA20-3)="","",INDEX('Final Calculation Sheet'!$R$4:$R$40,$BA20-3)),"")</f>
        <v/>
      </c>
      <c r="S22" s="679">
        <f>IFERROR(IF(INDEX('Final Calculation Sheet'!$R$4:$R$40,$BA21-3)="","",INDEX('Final Calculation Sheet'!$R$4:$R$40,$BA21-3)),"")</f>
        <v/>
      </c>
      <c r="T22" s="544">
        <f>IFERROR(IF(INDEX('Final Calculation Sheet'!$R$4:$R$40,$BA22-3)="","",INDEX('Final Calculation Sheet'!$R$4:$R$40,$BA22-3)),"")</f>
        <v/>
      </c>
      <c r="U22" s="679">
        <f>IFERROR(IF(INDEX('Final Calculation Sheet'!$R$4:$R$40,$BA23-3)="","",INDEX('Final Calculation Sheet'!$R$4:$R$40,$BA23-3)),"")</f>
        <v/>
      </c>
      <c r="V22" s="544">
        <f>IFERROR(IF(INDEX('Final Calculation Sheet'!$R$4:$R$40,$BA24-3)="","",INDEX('Final Calculation Sheet'!$R$4:$R$40,$BA24-3)),"")</f>
        <v/>
      </c>
      <c r="W22" s="679">
        <f>IFERROR(IF(INDEX('Final Calculation Sheet'!$R$4:$R$40,$BA25-3)="","",INDEX('Final Calculation Sheet'!$R$4:$R$40,$BA25-3)),"")</f>
        <v/>
      </c>
      <c r="X22" s="544">
        <f>IFERROR(IF(INDEX('Final Calculation Sheet'!$R$4:$R$40,$BA26-3)="","",INDEX('Final Calculation Sheet'!$R$4:$R$40,$BA26-3)),"")</f>
        <v/>
      </c>
      <c r="Y22" s="679">
        <f>IFERROR(IF(INDEX('Final Calculation Sheet'!$R$4:$R$40,$BA27-3)="","",INDEX('Final Calculation Sheet'!$R$4:$R$40,$BA27-3)),"")</f>
        <v/>
      </c>
      <c r="Z22" s="544">
        <f>IFERROR(IF(INDEX('Final Calculation Sheet'!$R$4:$R$40,$BA28-3)="","",INDEX('Final Calculation Sheet'!$R$4:$R$40,$BA28-3)),"")</f>
        <v/>
      </c>
      <c r="AA22" s="679">
        <f>IFERROR(IF(INDEX('Final Calculation Sheet'!$R$4:$R$40,$BA29-3)="","",INDEX('Final Calculation Sheet'!$R$4:$R$40,$BA29-3)),"")</f>
        <v/>
      </c>
      <c r="AB22" s="544">
        <f>IFERROR(IF(INDEX('Final Calculation Sheet'!$R$4:$R$40,$BA30-3)="","",INDEX('Final Calculation Sheet'!$R$4:$R$40,$BA30-3)),"")</f>
        <v/>
      </c>
      <c r="AC22" s="679">
        <f>IFERROR(IF(INDEX('Final Calculation Sheet'!$R$4:$R$40,$BA31-3)="","",INDEX('Final Calculation Sheet'!$R$4:$R$40,$BA31-3)),"")</f>
        <v/>
      </c>
      <c r="AD22" s="544">
        <f>IFERROR(IF(INDEX('Final Calculation Sheet'!$R$4:$R$40,$BA32-3)="","",INDEX('Final Calculation Sheet'!$R$4:$R$40,$BA32-3)),"")</f>
        <v/>
      </c>
      <c r="AE22" s="679">
        <f>IFERROR(IF(INDEX('Final Calculation Sheet'!$R$4:$R$40,$BA33-3)="","",INDEX('Final Calculation Sheet'!$R$4:$R$40,$BA33-3)),"")</f>
        <v/>
      </c>
      <c r="AF22" s="544">
        <f>IFERROR(IF(INDEX('Final Calculation Sheet'!$R$4:$R$40,$BA34-3)="","",INDEX('Final Calculation Sheet'!$R$4:$R$40,$BA34-3)),"")</f>
        <v/>
      </c>
      <c r="AG22" s="679">
        <f>IFERROR(IF(INDEX('Final Calculation Sheet'!$R$4:$R$40,$BA35-3)="","",INDEX('Final Calculation Sheet'!$R$4:$R$40,$BA35-3)),"")</f>
        <v/>
      </c>
      <c r="AH22" s="544">
        <f>IFERROR(IF(INDEX('Final Calculation Sheet'!$R$4:$R$40,$BA36-3)="","",INDEX('Final Calculation Sheet'!$R$4:$R$40,$BA36-3)),"")</f>
        <v/>
      </c>
      <c r="AI22" s="679">
        <f>IFERROR(IF(INDEX('Final Calculation Sheet'!$R$4:$R$40,$BA37-3)="","",INDEX('Final Calculation Sheet'!$R$4:$R$40,$BA37-3)),"")</f>
        <v/>
      </c>
      <c r="AJ22" s="544">
        <f>IFERROR(IF(INDEX('Final Calculation Sheet'!$R$4:$R$40,$BA38-3)="","",INDEX('Final Calculation Sheet'!$R$4:$R$40,$BA38-3)),"")</f>
        <v/>
      </c>
      <c r="AK22" s="679">
        <f>IFERROR(IF(INDEX('Final Calculation Sheet'!$R$4:$R$40,$BA39-3)="","",INDEX('Final Calculation Sheet'!$R$4:$R$40,$BA39-3)),"")</f>
        <v/>
      </c>
      <c r="AL22" s="544">
        <f>IFERROR(IF(INDEX('Final Calculation Sheet'!$R$4:$R$40,$BA40-3)="","",INDEX('Final Calculation Sheet'!$R$4:$R$40,$BA40-3)),"")</f>
        <v/>
      </c>
      <c r="AM22" s="680">
        <f>IF(COUNT(B22:AL22)=0,"",SUM(B22:AL22))</f>
        <v/>
      </c>
      <c r="AO22" t="inlineStr">
        <is>
          <t>Total Receivables in Cash</t>
        </is>
      </c>
      <c r="AW22">
        <f>IF(OR($B$3="ALL BUYERS",'Final Calculation Sheet'!$G22=$B$3),IF($D$3="— no row filter —",1,IF($F$3="is blank",IF(INDEX('Final Calculation Sheet'!$A$4:$AG$40,22-3,$AU$2)="",1,0),IF($F$3="is not blank",IF(INDEX('Final Calculation Sheet'!$A$4:$AG$40,22-3,$AU$2)="",0,1),IF($F$3="contains",IF(ISNUMBER(SEARCH($H$3,INDEX('Final Calculation Sheet'!$A$4:$AG$40,22-3,$AU$2))),1,0),IF($F$3="=",IF(INDEX('Final Calculation Sheet'!$A$4:$AG$40,22-3,$AU$2)=$H$3,1,0),IF($F$3="&lt;&gt;",IF(INDEX('Final Calculation Sheet'!$A$4:$AG$40,22-3,$AU$2)=$H$3,0,1),IF($F$3="&gt;",IF(N(INDEX('Final Calculation Sheet'!$A$4:$AG$40,22-3,$AU$2))&gt;N($H$3),1,0),IF($F$3="&gt;=",IF(N(INDEX('Final Calculation Sheet'!$A$4:$AG$40,22-3,$AU$2))&gt;=N($H$3),1,0),IF($F$3="&lt;",IF(N(INDEX('Final Calculation Sheet'!$A$4:$AG$40,22-3,$AU$2))&lt;N($H$3),1,0),IF($F$3="&lt;=",IF(N(INDEX('Final Calculation Sheet'!$A$4:$AG$40,22-3,$AU$2))&lt;=N($H$3),1,0),0)))))))))),0)</f>
        <v/>
      </c>
      <c r="AY22">
        <f>IF(AW22=1,SUM($AW$4:AW22),"")</f>
        <v/>
      </c>
      <c r="BA22">
        <f>IFERROR(MATCH(19,$AY$4:$AY$40,0)+3,"")</f>
        <v/>
      </c>
    </row>
    <row r="23" ht="15" customHeight="1">
      <c r="A23" s="675" t="inlineStr">
        <is>
          <t>Total Receivables in Cash</t>
        </is>
      </c>
      <c r="B23" s="544">
        <f>IFERROR(IF(INDEX('Final Calculation Sheet'!$S$4:$S$40,$BA4-3)="","",INDEX('Final Calculation Sheet'!$S$4:$S$40,$BA4-3)),"")</f>
        <v/>
      </c>
      <c r="C23" s="679">
        <f>IFERROR(IF(INDEX('Final Calculation Sheet'!$S$4:$S$40,$BA5-3)="","",INDEX('Final Calculation Sheet'!$S$4:$S$40,$BA5-3)),"")</f>
        <v/>
      </c>
      <c r="D23" s="544">
        <f>IFERROR(IF(INDEX('Final Calculation Sheet'!$S$4:$S$40,$BA6-3)="","",INDEX('Final Calculation Sheet'!$S$4:$S$40,$BA6-3)),"")</f>
        <v/>
      </c>
      <c r="E23" s="679">
        <f>IFERROR(IF(INDEX('Final Calculation Sheet'!$S$4:$S$40,$BA7-3)="","",INDEX('Final Calculation Sheet'!$S$4:$S$40,$BA7-3)),"")</f>
        <v/>
      </c>
      <c r="F23" s="544">
        <f>IFERROR(IF(INDEX('Final Calculation Sheet'!$S$4:$S$40,$BA8-3)="","",INDEX('Final Calculation Sheet'!$S$4:$S$40,$BA8-3)),"")</f>
        <v/>
      </c>
      <c r="G23" s="679">
        <f>IFERROR(IF(INDEX('Final Calculation Sheet'!$S$4:$S$40,$BA9-3)="","",INDEX('Final Calculation Sheet'!$S$4:$S$40,$BA9-3)),"")</f>
        <v/>
      </c>
      <c r="H23" s="544">
        <f>IFERROR(IF(INDEX('Final Calculation Sheet'!$S$4:$S$40,$BA10-3)="","",INDEX('Final Calculation Sheet'!$S$4:$S$40,$BA10-3)),"")</f>
        <v/>
      </c>
      <c r="I23" s="679">
        <f>IFERROR(IF(INDEX('Final Calculation Sheet'!$S$4:$S$40,$BA11-3)="","",INDEX('Final Calculation Sheet'!$S$4:$S$40,$BA11-3)),"")</f>
        <v/>
      </c>
      <c r="J23" s="544">
        <f>IFERROR(IF(INDEX('Final Calculation Sheet'!$S$4:$S$40,$BA12-3)="","",INDEX('Final Calculation Sheet'!$S$4:$S$40,$BA12-3)),"")</f>
        <v/>
      </c>
      <c r="K23" s="679">
        <f>IFERROR(IF(INDEX('Final Calculation Sheet'!$S$4:$S$40,$BA13-3)="","",INDEX('Final Calculation Sheet'!$S$4:$S$40,$BA13-3)),"")</f>
        <v/>
      </c>
      <c r="L23" s="544">
        <f>IFERROR(IF(INDEX('Final Calculation Sheet'!$S$4:$S$40,$BA14-3)="","",INDEX('Final Calculation Sheet'!$S$4:$S$40,$BA14-3)),"")</f>
        <v/>
      </c>
      <c r="M23" s="679">
        <f>IFERROR(IF(INDEX('Final Calculation Sheet'!$S$4:$S$40,$BA15-3)="","",INDEX('Final Calculation Sheet'!$S$4:$S$40,$BA15-3)),"")</f>
        <v/>
      </c>
      <c r="N23" s="544">
        <f>IFERROR(IF(INDEX('Final Calculation Sheet'!$S$4:$S$40,$BA16-3)="","",INDEX('Final Calculation Sheet'!$S$4:$S$40,$BA16-3)),"")</f>
        <v/>
      </c>
      <c r="O23" s="679">
        <f>IFERROR(IF(INDEX('Final Calculation Sheet'!$S$4:$S$40,$BA17-3)="","",INDEX('Final Calculation Sheet'!$S$4:$S$40,$BA17-3)),"")</f>
        <v/>
      </c>
      <c r="P23" s="544">
        <f>IFERROR(IF(INDEX('Final Calculation Sheet'!$S$4:$S$40,$BA18-3)="","",INDEX('Final Calculation Sheet'!$S$4:$S$40,$BA18-3)),"")</f>
        <v/>
      </c>
      <c r="Q23" s="679">
        <f>IFERROR(IF(INDEX('Final Calculation Sheet'!$S$4:$S$40,$BA19-3)="","",INDEX('Final Calculation Sheet'!$S$4:$S$40,$BA19-3)),"")</f>
        <v/>
      </c>
      <c r="R23" s="544">
        <f>IFERROR(IF(INDEX('Final Calculation Sheet'!$S$4:$S$40,$BA20-3)="","",INDEX('Final Calculation Sheet'!$S$4:$S$40,$BA20-3)),"")</f>
        <v/>
      </c>
      <c r="S23" s="679">
        <f>IFERROR(IF(INDEX('Final Calculation Sheet'!$S$4:$S$40,$BA21-3)="","",INDEX('Final Calculation Sheet'!$S$4:$S$40,$BA21-3)),"")</f>
        <v/>
      </c>
      <c r="T23" s="544">
        <f>IFERROR(IF(INDEX('Final Calculation Sheet'!$S$4:$S$40,$BA22-3)="","",INDEX('Final Calculation Sheet'!$S$4:$S$40,$BA22-3)),"")</f>
        <v/>
      </c>
      <c r="U23" s="679">
        <f>IFERROR(IF(INDEX('Final Calculation Sheet'!$S$4:$S$40,$BA23-3)="","",INDEX('Final Calculation Sheet'!$S$4:$S$40,$BA23-3)),"")</f>
        <v/>
      </c>
      <c r="V23" s="544">
        <f>IFERROR(IF(INDEX('Final Calculation Sheet'!$S$4:$S$40,$BA24-3)="","",INDEX('Final Calculation Sheet'!$S$4:$S$40,$BA24-3)),"")</f>
        <v/>
      </c>
      <c r="W23" s="679">
        <f>IFERROR(IF(INDEX('Final Calculation Sheet'!$S$4:$S$40,$BA25-3)="","",INDEX('Final Calculation Sheet'!$S$4:$S$40,$BA25-3)),"")</f>
        <v/>
      </c>
      <c r="X23" s="544">
        <f>IFERROR(IF(INDEX('Final Calculation Sheet'!$S$4:$S$40,$BA26-3)="","",INDEX('Final Calculation Sheet'!$S$4:$S$40,$BA26-3)),"")</f>
        <v/>
      </c>
      <c r="Y23" s="679">
        <f>IFERROR(IF(INDEX('Final Calculation Sheet'!$S$4:$S$40,$BA27-3)="","",INDEX('Final Calculation Sheet'!$S$4:$S$40,$BA27-3)),"")</f>
        <v/>
      </c>
      <c r="Z23" s="544">
        <f>IFERROR(IF(INDEX('Final Calculation Sheet'!$S$4:$S$40,$BA28-3)="","",INDEX('Final Calculation Sheet'!$S$4:$S$40,$BA28-3)),"")</f>
        <v/>
      </c>
      <c r="AA23" s="679">
        <f>IFERROR(IF(INDEX('Final Calculation Sheet'!$S$4:$S$40,$BA29-3)="","",INDEX('Final Calculation Sheet'!$S$4:$S$40,$BA29-3)),"")</f>
        <v/>
      </c>
      <c r="AB23" s="544">
        <f>IFERROR(IF(INDEX('Final Calculation Sheet'!$S$4:$S$40,$BA30-3)="","",INDEX('Final Calculation Sheet'!$S$4:$S$40,$BA30-3)),"")</f>
        <v/>
      </c>
      <c r="AC23" s="679">
        <f>IFERROR(IF(INDEX('Final Calculation Sheet'!$S$4:$S$40,$BA31-3)="","",INDEX('Final Calculation Sheet'!$S$4:$S$40,$BA31-3)),"")</f>
        <v/>
      </c>
      <c r="AD23" s="544">
        <f>IFERROR(IF(INDEX('Final Calculation Sheet'!$S$4:$S$40,$BA32-3)="","",INDEX('Final Calculation Sheet'!$S$4:$S$40,$BA32-3)),"")</f>
        <v/>
      </c>
      <c r="AE23" s="679">
        <f>IFERROR(IF(INDEX('Final Calculation Sheet'!$S$4:$S$40,$BA33-3)="","",INDEX('Final Calculation Sheet'!$S$4:$S$40,$BA33-3)),"")</f>
        <v/>
      </c>
      <c r="AF23" s="544">
        <f>IFERROR(IF(INDEX('Final Calculation Sheet'!$S$4:$S$40,$BA34-3)="","",INDEX('Final Calculation Sheet'!$S$4:$S$40,$BA34-3)),"")</f>
        <v/>
      </c>
      <c r="AG23" s="679">
        <f>IFERROR(IF(INDEX('Final Calculation Sheet'!$S$4:$S$40,$BA35-3)="","",INDEX('Final Calculation Sheet'!$S$4:$S$40,$BA35-3)),"")</f>
        <v/>
      </c>
      <c r="AH23" s="544">
        <f>IFERROR(IF(INDEX('Final Calculation Sheet'!$S$4:$S$40,$BA36-3)="","",INDEX('Final Calculation Sheet'!$S$4:$S$40,$BA36-3)),"")</f>
        <v/>
      </c>
      <c r="AI23" s="679">
        <f>IFERROR(IF(INDEX('Final Calculation Sheet'!$S$4:$S$40,$BA37-3)="","",INDEX('Final Calculation Sheet'!$S$4:$S$40,$BA37-3)),"")</f>
        <v/>
      </c>
      <c r="AJ23" s="544">
        <f>IFERROR(IF(INDEX('Final Calculation Sheet'!$S$4:$S$40,$BA38-3)="","",INDEX('Final Calculation Sheet'!$S$4:$S$40,$BA38-3)),"")</f>
        <v/>
      </c>
      <c r="AK23" s="679">
        <f>IFERROR(IF(INDEX('Final Calculation Sheet'!$S$4:$S$40,$BA39-3)="","",INDEX('Final Calculation Sheet'!$S$4:$S$40,$BA39-3)),"")</f>
        <v/>
      </c>
      <c r="AL23" s="544">
        <f>IFERROR(IF(INDEX('Final Calculation Sheet'!$S$4:$S$40,$BA40-3)="","",INDEX('Final Calculation Sheet'!$S$4:$S$40,$BA40-3)),"")</f>
        <v/>
      </c>
      <c r="AM23" s="680">
        <f>IF(COUNT(B23:AL23)=0,"",SUM(B23:AL23))</f>
        <v/>
      </c>
      <c r="AO23" t="inlineStr">
        <is>
          <t>Security Deposit (Expected)</t>
        </is>
      </c>
      <c r="AW23">
        <f>IF(OR($B$3="ALL BUYERS",'Final Calculation Sheet'!$G23=$B$3),IF($D$3="— no row filter —",1,IF($F$3="is blank",IF(INDEX('Final Calculation Sheet'!$A$4:$AG$40,23-3,$AU$2)="",1,0),IF($F$3="is not blank",IF(INDEX('Final Calculation Sheet'!$A$4:$AG$40,23-3,$AU$2)="",0,1),IF($F$3="contains",IF(ISNUMBER(SEARCH($H$3,INDEX('Final Calculation Sheet'!$A$4:$AG$40,23-3,$AU$2))),1,0),IF($F$3="=",IF(INDEX('Final Calculation Sheet'!$A$4:$AG$40,23-3,$AU$2)=$H$3,1,0),IF($F$3="&lt;&gt;",IF(INDEX('Final Calculation Sheet'!$A$4:$AG$40,23-3,$AU$2)=$H$3,0,1),IF($F$3="&gt;",IF(N(INDEX('Final Calculation Sheet'!$A$4:$AG$40,23-3,$AU$2))&gt;N($H$3),1,0),IF($F$3="&gt;=",IF(N(INDEX('Final Calculation Sheet'!$A$4:$AG$40,23-3,$AU$2))&gt;=N($H$3),1,0),IF($F$3="&lt;",IF(N(INDEX('Final Calculation Sheet'!$A$4:$AG$40,23-3,$AU$2))&lt;N($H$3),1,0),IF($F$3="&lt;=",IF(N(INDEX('Final Calculation Sheet'!$A$4:$AG$40,23-3,$AU$2))&lt;=N($H$3),1,0),0)))))))))),0)</f>
        <v/>
      </c>
      <c r="AY23">
        <f>IF(AW23=1,SUM($AW$4:AW23),"")</f>
        <v/>
      </c>
      <c r="BA23">
        <f>IFERROR(MATCH(20,$AY$4:$AY$40,0)+3,"")</f>
        <v/>
      </c>
    </row>
    <row r="24" ht="15" customHeight="1">
      <c r="A24" s="678" t="inlineStr">
        <is>
          <t>Security Deposit (Expected)</t>
        </is>
      </c>
      <c r="B24" s="544">
        <f>IFERROR(IF(INDEX('Final Calculation Sheet'!$T$4:$T$40,$BA4-3)="","",INDEX('Final Calculation Sheet'!$T$4:$T$40,$BA4-3)),"")</f>
        <v/>
      </c>
      <c r="C24" s="679">
        <f>IFERROR(IF(INDEX('Final Calculation Sheet'!$T$4:$T$40,$BA5-3)="","",INDEX('Final Calculation Sheet'!$T$4:$T$40,$BA5-3)),"")</f>
        <v/>
      </c>
      <c r="D24" s="544">
        <f>IFERROR(IF(INDEX('Final Calculation Sheet'!$T$4:$T$40,$BA6-3)="","",INDEX('Final Calculation Sheet'!$T$4:$T$40,$BA6-3)),"")</f>
        <v/>
      </c>
      <c r="E24" s="679">
        <f>IFERROR(IF(INDEX('Final Calculation Sheet'!$T$4:$T$40,$BA7-3)="","",INDEX('Final Calculation Sheet'!$T$4:$T$40,$BA7-3)),"")</f>
        <v/>
      </c>
      <c r="F24" s="544">
        <f>IFERROR(IF(INDEX('Final Calculation Sheet'!$T$4:$T$40,$BA8-3)="","",INDEX('Final Calculation Sheet'!$T$4:$T$40,$BA8-3)),"")</f>
        <v/>
      </c>
      <c r="G24" s="679">
        <f>IFERROR(IF(INDEX('Final Calculation Sheet'!$T$4:$T$40,$BA9-3)="","",INDEX('Final Calculation Sheet'!$T$4:$T$40,$BA9-3)),"")</f>
        <v/>
      </c>
      <c r="H24" s="544">
        <f>IFERROR(IF(INDEX('Final Calculation Sheet'!$T$4:$T$40,$BA10-3)="","",INDEX('Final Calculation Sheet'!$T$4:$T$40,$BA10-3)),"")</f>
        <v/>
      </c>
      <c r="I24" s="679">
        <f>IFERROR(IF(INDEX('Final Calculation Sheet'!$T$4:$T$40,$BA11-3)="","",INDEX('Final Calculation Sheet'!$T$4:$T$40,$BA11-3)),"")</f>
        <v/>
      </c>
      <c r="J24" s="544">
        <f>IFERROR(IF(INDEX('Final Calculation Sheet'!$T$4:$T$40,$BA12-3)="","",INDEX('Final Calculation Sheet'!$T$4:$T$40,$BA12-3)),"")</f>
        <v/>
      </c>
      <c r="K24" s="679">
        <f>IFERROR(IF(INDEX('Final Calculation Sheet'!$T$4:$T$40,$BA13-3)="","",INDEX('Final Calculation Sheet'!$T$4:$T$40,$BA13-3)),"")</f>
        <v/>
      </c>
      <c r="L24" s="544">
        <f>IFERROR(IF(INDEX('Final Calculation Sheet'!$T$4:$T$40,$BA14-3)="","",INDEX('Final Calculation Sheet'!$T$4:$T$40,$BA14-3)),"")</f>
        <v/>
      </c>
      <c r="M24" s="679">
        <f>IFERROR(IF(INDEX('Final Calculation Sheet'!$T$4:$T$40,$BA15-3)="","",INDEX('Final Calculation Sheet'!$T$4:$T$40,$BA15-3)),"")</f>
        <v/>
      </c>
      <c r="N24" s="544">
        <f>IFERROR(IF(INDEX('Final Calculation Sheet'!$T$4:$T$40,$BA16-3)="","",INDEX('Final Calculation Sheet'!$T$4:$T$40,$BA16-3)),"")</f>
        <v/>
      </c>
      <c r="O24" s="679">
        <f>IFERROR(IF(INDEX('Final Calculation Sheet'!$T$4:$T$40,$BA17-3)="","",INDEX('Final Calculation Sheet'!$T$4:$T$40,$BA17-3)),"")</f>
        <v/>
      </c>
      <c r="P24" s="544">
        <f>IFERROR(IF(INDEX('Final Calculation Sheet'!$T$4:$T$40,$BA18-3)="","",INDEX('Final Calculation Sheet'!$T$4:$T$40,$BA18-3)),"")</f>
        <v/>
      </c>
      <c r="Q24" s="679">
        <f>IFERROR(IF(INDEX('Final Calculation Sheet'!$T$4:$T$40,$BA19-3)="","",INDEX('Final Calculation Sheet'!$T$4:$T$40,$BA19-3)),"")</f>
        <v/>
      </c>
      <c r="R24" s="544">
        <f>IFERROR(IF(INDEX('Final Calculation Sheet'!$T$4:$T$40,$BA20-3)="","",INDEX('Final Calculation Sheet'!$T$4:$T$40,$BA20-3)),"")</f>
        <v/>
      </c>
      <c r="S24" s="679">
        <f>IFERROR(IF(INDEX('Final Calculation Sheet'!$T$4:$T$40,$BA21-3)="","",INDEX('Final Calculation Sheet'!$T$4:$T$40,$BA21-3)),"")</f>
        <v/>
      </c>
      <c r="T24" s="544">
        <f>IFERROR(IF(INDEX('Final Calculation Sheet'!$T$4:$T$40,$BA22-3)="","",INDEX('Final Calculation Sheet'!$T$4:$T$40,$BA22-3)),"")</f>
        <v/>
      </c>
      <c r="U24" s="679">
        <f>IFERROR(IF(INDEX('Final Calculation Sheet'!$T$4:$T$40,$BA23-3)="","",INDEX('Final Calculation Sheet'!$T$4:$T$40,$BA23-3)),"")</f>
        <v/>
      </c>
      <c r="V24" s="544">
        <f>IFERROR(IF(INDEX('Final Calculation Sheet'!$T$4:$T$40,$BA24-3)="","",INDEX('Final Calculation Sheet'!$T$4:$T$40,$BA24-3)),"")</f>
        <v/>
      </c>
      <c r="W24" s="679">
        <f>IFERROR(IF(INDEX('Final Calculation Sheet'!$T$4:$T$40,$BA25-3)="","",INDEX('Final Calculation Sheet'!$T$4:$T$40,$BA25-3)),"")</f>
        <v/>
      </c>
      <c r="X24" s="544">
        <f>IFERROR(IF(INDEX('Final Calculation Sheet'!$T$4:$T$40,$BA26-3)="","",INDEX('Final Calculation Sheet'!$T$4:$T$40,$BA26-3)),"")</f>
        <v/>
      </c>
      <c r="Y24" s="679">
        <f>IFERROR(IF(INDEX('Final Calculation Sheet'!$T$4:$T$40,$BA27-3)="","",INDEX('Final Calculation Sheet'!$T$4:$T$40,$BA27-3)),"")</f>
        <v/>
      </c>
      <c r="Z24" s="544">
        <f>IFERROR(IF(INDEX('Final Calculation Sheet'!$T$4:$T$40,$BA28-3)="","",INDEX('Final Calculation Sheet'!$T$4:$T$40,$BA28-3)),"")</f>
        <v/>
      </c>
      <c r="AA24" s="679">
        <f>IFERROR(IF(INDEX('Final Calculation Sheet'!$T$4:$T$40,$BA29-3)="","",INDEX('Final Calculation Sheet'!$T$4:$T$40,$BA29-3)),"")</f>
        <v/>
      </c>
      <c r="AB24" s="544">
        <f>IFERROR(IF(INDEX('Final Calculation Sheet'!$T$4:$T$40,$BA30-3)="","",INDEX('Final Calculation Sheet'!$T$4:$T$40,$BA30-3)),"")</f>
        <v/>
      </c>
      <c r="AC24" s="679">
        <f>IFERROR(IF(INDEX('Final Calculation Sheet'!$T$4:$T$40,$BA31-3)="","",INDEX('Final Calculation Sheet'!$T$4:$T$40,$BA31-3)),"")</f>
        <v/>
      </c>
      <c r="AD24" s="544">
        <f>IFERROR(IF(INDEX('Final Calculation Sheet'!$T$4:$T$40,$BA32-3)="","",INDEX('Final Calculation Sheet'!$T$4:$T$40,$BA32-3)),"")</f>
        <v/>
      </c>
      <c r="AE24" s="679">
        <f>IFERROR(IF(INDEX('Final Calculation Sheet'!$T$4:$T$40,$BA33-3)="","",INDEX('Final Calculation Sheet'!$T$4:$T$40,$BA33-3)),"")</f>
        <v/>
      </c>
      <c r="AF24" s="544">
        <f>IFERROR(IF(INDEX('Final Calculation Sheet'!$T$4:$T$40,$BA34-3)="","",INDEX('Final Calculation Sheet'!$T$4:$T$40,$BA34-3)),"")</f>
        <v/>
      </c>
      <c r="AG24" s="679">
        <f>IFERROR(IF(INDEX('Final Calculation Sheet'!$T$4:$T$40,$BA35-3)="","",INDEX('Final Calculation Sheet'!$T$4:$T$40,$BA35-3)),"")</f>
        <v/>
      </c>
      <c r="AH24" s="544">
        <f>IFERROR(IF(INDEX('Final Calculation Sheet'!$T$4:$T$40,$BA36-3)="","",INDEX('Final Calculation Sheet'!$T$4:$T$40,$BA36-3)),"")</f>
        <v/>
      </c>
      <c r="AI24" s="679">
        <f>IFERROR(IF(INDEX('Final Calculation Sheet'!$T$4:$T$40,$BA37-3)="","",INDEX('Final Calculation Sheet'!$T$4:$T$40,$BA37-3)),"")</f>
        <v/>
      </c>
      <c r="AJ24" s="544">
        <f>IFERROR(IF(INDEX('Final Calculation Sheet'!$T$4:$T$40,$BA38-3)="","",INDEX('Final Calculation Sheet'!$T$4:$T$40,$BA38-3)),"")</f>
        <v/>
      </c>
      <c r="AK24" s="679">
        <f>IFERROR(IF(INDEX('Final Calculation Sheet'!$T$4:$T$40,$BA39-3)="","",INDEX('Final Calculation Sheet'!$T$4:$T$40,$BA39-3)),"")</f>
        <v/>
      </c>
      <c r="AL24" s="544">
        <f>IFERROR(IF(INDEX('Final Calculation Sheet'!$T$4:$T$40,$BA40-3)="","",INDEX('Final Calculation Sheet'!$T$4:$T$40,$BA40-3)),"")</f>
        <v/>
      </c>
      <c r="AM24" s="680">
        <f>IF(COUNT(B24:AL24)=0,"",SUM(B24:AL24))</f>
        <v/>
      </c>
      <c r="AO24" t="inlineStr">
        <is>
          <t>Security Deposit (Received)</t>
        </is>
      </c>
      <c r="AW24">
        <f>IF(OR($B$3="ALL BUYERS",'Final Calculation Sheet'!$G24=$B$3),IF($D$3="— no row filter —",1,IF($F$3="is blank",IF(INDEX('Final Calculation Sheet'!$A$4:$AG$40,24-3,$AU$2)="",1,0),IF($F$3="is not blank",IF(INDEX('Final Calculation Sheet'!$A$4:$AG$40,24-3,$AU$2)="",0,1),IF($F$3="contains",IF(ISNUMBER(SEARCH($H$3,INDEX('Final Calculation Sheet'!$A$4:$AG$40,24-3,$AU$2))),1,0),IF($F$3="=",IF(INDEX('Final Calculation Sheet'!$A$4:$AG$40,24-3,$AU$2)=$H$3,1,0),IF($F$3="&lt;&gt;",IF(INDEX('Final Calculation Sheet'!$A$4:$AG$40,24-3,$AU$2)=$H$3,0,1),IF($F$3="&gt;",IF(N(INDEX('Final Calculation Sheet'!$A$4:$AG$40,24-3,$AU$2))&gt;N($H$3),1,0),IF($F$3="&gt;=",IF(N(INDEX('Final Calculation Sheet'!$A$4:$AG$40,24-3,$AU$2))&gt;=N($H$3),1,0),IF($F$3="&lt;",IF(N(INDEX('Final Calculation Sheet'!$A$4:$AG$40,24-3,$AU$2))&lt;N($H$3),1,0),IF($F$3="&lt;=",IF(N(INDEX('Final Calculation Sheet'!$A$4:$AG$40,24-3,$AU$2))&lt;=N($H$3),1,0),0)))))))))),0)</f>
        <v/>
      </c>
      <c r="AY24">
        <f>IF(AW24=1,SUM($AW$4:AW24),"")</f>
        <v/>
      </c>
      <c r="BA24">
        <f>IFERROR(MATCH(21,$AY$4:$AY$40,0)+3,"")</f>
        <v/>
      </c>
    </row>
    <row r="25" ht="15" customHeight="1">
      <c r="A25" s="675" t="inlineStr">
        <is>
          <t>Security Deposit (Received)</t>
        </is>
      </c>
      <c r="B25" s="552">
        <f>IFERROR(IF(INDEX('Final Calculation Sheet'!$U$4:$U$40,$BA4-3)="","",INDEX('Final Calculation Sheet'!$U$4:$U$40,$BA4-3)),"")</f>
        <v/>
      </c>
      <c r="C25" s="685">
        <f>IFERROR(IF(INDEX('Final Calculation Sheet'!$U$4:$U$40,$BA5-3)="","",INDEX('Final Calculation Sheet'!$U$4:$U$40,$BA5-3)),"")</f>
        <v/>
      </c>
      <c r="D25" s="552">
        <f>IFERROR(IF(INDEX('Final Calculation Sheet'!$U$4:$U$40,$BA6-3)="","",INDEX('Final Calculation Sheet'!$U$4:$U$40,$BA6-3)),"")</f>
        <v/>
      </c>
      <c r="E25" s="685">
        <f>IFERROR(IF(INDEX('Final Calculation Sheet'!$U$4:$U$40,$BA7-3)="","",INDEX('Final Calculation Sheet'!$U$4:$U$40,$BA7-3)),"")</f>
        <v/>
      </c>
      <c r="F25" s="552">
        <f>IFERROR(IF(INDEX('Final Calculation Sheet'!$U$4:$U$40,$BA8-3)="","",INDEX('Final Calculation Sheet'!$U$4:$U$40,$BA8-3)),"")</f>
        <v/>
      </c>
      <c r="G25" s="685">
        <f>IFERROR(IF(INDEX('Final Calculation Sheet'!$U$4:$U$40,$BA9-3)="","",INDEX('Final Calculation Sheet'!$U$4:$U$40,$BA9-3)),"")</f>
        <v/>
      </c>
      <c r="H25" s="552">
        <f>IFERROR(IF(INDEX('Final Calculation Sheet'!$U$4:$U$40,$BA10-3)="","",INDEX('Final Calculation Sheet'!$U$4:$U$40,$BA10-3)),"")</f>
        <v/>
      </c>
      <c r="I25" s="685">
        <f>IFERROR(IF(INDEX('Final Calculation Sheet'!$U$4:$U$40,$BA11-3)="","",INDEX('Final Calculation Sheet'!$U$4:$U$40,$BA11-3)),"")</f>
        <v/>
      </c>
      <c r="J25" s="552">
        <f>IFERROR(IF(INDEX('Final Calculation Sheet'!$U$4:$U$40,$BA12-3)="","",INDEX('Final Calculation Sheet'!$U$4:$U$40,$BA12-3)),"")</f>
        <v/>
      </c>
      <c r="K25" s="685">
        <f>IFERROR(IF(INDEX('Final Calculation Sheet'!$U$4:$U$40,$BA13-3)="","",INDEX('Final Calculation Sheet'!$U$4:$U$40,$BA13-3)),"")</f>
        <v/>
      </c>
      <c r="L25" s="552">
        <f>IFERROR(IF(INDEX('Final Calculation Sheet'!$U$4:$U$40,$BA14-3)="","",INDEX('Final Calculation Sheet'!$U$4:$U$40,$BA14-3)),"")</f>
        <v/>
      </c>
      <c r="M25" s="685">
        <f>IFERROR(IF(INDEX('Final Calculation Sheet'!$U$4:$U$40,$BA15-3)="","",INDEX('Final Calculation Sheet'!$U$4:$U$40,$BA15-3)),"")</f>
        <v/>
      </c>
      <c r="N25" s="552">
        <f>IFERROR(IF(INDEX('Final Calculation Sheet'!$U$4:$U$40,$BA16-3)="","",INDEX('Final Calculation Sheet'!$U$4:$U$40,$BA16-3)),"")</f>
        <v/>
      </c>
      <c r="O25" s="685">
        <f>IFERROR(IF(INDEX('Final Calculation Sheet'!$U$4:$U$40,$BA17-3)="","",INDEX('Final Calculation Sheet'!$U$4:$U$40,$BA17-3)),"")</f>
        <v/>
      </c>
      <c r="P25" s="552">
        <f>IFERROR(IF(INDEX('Final Calculation Sheet'!$U$4:$U$40,$BA18-3)="","",INDEX('Final Calculation Sheet'!$U$4:$U$40,$BA18-3)),"")</f>
        <v/>
      </c>
      <c r="Q25" s="685">
        <f>IFERROR(IF(INDEX('Final Calculation Sheet'!$U$4:$U$40,$BA19-3)="","",INDEX('Final Calculation Sheet'!$U$4:$U$40,$BA19-3)),"")</f>
        <v/>
      </c>
      <c r="R25" s="552">
        <f>IFERROR(IF(INDEX('Final Calculation Sheet'!$U$4:$U$40,$BA20-3)="","",INDEX('Final Calculation Sheet'!$U$4:$U$40,$BA20-3)),"")</f>
        <v/>
      </c>
      <c r="S25" s="685">
        <f>IFERROR(IF(INDEX('Final Calculation Sheet'!$U$4:$U$40,$BA21-3)="","",INDEX('Final Calculation Sheet'!$U$4:$U$40,$BA21-3)),"")</f>
        <v/>
      </c>
      <c r="T25" s="552">
        <f>IFERROR(IF(INDEX('Final Calculation Sheet'!$U$4:$U$40,$BA22-3)="","",INDEX('Final Calculation Sheet'!$U$4:$U$40,$BA22-3)),"")</f>
        <v/>
      </c>
      <c r="U25" s="685">
        <f>IFERROR(IF(INDEX('Final Calculation Sheet'!$U$4:$U$40,$BA23-3)="","",INDEX('Final Calculation Sheet'!$U$4:$U$40,$BA23-3)),"")</f>
        <v/>
      </c>
      <c r="V25" s="552">
        <f>IFERROR(IF(INDEX('Final Calculation Sheet'!$U$4:$U$40,$BA24-3)="","",INDEX('Final Calculation Sheet'!$U$4:$U$40,$BA24-3)),"")</f>
        <v/>
      </c>
      <c r="W25" s="685">
        <f>IFERROR(IF(INDEX('Final Calculation Sheet'!$U$4:$U$40,$BA25-3)="","",INDEX('Final Calculation Sheet'!$U$4:$U$40,$BA25-3)),"")</f>
        <v/>
      </c>
      <c r="X25" s="552">
        <f>IFERROR(IF(INDEX('Final Calculation Sheet'!$U$4:$U$40,$BA26-3)="","",INDEX('Final Calculation Sheet'!$U$4:$U$40,$BA26-3)),"")</f>
        <v/>
      </c>
      <c r="Y25" s="685">
        <f>IFERROR(IF(INDEX('Final Calculation Sheet'!$U$4:$U$40,$BA27-3)="","",INDEX('Final Calculation Sheet'!$U$4:$U$40,$BA27-3)),"")</f>
        <v/>
      </c>
      <c r="Z25" s="552">
        <f>IFERROR(IF(INDEX('Final Calculation Sheet'!$U$4:$U$40,$BA28-3)="","",INDEX('Final Calculation Sheet'!$U$4:$U$40,$BA28-3)),"")</f>
        <v/>
      </c>
      <c r="AA25" s="685">
        <f>IFERROR(IF(INDEX('Final Calculation Sheet'!$U$4:$U$40,$BA29-3)="","",INDEX('Final Calculation Sheet'!$U$4:$U$40,$BA29-3)),"")</f>
        <v/>
      </c>
      <c r="AB25" s="552">
        <f>IFERROR(IF(INDEX('Final Calculation Sheet'!$U$4:$U$40,$BA30-3)="","",INDEX('Final Calculation Sheet'!$U$4:$U$40,$BA30-3)),"")</f>
        <v/>
      </c>
      <c r="AC25" s="685">
        <f>IFERROR(IF(INDEX('Final Calculation Sheet'!$U$4:$U$40,$BA31-3)="","",INDEX('Final Calculation Sheet'!$U$4:$U$40,$BA31-3)),"")</f>
        <v/>
      </c>
      <c r="AD25" s="552">
        <f>IFERROR(IF(INDEX('Final Calculation Sheet'!$U$4:$U$40,$BA32-3)="","",INDEX('Final Calculation Sheet'!$U$4:$U$40,$BA32-3)),"")</f>
        <v/>
      </c>
      <c r="AE25" s="685">
        <f>IFERROR(IF(INDEX('Final Calculation Sheet'!$U$4:$U$40,$BA33-3)="","",INDEX('Final Calculation Sheet'!$U$4:$U$40,$BA33-3)),"")</f>
        <v/>
      </c>
      <c r="AF25" s="552">
        <f>IFERROR(IF(INDEX('Final Calculation Sheet'!$U$4:$U$40,$BA34-3)="","",INDEX('Final Calculation Sheet'!$U$4:$U$40,$BA34-3)),"")</f>
        <v/>
      </c>
      <c r="AG25" s="685">
        <f>IFERROR(IF(INDEX('Final Calculation Sheet'!$U$4:$U$40,$BA35-3)="","",INDEX('Final Calculation Sheet'!$U$4:$U$40,$BA35-3)),"")</f>
        <v/>
      </c>
      <c r="AH25" s="552">
        <f>IFERROR(IF(INDEX('Final Calculation Sheet'!$U$4:$U$40,$BA36-3)="","",INDEX('Final Calculation Sheet'!$U$4:$U$40,$BA36-3)),"")</f>
        <v/>
      </c>
      <c r="AI25" s="685">
        <f>IFERROR(IF(INDEX('Final Calculation Sheet'!$U$4:$U$40,$BA37-3)="","",INDEX('Final Calculation Sheet'!$U$4:$U$40,$BA37-3)),"")</f>
        <v/>
      </c>
      <c r="AJ25" s="552">
        <f>IFERROR(IF(INDEX('Final Calculation Sheet'!$U$4:$U$40,$BA38-3)="","",INDEX('Final Calculation Sheet'!$U$4:$U$40,$BA38-3)),"")</f>
        <v/>
      </c>
      <c r="AK25" s="685">
        <f>IFERROR(IF(INDEX('Final Calculation Sheet'!$U$4:$U$40,$BA39-3)="","",INDEX('Final Calculation Sheet'!$U$4:$U$40,$BA39-3)),"")</f>
        <v/>
      </c>
      <c r="AL25" s="552">
        <f>IFERROR(IF(INDEX('Final Calculation Sheet'!$U$4:$U$40,$BA40-3)="","",INDEX('Final Calculation Sheet'!$U$4:$U$40,$BA40-3)),"")</f>
        <v/>
      </c>
      <c r="AM25" s="686">
        <f>IF(COUNT(B25:AL25)=0,"",SUM(B25:AL25))</f>
        <v/>
      </c>
      <c r="AO25" t="inlineStr">
        <is>
          <t>Date of Receipt (col V)</t>
        </is>
      </c>
      <c r="AW25">
        <f>IF(OR($B$3="ALL BUYERS",'Final Calculation Sheet'!$G25=$B$3),IF($D$3="— no row filter —",1,IF($F$3="is blank",IF(INDEX('Final Calculation Sheet'!$A$4:$AG$40,25-3,$AU$2)="",1,0),IF($F$3="is not blank",IF(INDEX('Final Calculation Sheet'!$A$4:$AG$40,25-3,$AU$2)="",0,1),IF($F$3="contains",IF(ISNUMBER(SEARCH($H$3,INDEX('Final Calculation Sheet'!$A$4:$AG$40,25-3,$AU$2))),1,0),IF($F$3="=",IF(INDEX('Final Calculation Sheet'!$A$4:$AG$40,25-3,$AU$2)=$H$3,1,0),IF($F$3="&lt;&gt;",IF(INDEX('Final Calculation Sheet'!$A$4:$AG$40,25-3,$AU$2)=$H$3,0,1),IF($F$3="&gt;",IF(N(INDEX('Final Calculation Sheet'!$A$4:$AG$40,25-3,$AU$2))&gt;N($H$3),1,0),IF($F$3="&gt;=",IF(N(INDEX('Final Calculation Sheet'!$A$4:$AG$40,25-3,$AU$2))&gt;=N($H$3),1,0),IF($F$3="&lt;",IF(N(INDEX('Final Calculation Sheet'!$A$4:$AG$40,25-3,$AU$2))&lt;N($H$3),1,0),IF($F$3="&lt;=",IF(N(INDEX('Final Calculation Sheet'!$A$4:$AG$40,25-3,$AU$2))&lt;=N($H$3),1,0),0)))))))))),0)</f>
        <v/>
      </c>
      <c r="AY25">
        <f>IF(AW25=1,SUM($AW$4:AW25),"")</f>
        <v/>
      </c>
      <c r="BA25">
        <f>IFERROR(MATCH(22,$AY$4:$AY$40,0)+3,"")</f>
        <v/>
      </c>
    </row>
    <row r="26" ht="15" customHeight="1">
      <c r="A26" s="678" t="inlineStr">
        <is>
          <t>Date of Receipt (col V)</t>
        </is>
      </c>
      <c r="B26" s="544">
        <f>IFERROR(IF(INDEX('Final Calculation Sheet'!$V$4:$V$40,$BA4-3)="","",INDEX('Final Calculation Sheet'!$V$4:$V$40,$BA4-3)),"")</f>
        <v/>
      </c>
      <c r="C26" s="679">
        <f>IFERROR(IF(INDEX('Final Calculation Sheet'!$V$4:$V$40,$BA5-3)="","",INDEX('Final Calculation Sheet'!$V$4:$V$40,$BA5-3)),"")</f>
        <v/>
      </c>
      <c r="D26" s="544">
        <f>IFERROR(IF(INDEX('Final Calculation Sheet'!$V$4:$V$40,$BA6-3)="","",INDEX('Final Calculation Sheet'!$V$4:$V$40,$BA6-3)),"")</f>
        <v/>
      </c>
      <c r="E26" s="679">
        <f>IFERROR(IF(INDEX('Final Calculation Sheet'!$V$4:$V$40,$BA7-3)="","",INDEX('Final Calculation Sheet'!$V$4:$V$40,$BA7-3)),"")</f>
        <v/>
      </c>
      <c r="F26" s="544">
        <f>IFERROR(IF(INDEX('Final Calculation Sheet'!$V$4:$V$40,$BA8-3)="","",INDEX('Final Calculation Sheet'!$V$4:$V$40,$BA8-3)),"")</f>
        <v/>
      </c>
      <c r="G26" s="679">
        <f>IFERROR(IF(INDEX('Final Calculation Sheet'!$V$4:$V$40,$BA9-3)="","",INDEX('Final Calculation Sheet'!$V$4:$V$40,$BA9-3)),"")</f>
        <v/>
      </c>
      <c r="H26" s="544">
        <f>IFERROR(IF(INDEX('Final Calculation Sheet'!$V$4:$V$40,$BA10-3)="","",INDEX('Final Calculation Sheet'!$V$4:$V$40,$BA10-3)),"")</f>
        <v/>
      </c>
      <c r="I26" s="679">
        <f>IFERROR(IF(INDEX('Final Calculation Sheet'!$V$4:$V$40,$BA11-3)="","",INDEX('Final Calculation Sheet'!$V$4:$V$40,$BA11-3)),"")</f>
        <v/>
      </c>
      <c r="J26" s="544">
        <f>IFERROR(IF(INDEX('Final Calculation Sheet'!$V$4:$V$40,$BA12-3)="","",INDEX('Final Calculation Sheet'!$V$4:$V$40,$BA12-3)),"")</f>
        <v/>
      </c>
      <c r="K26" s="679">
        <f>IFERROR(IF(INDEX('Final Calculation Sheet'!$V$4:$V$40,$BA13-3)="","",INDEX('Final Calculation Sheet'!$V$4:$V$40,$BA13-3)),"")</f>
        <v/>
      </c>
      <c r="L26" s="544">
        <f>IFERROR(IF(INDEX('Final Calculation Sheet'!$V$4:$V$40,$BA14-3)="","",INDEX('Final Calculation Sheet'!$V$4:$V$40,$BA14-3)),"")</f>
        <v/>
      </c>
      <c r="M26" s="679">
        <f>IFERROR(IF(INDEX('Final Calculation Sheet'!$V$4:$V$40,$BA15-3)="","",INDEX('Final Calculation Sheet'!$V$4:$V$40,$BA15-3)),"")</f>
        <v/>
      </c>
      <c r="N26" s="544">
        <f>IFERROR(IF(INDEX('Final Calculation Sheet'!$V$4:$V$40,$BA16-3)="","",INDEX('Final Calculation Sheet'!$V$4:$V$40,$BA16-3)),"")</f>
        <v/>
      </c>
      <c r="O26" s="679">
        <f>IFERROR(IF(INDEX('Final Calculation Sheet'!$V$4:$V$40,$BA17-3)="","",INDEX('Final Calculation Sheet'!$V$4:$V$40,$BA17-3)),"")</f>
        <v/>
      </c>
      <c r="P26" s="544">
        <f>IFERROR(IF(INDEX('Final Calculation Sheet'!$V$4:$V$40,$BA18-3)="","",INDEX('Final Calculation Sheet'!$V$4:$V$40,$BA18-3)),"")</f>
        <v/>
      </c>
      <c r="Q26" s="679">
        <f>IFERROR(IF(INDEX('Final Calculation Sheet'!$V$4:$V$40,$BA19-3)="","",INDEX('Final Calculation Sheet'!$V$4:$V$40,$BA19-3)),"")</f>
        <v/>
      </c>
      <c r="R26" s="544">
        <f>IFERROR(IF(INDEX('Final Calculation Sheet'!$V$4:$V$40,$BA20-3)="","",INDEX('Final Calculation Sheet'!$V$4:$V$40,$BA20-3)),"")</f>
        <v/>
      </c>
      <c r="S26" s="679">
        <f>IFERROR(IF(INDEX('Final Calculation Sheet'!$V$4:$V$40,$BA21-3)="","",INDEX('Final Calculation Sheet'!$V$4:$V$40,$BA21-3)),"")</f>
        <v/>
      </c>
      <c r="T26" s="544">
        <f>IFERROR(IF(INDEX('Final Calculation Sheet'!$V$4:$V$40,$BA22-3)="","",INDEX('Final Calculation Sheet'!$V$4:$V$40,$BA22-3)),"")</f>
        <v/>
      </c>
      <c r="U26" s="679">
        <f>IFERROR(IF(INDEX('Final Calculation Sheet'!$V$4:$V$40,$BA23-3)="","",INDEX('Final Calculation Sheet'!$V$4:$V$40,$BA23-3)),"")</f>
        <v/>
      </c>
      <c r="V26" s="544">
        <f>IFERROR(IF(INDEX('Final Calculation Sheet'!$V$4:$V$40,$BA24-3)="","",INDEX('Final Calculation Sheet'!$V$4:$V$40,$BA24-3)),"")</f>
        <v/>
      </c>
      <c r="W26" s="679">
        <f>IFERROR(IF(INDEX('Final Calculation Sheet'!$V$4:$V$40,$BA25-3)="","",INDEX('Final Calculation Sheet'!$V$4:$V$40,$BA25-3)),"")</f>
        <v/>
      </c>
      <c r="X26" s="544">
        <f>IFERROR(IF(INDEX('Final Calculation Sheet'!$V$4:$V$40,$BA26-3)="","",INDEX('Final Calculation Sheet'!$V$4:$V$40,$BA26-3)),"")</f>
        <v/>
      </c>
      <c r="Y26" s="679">
        <f>IFERROR(IF(INDEX('Final Calculation Sheet'!$V$4:$V$40,$BA27-3)="","",INDEX('Final Calculation Sheet'!$V$4:$V$40,$BA27-3)),"")</f>
        <v/>
      </c>
      <c r="Z26" s="544">
        <f>IFERROR(IF(INDEX('Final Calculation Sheet'!$V$4:$V$40,$BA28-3)="","",INDEX('Final Calculation Sheet'!$V$4:$V$40,$BA28-3)),"")</f>
        <v/>
      </c>
      <c r="AA26" s="679">
        <f>IFERROR(IF(INDEX('Final Calculation Sheet'!$V$4:$V$40,$BA29-3)="","",INDEX('Final Calculation Sheet'!$V$4:$V$40,$BA29-3)),"")</f>
        <v/>
      </c>
      <c r="AB26" s="544">
        <f>IFERROR(IF(INDEX('Final Calculation Sheet'!$V$4:$V$40,$BA30-3)="","",INDEX('Final Calculation Sheet'!$V$4:$V$40,$BA30-3)),"")</f>
        <v/>
      </c>
      <c r="AC26" s="679">
        <f>IFERROR(IF(INDEX('Final Calculation Sheet'!$V$4:$V$40,$BA31-3)="","",INDEX('Final Calculation Sheet'!$V$4:$V$40,$BA31-3)),"")</f>
        <v/>
      </c>
      <c r="AD26" s="544">
        <f>IFERROR(IF(INDEX('Final Calculation Sheet'!$V$4:$V$40,$BA32-3)="","",INDEX('Final Calculation Sheet'!$V$4:$V$40,$BA32-3)),"")</f>
        <v/>
      </c>
      <c r="AE26" s="679">
        <f>IFERROR(IF(INDEX('Final Calculation Sheet'!$V$4:$V$40,$BA33-3)="","",INDEX('Final Calculation Sheet'!$V$4:$V$40,$BA33-3)),"")</f>
        <v/>
      </c>
      <c r="AF26" s="544">
        <f>IFERROR(IF(INDEX('Final Calculation Sheet'!$V$4:$V$40,$BA34-3)="","",INDEX('Final Calculation Sheet'!$V$4:$V$40,$BA34-3)),"")</f>
        <v/>
      </c>
      <c r="AG26" s="679">
        <f>IFERROR(IF(INDEX('Final Calculation Sheet'!$V$4:$V$40,$BA35-3)="","",INDEX('Final Calculation Sheet'!$V$4:$V$40,$BA35-3)),"")</f>
        <v/>
      </c>
      <c r="AH26" s="544">
        <f>IFERROR(IF(INDEX('Final Calculation Sheet'!$V$4:$V$40,$BA36-3)="","",INDEX('Final Calculation Sheet'!$V$4:$V$40,$BA36-3)),"")</f>
        <v/>
      </c>
      <c r="AI26" s="679">
        <f>IFERROR(IF(INDEX('Final Calculation Sheet'!$V$4:$V$40,$BA37-3)="","",INDEX('Final Calculation Sheet'!$V$4:$V$40,$BA37-3)),"")</f>
        <v/>
      </c>
      <c r="AJ26" s="544">
        <f>IFERROR(IF(INDEX('Final Calculation Sheet'!$V$4:$V$40,$BA38-3)="","",INDEX('Final Calculation Sheet'!$V$4:$V$40,$BA38-3)),"")</f>
        <v/>
      </c>
      <c r="AK26" s="679">
        <f>IFERROR(IF(INDEX('Final Calculation Sheet'!$V$4:$V$40,$BA39-3)="","",INDEX('Final Calculation Sheet'!$V$4:$V$40,$BA39-3)),"")</f>
        <v/>
      </c>
      <c r="AL26" s="544">
        <f>IFERROR(IF(INDEX('Final Calculation Sheet'!$V$4:$V$40,$BA40-3)="","",INDEX('Final Calculation Sheet'!$V$4:$V$40,$BA40-3)),"")</f>
        <v/>
      </c>
      <c r="AM26" s="750" t="inlineStr">
        <is>
          <t>–</t>
        </is>
      </c>
      <c r="AO26" t="inlineStr">
        <is>
          <t>Final Payment (Expected)</t>
        </is>
      </c>
      <c r="AW26">
        <f>IF(OR($B$3="ALL BUYERS",'Final Calculation Sheet'!$G26=$B$3),IF($D$3="— no row filter —",1,IF($F$3="is blank",IF(INDEX('Final Calculation Sheet'!$A$4:$AG$40,26-3,$AU$2)="",1,0),IF($F$3="is not blank",IF(INDEX('Final Calculation Sheet'!$A$4:$AG$40,26-3,$AU$2)="",0,1),IF($F$3="contains",IF(ISNUMBER(SEARCH($H$3,INDEX('Final Calculation Sheet'!$A$4:$AG$40,26-3,$AU$2))),1,0),IF($F$3="=",IF(INDEX('Final Calculation Sheet'!$A$4:$AG$40,26-3,$AU$2)=$H$3,1,0),IF($F$3="&lt;&gt;",IF(INDEX('Final Calculation Sheet'!$A$4:$AG$40,26-3,$AU$2)=$H$3,0,1),IF($F$3="&gt;",IF(N(INDEX('Final Calculation Sheet'!$A$4:$AG$40,26-3,$AU$2))&gt;N($H$3),1,0),IF($F$3="&gt;=",IF(N(INDEX('Final Calculation Sheet'!$A$4:$AG$40,26-3,$AU$2))&gt;=N($H$3),1,0),IF($F$3="&lt;",IF(N(INDEX('Final Calculation Sheet'!$A$4:$AG$40,26-3,$AU$2))&lt;N($H$3),1,0),IF($F$3="&lt;=",IF(N(INDEX('Final Calculation Sheet'!$A$4:$AG$40,26-3,$AU$2))&lt;=N($H$3),1,0),0)))))))))),0)</f>
        <v/>
      </c>
      <c r="AY26">
        <f>IF(AW26=1,SUM($AW$4:AW26),"")</f>
        <v/>
      </c>
      <c r="BA26">
        <f>IFERROR(MATCH(23,$AY$4:$AY$40,0)+3,"")</f>
        <v/>
      </c>
    </row>
    <row r="27" ht="15" customHeight="1">
      <c r="A27" s="675" t="inlineStr">
        <is>
          <t>Final Payment (Expected)</t>
        </is>
      </c>
      <c r="B27" s="544">
        <f>IFERROR(IF(INDEX('Final Calculation Sheet'!$W$4:$W$40,$BA4-3)="","",INDEX('Final Calculation Sheet'!$W$4:$W$40,$BA4-3)),"")</f>
        <v/>
      </c>
      <c r="C27" s="679">
        <f>IFERROR(IF(INDEX('Final Calculation Sheet'!$W$4:$W$40,$BA5-3)="","",INDEX('Final Calculation Sheet'!$W$4:$W$40,$BA5-3)),"")</f>
        <v/>
      </c>
      <c r="D27" s="544">
        <f>IFERROR(IF(INDEX('Final Calculation Sheet'!$W$4:$W$40,$BA6-3)="","",INDEX('Final Calculation Sheet'!$W$4:$W$40,$BA6-3)),"")</f>
        <v/>
      </c>
      <c r="E27" s="679">
        <f>IFERROR(IF(INDEX('Final Calculation Sheet'!$W$4:$W$40,$BA7-3)="","",INDEX('Final Calculation Sheet'!$W$4:$W$40,$BA7-3)),"")</f>
        <v/>
      </c>
      <c r="F27" s="544">
        <f>IFERROR(IF(INDEX('Final Calculation Sheet'!$W$4:$W$40,$BA8-3)="","",INDEX('Final Calculation Sheet'!$W$4:$W$40,$BA8-3)),"")</f>
        <v/>
      </c>
      <c r="G27" s="679">
        <f>IFERROR(IF(INDEX('Final Calculation Sheet'!$W$4:$W$40,$BA9-3)="","",INDEX('Final Calculation Sheet'!$W$4:$W$40,$BA9-3)),"")</f>
        <v/>
      </c>
      <c r="H27" s="544">
        <f>IFERROR(IF(INDEX('Final Calculation Sheet'!$W$4:$W$40,$BA10-3)="","",INDEX('Final Calculation Sheet'!$W$4:$W$40,$BA10-3)),"")</f>
        <v/>
      </c>
      <c r="I27" s="679">
        <f>IFERROR(IF(INDEX('Final Calculation Sheet'!$W$4:$W$40,$BA11-3)="","",INDEX('Final Calculation Sheet'!$W$4:$W$40,$BA11-3)),"")</f>
        <v/>
      </c>
      <c r="J27" s="544">
        <f>IFERROR(IF(INDEX('Final Calculation Sheet'!$W$4:$W$40,$BA12-3)="","",INDEX('Final Calculation Sheet'!$W$4:$W$40,$BA12-3)),"")</f>
        <v/>
      </c>
      <c r="K27" s="679">
        <f>IFERROR(IF(INDEX('Final Calculation Sheet'!$W$4:$W$40,$BA13-3)="","",INDEX('Final Calculation Sheet'!$W$4:$W$40,$BA13-3)),"")</f>
        <v/>
      </c>
      <c r="L27" s="544">
        <f>IFERROR(IF(INDEX('Final Calculation Sheet'!$W$4:$W$40,$BA14-3)="","",INDEX('Final Calculation Sheet'!$W$4:$W$40,$BA14-3)),"")</f>
        <v/>
      </c>
      <c r="M27" s="679">
        <f>IFERROR(IF(INDEX('Final Calculation Sheet'!$W$4:$W$40,$BA15-3)="","",INDEX('Final Calculation Sheet'!$W$4:$W$40,$BA15-3)),"")</f>
        <v/>
      </c>
      <c r="N27" s="544">
        <f>IFERROR(IF(INDEX('Final Calculation Sheet'!$W$4:$W$40,$BA16-3)="","",INDEX('Final Calculation Sheet'!$W$4:$W$40,$BA16-3)),"")</f>
        <v/>
      </c>
      <c r="O27" s="679">
        <f>IFERROR(IF(INDEX('Final Calculation Sheet'!$W$4:$W$40,$BA17-3)="","",INDEX('Final Calculation Sheet'!$W$4:$W$40,$BA17-3)),"")</f>
        <v/>
      </c>
      <c r="P27" s="544">
        <f>IFERROR(IF(INDEX('Final Calculation Sheet'!$W$4:$W$40,$BA18-3)="","",INDEX('Final Calculation Sheet'!$W$4:$W$40,$BA18-3)),"")</f>
        <v/>
      </c>
      <c r="Q27" s="679">
        <f>IFERROR(IF(INDEX('Final Calculation Sheet'!$W$4:$W$40,$BA19-3)="","",INDEX('Final Calculation Sheet'!$W$4:$W$40,$BA19-3)),"")</f>
        <v/>
      </c>
      <c r="R27" s="544">
        <f>IFERROR(IF(INDEX('Final Calculation Sheet'!$W$4:$W$40,$BA20-3)="","",INDEX('Final Calculation Sheet'!$W$4:$W$40,$BA20-3)),"")</f>
        <v/>
      </c>
      <c r="S27" s="679">
        <f>IFERROR(IF(INDEX('Final Calculation Sheet'!$W$4:$W$40,$BA21-3)="","",INDEX('Final Calculation Sheet'!$W$4:$W$40,$BA21-3)),"")</f>
        <v/>
      </c>
      <c r="T27" s="544">
        <f>IFERROR(IF(INDEX('Final Calculation Sheet'!$W$4:$W$40,$BA22-3)="","",INDEX('Final Calculation Sheet'!$W$4:$W$40,$BA22-3)),"")</f>
        <v/>
      </c>
      <c r="U27" s="679">
        <f>IFERROR(IF(INDEX('Final Calculation Sheet'!$W$4:$W$40,$BA23-3)="","",INDEX('Final Calculation Sheet'!$W$4:$W$40,$BA23-3)),"")</f>
        <v/>
      </c>
      <c r="V27" s="544">
        <f>IFERROR(IF(INDEX('Final Calculation Sheet'!$W$4:$W$40,$BA24-3)="","",INDEX('Final Calculation Sheet'!$W$4:$W$40,$BA24-3)),"")</f>
        <v/>
      </c>
      <c r="W27" s="679">
        <f>IFERROR(IF(INDEX('Final Calculation Sheet'!$W$4:$W$40,$BA25-3)="","",INDEX('Final Calculation Sheet'!$W$4:$W$40,$BA25-3)),"")</f>
        <v/>
      </c>
      <c r="X27" s="544">
        <f>IFERROR(IF(INDEX('Final Calculation Sheet'!$W$4:$W$40,$BA26-3)="","",INDEX('Final Calculation Sheet'!$W$4:$W$40,$BA26-3)),"")</f>
        <v/>
      </c>
      <c r="Y27" s="679">
        <f>IFERROR(IF(INDEX('Final Calculation Sheet'!$W$4:$W$40,$BA27-3)="","",INDEX('Final Calculation Sheet'!$W$4:$W$40,$BA27-3)),"")</f>
        <v/>
      </c>
      <c r="Z27" s="544">
        <f>IFERROR(IF(INDEX('Final Calculation Sheet'!$W$4:$W$40,$BA28-3)="","",INDEX('Final Calculation Sheet'!$W$4:$W$40,$BA28-3)),"")</f>
        <v/>
      </c>
      <c r="AA27" s="679">
        <f>IFERROR(IF(INDEX('Final Calculation Sheet'!$W$4:$W$40,$BA29-3)="","",INDEX('Final Calculation Sheet'!$W$4:$W$40,$BA29-3)),"")</f>
        <v/>
      </c>
      <c r="AB27" s="544">
        <f>IFERROR(IF(INDEX('Final Calculation Sheet'!$W$4:$W$40,$BA30-3)="","",INDEX('Final Calculation Sheet'!$W$4:$W$40,$BA30-3)),"")</f>
        <v/>
      </c>
      <c r="AC27" s="679">
        <f>IFERROR(IF(INDEX('Final Calculation Sheet'!$W$4:$W$40,$BA31-3)="","",INDEX('Final Calculation Sheet'!$W$4:$W$40,$BA31-3)),"")</f>
        <v/>
      </c>
      <c r="AD27" s="544">
        <f>IFERROR(IF(INDEX('Final Calculation Sheet'!$W$4:$W$40,$BA32-3)="","",INDEX('Final Calculation Sheet'!$W$4:$W$40,$BA32-3)),"")</f>
        <v/>
      </c>
      <c r="AE27" s="679">
        <f>IFERROR(IF(INDEX('Final Calculation Sheet'!$W$4:$W$40,$BA33-3)="","",INDEX('Final Calculation Sheet'!$W$4:$W$40,$BA33-3)),"")</f>
        <v/>
      </c>
      <c r="AF27" s="544">
        <f>IFERROR(IF(INDEX('Final Calculation Sheet'!$W$4:$W$40,$BA34-3)="","",INDEX('Final Calculation Sheet'!$W$4:$W$40,$BA34-3)),"")</f>
        <v/>
      </c>
      <c r="AG27" s="679">
        <f>IFERROR(IF(INDEX('Final Calculation Sheet'!$W$4:$W$40,$BA35-3)="","",INDEX('Final Calculation Sheet'!$W$4:$W$40,$BA35-3)),"")</f>
        <v/>
      </c>
      <c r="AH27" s="544">
        <f>IFERROR(IF(INDEX('Final Calculation Sheet'!$W$4:$W$40,$BA36-3)="","",INDEX('Final Calculation Sheet'!$W$4:$W$40,$BA36-3)),"")</f>
        <v/>
      </c>
      <c r="AI27" s="679">
        <f>IFERROR(IF(INDEX('Final Calculation Sheet'!$W$4:$W$40,$BA37-3)="","",INDEX('Final Calculation Sheet'!$W$4:$W$40,$BA37-3)),"")</f>
        <v/>
      </c>
      <c r="AJ27" s="544">
        <f>IFERROR(IF(INDEX('Final Calculation Sheet'!$W$4:$W$40,$BA38-3)="","",INDEX('Final Calculation Sheet'!$W$4:$W$40,$BA38-3)),"")</f>
        <v/>
      </c>
      <c r="AK27" s="679">
        <f>IFERROR(IF(INDEX('Final Calculation Sheet'!$W$4:$W$40,$BA39-3)="","",INDEX('Final Calculation Sheet'!$W$4:$W$40,$BA39-3)),"")</f>
        <v/>
      </c>
      <c r="AL27" s="544">
        <f>IFERROR(IF(INDEX('Final Calculation Sheet'!$W$4:$W$40,$BA40-3)="","",INDEX('Final Calculation Sheet'!$W$4:$W$40,$BA40-3)),"")</f>
        <v/>
      </c>
      <c r="AM27" s="680">
        <f>IF(COUNT(B27:AL27)=0,"",SUM(B27:AL27))</f>
        <v/>
      </c>
      <c r="AO27" t="inlineStr">
        <is>
          <t>Final Payment (Received)</t>
        </is>
      </c>
      <c r="AW27">
        <f>IF(OR($B$3="ALL BUYERS",'Final Calculation Sheet'!$G27=$B$3),IF($D$3="— no row filter —",1,IF($F$3="is blank",IF(INDEX('Final Calculation Sheet'!$A$4:$AG$40,27-3,$AU$2)="",1,0),IF($F$3="is not blank",IF(INDEX('Final Calculation Sheet'!$A$4:$AG$40,27-3,$AU$2)="",0,1),IF($F$3="contains",IF(ISNUMBER(SEARCH($H$3,INDEX('Final Calculation Sheet'!$A$4:$AG$40,27-3,$AU$2))),1,0),IF($F$3="=",IF(INDEX('Final Calculation Sheet'!$A$4:$AG$40,27-3,$AU$2)=$H$3,1,0),IF($F$3="&lt;&gt;",IF(INDEX('Final Calculation Sheet'!$A$4:$AG$40,27-3,$AU$2)=$H$3,0,1),IF($F$3="&gt;",IF(N(INDEX('Final Calculation Sheet'!$A$4:$AG$40,27-3,$AU$2))&gt;N($H$3),1,0),IF($F$3="&gt;=",IF(N(INDEX('Final Calculation Sheet'!$A$4:$AG$40,27-3,$AU$2))&gt;=N($H$3),1,0),IF($F$3="&lt;",IF(N(INDEX('Final Calculation Sheet'!$A$4:$AG$40,27-3,$AU$2))&lt;N($H$3),1,0),IF($F$3="&lt;=",IF(N(INDEX('Final Calculation Sheet'!$A$4:$AG$40,27-3,$AU$2))&lt;=N($H$3),1,0),0)))))))))),0)</f>
        <v/>
      </c>
      <c r="AY27">
        <f>IF(AW27=1,SUM($AW$4:AW27),"")</f>
        <v/>
      </c>
      <c r="BA27">
        <f>IFERROR(MATCH(24,$AY$4:$AY$40,0)+3,"")</f>
        <v/>
      </c>
    </row>
    <row r="28" ht="15" customHeight="1">
      <c r="A28" s="678" t="inlineStr">
        <is>
          <t>Final Payment (Received)</t>
        </is>
      </c>
      <c r="B28" s="544">
        <f>IFERROR(IF(INDEX('Final Calculation Sheet'!$X$4:$X$40,$BA4-3)="","",INDEX('Final Calculation Sheet'!$X$4:$X$40,$BA4-3)),"")</f>
        <v/>
      </c>
      <c r="C28" s="679">
        <f>IFERROR(IF(INDEX('Final Calculation Sheet'!$X$4:$X$40,$BA5-3)="","",INDEX('Final Calculation Sheet'!$X$4:$X$40,$BA5-3)),"")</f>
        <v/>
      </c>
      <c r="D28" s="544">
        <f>IFERROR(IF(INDEX('Final Calculation Sheet'!$X$4:$X$40,$BA6-3)="","",INDEX('Final Calculation Sheet'!$X$4:$X$40,$BA6-3)),"")</f>
        <v/>
      </c>
      <c r="E28" s="679">
        <f>IFERROR(IF(INDEX('Final Calculation Sheet'!$X$4:$X$40,$BA7-3)="","",INDEX('Final Calculation Sheet'!$X$4:$X$40,$BA7-3)),"")</f>
        <v/>
      </c>
      <c r="F28" s="544">
        <f>IFERROR(IF(INDEX('Final Calculation Sheet'!$X$4:$X$40,$BA8-3)="","",INDEX('Final Calculation Sheet'!$X$4:$X$40,$BA8-3)),"")</f>
        <v/>
      </c>
      <c r="G28" s="679">
        <f>IFERROR(IF(INDEX('Final Calculation Sheet'!$X$4:$X$40,$BA9-3)="","",INDEX('Final Calculation Sheet'!$X$4:$X$40,$BA9-3)),"")</f>
        <v/>
      </c>
      <c r="H28" s="544">
        <f>IFERROR(IF(INDEX('Final Calculation Sheet'!$X$4:$X$40,$BA10-3)="","",INDEX('Final Calculation Sheet'!$X$4:$X$40,$BA10-3)),"")</f>
        <v/>
      </c>
      <c r="I28" s="679">
        <f>IFERROR(IF(INDEX('Final Calculation Sheet'!$X$4:$X$40,$BA11-3)="","",INDEX('Final Calculation Sheet'!$X$4:$X$40,$BA11-3)),"")</f>
        <v/>
      </c>
      <c r="J28" s="544">
        <f>IFERROR(IF(INDEX('Final Calculation Sheet'!$X$4:$X$40,$BA12-3)="","",INDEX('Final Calculation Sheet'!$X$4:$X$40,$BA12-3)),"")</f>
        <v/>
      </c>
      <c r="K28" s="679">
        <f>IFERROR(IF(INDEX('Final Calculation Sheet'!$X$4:$X$40,$BA13-3)="","",INDEX('Final Calculation Sheet'!$X$4:$X$40,$BA13-3)),"")</f>
        <v/>
      </c>
      <c r="L28" s="544">
        <f>IFERROR(IF(INDEX('Final Calculation Sheet'!$X$4:$X$40,$BA14-3)="","",INDEX('Final Calculation Sheet'!$X$4:$X$40,$BA14-3)),"")</f>
        <v/>
      </c>
      <c r="M28" s="679">
        <f>IFERROR(IF(INDEX('Final Calculation Sheet'!$X$4:$X$40,$BA15-3)="","",INDEX('Final Calculation Sheet'!$X$4:$X$40,$BA15-3)),"")</f>
        <v/>
      </c>
      <c r="N28" s="544">
        <f>IFERROR(IF(INDEX('Final Calculation Sheet'!$X$4:$X$40,$BA16-3)="","",INDEX('Final Calculation Sheet'!$X$4:$X$40,$BA16-3)),"")</f>
        <v/>
      </c>
      <c r="O28" s="679">
        <f>IFERROR(IF(INDEX('Final Calculation Sheet'!$X$4:$X$40,$BA17-3)="","",INDEX('Final Calculation Sheet'!$X$4:$X$40,$BA17-3)),"")</f>
        <v/>
      </c>
      <c r="P28" s="544">
        <f>IFERROR(IF(INDEX('Final Calculation Sheet'!$X$4:$X$40,$BA18-3)="","",INDEX('Final Calculation Sheet'!$X$4:$X$40,$BA18-3)),"")</f>
        <v/>
      </c>
      <c r="Q28" s="679">
        <f>IFERROR(IF(INDEX('Final Calculation Sheet'!$X$4:$X$40,$BA19-3)="","",INDEX('Final Calculation Sheet'!$X$4:$X$40,$BA19-3)),"")</f>
        <v/>
      </c>
      <c r="R28" s="544">
        <f>IFERROR(IF(INDEX('Final Calculation Sheet'!$X$4:$X$40,$BA20-3)="","",INDEX('Final Calculation Sheet'!$X$4:$X$40,$BA20-3)),"")</f>
        <v/>
      </c>
      <c r="S28" s="679">
        <f>IFERROR(IF(INDEX('Final Calculation Sheet'!$X$4:$X$40,$BA21-3)="","",INDEX('Final Calculation Sheet'!$X$4:$X$40,$BA21-3)),"")</f>
        <v/>
      </c>
      <c r="T28" s="544">
        <f>IFERROR(IF(INDEX('Final Calculation Sheet'!$X$4:$X$40,$BA22-3)="","",INDEX('Final Calculation Sheet'!$X$4:$X$40,$BA22-3)),"")</f>
        <v/>
      </c>
      <c r="U28" s="679">
        <f>IFERROR(IF(INDEX('Final Calculation Sheet'!$X$4:$X$40,$BA23-3)="","",INDEX('Final Calculation Sheet'!$X$4:$X$40,$BA23-3)),"")</f>
        <v/>
      </c>
      <c r="V28" s="544">
        <f>IFERROR(IF(INDEX('Final Calculation Sheet'!$X$4:$X$40,$BA24-3)="","",INDEX('Final Calculation Sheet'!$X$4:$X$40,$BA24-3)),"")</f>
        <v/>
      </c>
      <c r="W28" s="679">
        <f>IFERROR(IF(INDEX('Final Calculation Sheet'!$X$4:$X$40,$BA25-3)="","",INDEX('Final Calculation Sheet'!$X$4:$X$40,$BA25-3)),"")</f>
        <v/>
      </c>
      <c r="X28" s="544">
        <f>IFERROR(IF(INDEX('Final Calculation Sheet'!$X$4:$X$40,$BA26-3)="","",INDEX('Final Calculation Sheet'!$X$4:$X$40,$BA26-3)),"")</f>
        <v/>
      </c>
      <c r="Y28" s="679">
        <f>IFERROR(IF(INDEX('Final Calculation Sheet'!$X$4:$X$40,$BA27-3)="","",INDEX('Final Calculation Sheet'!$X$4:$X$40,$BA27-3)),"")</f>
        <v/>
      </c>
      <c r="Z28" s="544">
        <f>IFERROR(IF(INDEX('Final Calculation Sheet'!$X$4:$X$40,$BA28-3)="","",INDEX('Final Calculation Sheet'!$X$4:$X$40,$BA28-3)),"")</f>
        <v/>
      </c>
      <c r="AA28" s="679">
        <f>IFERROR(IF(INDEX('Final Calculation Sheet'!$X$4:$X$40,$BA29-3)="","",INDEX('Final Calculation Sheet'!$X$4:$X$40,$BA29-3)),"")</f>
        <v/>
      </c>
      <c r="AB28" s="544">
        <f>IFERROR(IF(INDEX('Final Calculation Sheet'!$X$4:$X$40,$BA30-3)="","",INDEX('Final Calculation Sheet'!$X$4:$X$40,$BA30-3)),"")</f>
        <v/>
      </c>
      <c r="AC28" s="679">
        <f>IFERROR(IF(INDEX('Final Calculation Sheet'!$X$4:$X$40,$BA31-3)="","",INDEX('Final Calculation Sheet'!$X$4:$X$40,$BA31-3)),"")</f>
        <v/>
      </c>
      <c r="AD28" s="544">
        <f>IFERROR(IF(INDEX('Final Calculation Sheet'!$X$4:$X$40,$BA32-3)="","",INDEX('Final Calculation Sheet'!$X$4:$X$40,$BA32-3)),"")</f>
        <v/>
      </c>
      <c r="AE28" s="679">
        <f>IFERROR(IF(INDEX('Final Calculation Sheet'!$X$4:$X$40,$BA33-3)="","",INDEX('Final Calculation Sheet'!$X$4:$X$40,$BA33-3)),"")</f>
        <v/>
      </c>
      <c r="AF28" s="544">
        <f>IFERROR(IF(INDEX('Final Calculation Sheet'!$X$4:$X$40,$BA34-3)="","",INDEX('Final Calculation Sheet'!$X$4:$X$40,$BA34-3)),"")</f>
        <v/>
      </c>
      <c r="AG28" s="679">
        <f>IFERROR(IF(INDEX('Final Calculation Sheet'!$X$4:$X$40,$BA35-3)="","",INDEX('Final Calculation Sheet'!$X$4:$X$40,$BA35-3)),"")</f>
        <v/>
      </c>
      <c r="AH28" s="544">
        <f>IFERROR(IF(INDEX('Final Calculation Sheet'!$X$4:$X$40,$BA36-3)="","",INDEX('Final Calculation Sheet'!$X$4:$X$40,$BA36-3)),"")</f>
        <v/>
      </c>
      <c r="AI28" s="679">
        <f>IFERROR(IF(INDEX('Final Calculation Sheet'!$X$4:$X$40,$BA37-3)="","",INDEX('Final Calculation Sheet'!$X$4:$X$40,$BA37-3)),"")</f>
        <v/>
      </c>
      <c r="AJ28" s="544">
        <f>IFERROR(IF(INDEX('Final Calculation Sheet'!$X$4:$X$40,$BA38-3)="","",INDEX('Final Calculation Sheet'!$X$4:$X$40,$BA38-3)),"")</f>
        <v/>
      </c>
      <c r="AK28" s="679">
        <f>IFERROR(IF(INDEX('Final Calculation Sheet'!$X$4:$X$40,$BA39-3)="","",INDEX('Final Calculation Sheet'!$X$4:$X$40,$BA39-3)),"")</f>
        <v/>
      </c>
      <c r="AL28" s="544">
        <f>IFERROR(IF(INDEX('Final Calculation Sheet'!$X$4:$X$40,$BA40-3)="","",INDEX('Final Calculation Sheet'!$X$4:$X$40,$BA40-3)),"")</f>
        <v/>
      </c>
      <c r="AM28" s="680">
        <f>IF(COUNT(B28:AL28)=0,"",SUM(B28:AL28))</f>
        <v/>
      </c>
      <c r="AO28" t="inlineStr">
        <is>
          <t>Date of Receipt (col Y)</t>
        </is>
      </c>
      <c r="AW28">
        <f>IF(OR($B$3="ALL BUYERS",'Final Calculation Sheet'!$G28=$B$3),IF($D$3="— no row filter —",1,IF($F$3="is blank",IF(INDEX('Final Calculation Sheet'!$A$4:$AG$40,28-3,$AU$2)="",1,0),IF($F$3="is not blank",IF(INDEX('Final Calculation Sheet'!$A$4:$AG$40,28-3,$AU$2)="",0,1),IF($F$3="contains",IF(ISNUMBER(SEARCH($H$3,INDEX('Final Calculation Sheet'!$A$4:$AG$40,28-3,$AU$2))),1,0),IF($F$3="=",IF(INDEX('Final Calculation Sheet'!$A$4:$AG$40,28-3,$AU$2)=$H$3,1,0),IF($F$3="&lt;&gt;",IF(INDEX('Final Calculation Sheet'!$A$4:$AG$40,28-3,$AU$2)=$H$3,0,1),IF($F$3="&gt;",IF(N(INDEX('Final Calculation Sheet'!$A$4:$AG$40,28-3,$AU$2))&gt;N($H$3),1,0),IF($F$3="&gt;=",IF(N(INDEX('Final Calculation Sheet'!$A$4:$AG$40,28-3,$AU$2))&gt;=N($H$3),1,0),IF($F$3="&lt;",IF(N(INDEX('Final Calculation Sheet'!$A$4:$AG$40,28-3,$AU$2))&lt;N($H$3),1,0),IF($F$3="&lt;=",IF(N(INDEX('Final Calculation Sheet'!$A$4:$AG$40,28-3,$AU$2))&lt;=N($H$3),1,0),0)))))))))),0)</f>
        <v/>
      </c>
      <c r="AY28">
        <f>IF(AW28=1,SUM($AW$4:AW28),"")</f>
        <v/>
      </c>
      <c r="BA28">
        <f>IFERROR(MATCH(25,$AY$4:$AY$40,0)+3,"")</f>
        <v/>
      </c>
    </row>
    <row r="29" ht="15" customHeight="1">
      <c r="A29" s="675" t="inlineStr">
        <is>
          <t>Date of Receipt (col Y)</t>
        </is>
      </c>
      <c r="B29" s="544">
        <f>IFERROR(IF(INDEX('Final Calculation Sheet'!$Y$4:$Y$40,$BA4-3)="","",INDEX('Final Calculation Sheet'!$Y$4:$Y$40,$BA4-3)),"")</f>
        <v/>
      </c>
      <c r="C29" s="679">
        <f>IFERROR(IF(INDEX('Final Calculation Sheet'!$Y$4:$Y$40,$BA5-3)="","",INDEX('Final Calculation Sheet'!$Y$4:$Y$40,$BA5-3)),"")</f>
        <v/>
      </c>
      <c r="D29" s="544">
        <f>IFERROR(IF(INDEX('Final Calculation Sheet'!$Y$4:$Y$40,$BA6-3)="","",INDEX('Final Calculation Sheet'!$Y$4:$Y$40,$BA6-3)),"")</f>
        <v/>
      </c>
      <c r="E29" s="679">
        <f>IFERROR(IF(INDEX('Final Calculation Sheet'!$Y$4:$Y$40,$BA7-3)="","",INDEX('Final Calculation Sheet'!$Y$4:$Y$40,$BA7-3)),"")</f>
        <v/>
      </c>
      <c r="F29" s="544">
        <f>IFERROR(IF(INDEX('Final Calculation Sheet'!$Y$4:$Y$40,$BA8-3)="","",INDEX('Final Calculation Sheet'!$Y$4:$Y$40,$BA8-3)),"")</f>
        <v/>
      </c>
      <c r="G29" s="679">
        <f>IFERROR(IF(INDEX('Final Calculation Sheet'!$Y$4:$Y$40,$BA9-3)="","",INDEX('Final Calculation Sheet'!$Y$4:$Y$40,$BA9-3)),"")</f>
        <v/>
      </c>
      <c r="H29" s="544">
        <f>IFERROR(IF(INDEX('Final Calculation Sheet'!$Y$4:$Y$40,$BA10-3)="","",INDEX('Final Calculation Sheet'!$Y$4:$Y$40,$BA10-3)),"")</f>
        <v/>
      </c>
      <c r="I29" s="679">
        <f>IFERROR(IF(INDEX('Final Calculation Sheet'!$Y$4:$Y$40,$BA11-3)="","",INDEX('Final Calculation Sheet'!$Y$4:$Y$40,$BA11-3)),"")</f>
        <v/>
      </c>
      <c r="J29" s="544">
        <f>IFERROR(IF(INDEX('Final Calculation Sheet'!$Y$4:$Y$40,$BA12-3)="","",INDEX('Final Calculation Sheet'!$Y$4:$Y$40,$BA12-3)),"")</f>
        <v/>
      </c>
      <c r="K29" s="679">
        <f>IFERROR(IF(INDEX('Final Calculation Sheet'!$Y$4:$Y$40,$BA13-3)="","",INDEX('Final Calculation Sheet'!$Y$4:$Y$40,$BA13-3)),"")</f>
        <v/>
      </c>
      <c r="L29" s="544">
        <f>IFERROR(IF(INDEX('Final Calculation Sheet'!$Y$4:$Y$40,$BA14-3)="","",INDEX('Final Calculation Sheet'!$Y$4:$Y$40,$BA14-3)),"")</f>
        <v/>
      </c>
      <c r="M29" s="679">
        <f>IFERROR(IF(INDEX('Final Calculation Sheet'!$Y$4:$Y$40,$BA15-3)="","",INDEX('Final Calculation Sheet'!$Y$4:$Y$40,$BA15-3)),"")</f>
        <v/>
      </c>
      <c r="N29" s="544">
        <f>IFERROR(IF(INDEX('Final Calculation Sheet'!$Y$4:$Y$40,$BA16-3)="","",INDEX('Final Calculation Sheet'!$Y$4:$Y$40,$BA16-3)),"")</f>
        <v/>
      </c>
      <c r="O29" s="679">
        <f>IFERROR(IF(INDEX('Final Calculation Sheet'!$Y$4:$Y$40,$BA17-3)="","",INDEX('Final Calculation Sheet'!$Y$4:$Y$40,$BA17-3)),"")</f>
        <v/>
      </c>
      <c r="P29" s="544">
        <f>IFERROR(IF(INDEX('Final Calculation Sheet'!$Y$4:$Y$40,$BA18-3)="","",INDEX('Final Calculation Sheet'!$Y$4:$Y$40,$BA18-3)),"")</f>
        <v/>
      </c>
      <c r="Q29" s="679">
        <f>IFERROR(IF(INDEX('Final Calculation Sheet'!$Y$4:$Y$40,$BA19-3)="","",INDEX('Final Calculation Sheet'!$Y$4:$Y$40,$BA19-3)),"")</f>
        <v/>
      </c>
      <c r="R29" s="544">
        <f>IFERROR(IF(INDEX('Final Calculation Sheet'!$Y$4:$Y$40,$BA20-3)="","",INDEX('Final Calculation Sheet'!$Y$4:$Y$40,$BA20-3)),"")</f>
        <v/>
      </c>
      <c r="S29" s="679">
        <f>IFERROR(IF(INDEX('Final Calculation Sheet'!$Y$4:$Y$40,$BA21-3)="","",INDEX('Final Calculation Sheet'!$Y$4:$Y$40,$BA21-3)),"")</f>
        <v/>
      </c>
      <c r="T29" s="544">
        <f>IFERROR(IF(INDEX('Final Calculation Sheet'!$Y$4:$Y$40,$BA22-3)="","",INDEX('Final Calculation Sheet'!$Y$4:$Y$40,$BA22-3)),"")</f>
        <v/>
      </c>
      <c r="U29" s="679">
        <f>IFERROR(IF(INDEX('Final Calculation Sheet'!$Y$4:$Y$40,$BA23-3)="","",INDEX('Final Calculation Sheet'!$Y$4:$Y$40,$BA23-3)),"")</f>
        <v/>
      </c>
      <c r="V29" s="544">
        <f>IFERROR(IF(INDEX('Final Calculation Sheet'!$Y$4:$Y$40,$BA24-3)="","",INDEX('Final Calculation Sheet'!$Y$4:$Y$40,$BA24-3)),"")</f>
        <v/>
      </c>
      <c r="W29" s="679">
        <f>IFERROR(IF(INDEX('Final Calculation Sheet'!$Y$4:$Y$40,$BA25-3)="","",INDEX('Final Calculation Sheet'!$Y$4:$Y$40,$BA25-3)),"")</f>
        <v/>
      </c>
      <c r="X29" s="544">
        <f>IFERROR(IF(INDEX('Final Calculation Sheet'!$Y$4:$Y$40,$BA26-3)="","",INDEX('Final Calculation Sheet'!$Y$4:$Y$40,$BA26-3)),"")</f>
        <v/>
      </c>
      <c r="Y29" s="679">
        <f>IFERROR(IF(INDEX('Final Calculation Sheet'!$Y$4:$Y$40,$BA27-3)="","",INDEX('Final Calculation Sheet'!$Y$4:$Y$40,$BA27-3)),"")</f>
        <v/>
      </c>
      <c r="Z29" s="544">
        <f>IFERROR(IF(INDEX('Final Calculation Sheet'!$Y$4:$Y$40,$BA28-3)="","",INDEX('Final Calculation Sheet'!$Y$4:$Y$40,$BA28-3)),"")</f>
        <v/>
      </c>
      <c r="AA29" s="679">
        <f>IFERROR(IF(INDEX('Final Calculation Sheet'!$Y$4:$Y$40,$BA29-3)="","",INDEX('Final Calculation Sheet'!$Y$4:$Y$40,$BA29-3)),"")</f>
        <v/>
      </c>
      <c r="AB29" s="544">
        <f>IFERROR(IF(INDEX('Final Calculation Sheet'!$Y$4:$Y$40,$BA30-3)="","",INDEX('Final Calculation Sheet'!$Y$4:$Y$40,$BA30-3)),"")</f>
        <v/>
      </c>
      <c r="AC29" s="679">
        <f>IFERROR(IF(INDEX('Final Calculation Sheet'!$Y$4:$Y$40,$BA31-3)="","",INDEX('Final Calculation Sheet'!$Y$4:$Y$40,$BA31-3)),"")</f>
        <v/>
      </c>
      <c r="AD29" s="544">
        <f>IFERROR(IF(INDEX('Final Calculation Sheet'!$Y$4:$Y$40,$BA32-3)="","",INDEX('Final Calculation Sheet'!$Y$4:$Y$40,$BA32-3)),"")</f>
        <v/>
      </c>
      <c r="AE29" s="679">
        <f>IFERROR(IF(INDEX('Final Calculation Sheet'!$Y$4:$Y$40,$BA33-3)="","",INDEX('Final Calculation Sheet'!$Y$4:$Y$40,$BA33-3)),"")</f>
        <v/>
      </c>
      <c r="AF29" s="544">
        <f>IFERROR(IF(INDEX('Final Calculation Sheet'!$Y$4:$Y$40,$BA34-3)="","",INDEX('Final Calculation Sheet'!$Y$4:$Y$40,$BA34-3)),"")</f>
        <v/>
      </c>
      <c r="AG29" s="679">
        <f>IFERROR(IF(INDEX('Final Calculation Sheet'!$Y$4:$Y$40,$BA35-3)="","",INDEX('Final Calculation Sheet'!$Y$4:$Y$40,$BA35-3)),"")</f>
        <v/>
      </c>
      <c r="AH29" s="544">
        <f>IFERROR(IF(INDEX('Final Calculation Sheet'!$Y$4:$Y$40,$BA36-3)="","",INDEX('Final Calculation Sheet'!$Y$4:$Y$40,$BA36-3)),"")</f>
        <v/>
      </c>
      <c r="AI29" s="679">
        <f>IFERROR(IF(INDEX('Final Calculation Sheet'!$Y$4:$Y$40,$BA37-3)="","",INDEX('Final Calculation Sheet'!$Y$4:$Y$40,$BA37-3)),"")</f>
        <v/>
      </c>
      <c r="AJ29" s="544">
        <f>IFERROR(IF(INDEX('Final Calculation Sheet'!$Y$4:$Y$40,$BA38-3)="","",INDEX('Final Calculation Sheet'!$Y$4:$Y$40,$BA38-3)),"")</f>
        <v/>
      </c>
      <c r="AK29" s="679">
        <f>IFERROR(IF(INDEX('Final Calculation Sheet'!$Y$4:$Y$40,$BA39-3)="","",INDEX('Final Calculation Sheet'!$Y$4:$Y$40,$BA39-3)),"")</f>
        <v/>
      </c>
      <c r="AL29" s="544">
        <f>IFERROR(IF(INDEX('Final Calculation Sheet'!$Y$4:$Y$40,$BA40-3)="","",INDEX('Final Calculation Sheet'!$Y$4:$Y$40,$BA40-3)),"")</f>
        <v/>
      </c>
      <c r="AM29" s="750" t="inlineStr">
        <is>
          <t>–</t>
        </is>
      </c>
      <c r="AO29" t="inlineStr">
        <is>
          <t>LPP Expected</t>
        </is>
      </c>
      <c r="AW29">
        <f>IF(OR($B$3="ALL BUYERS",'Final Calculation Sheet'!$G29=$B$3),IF($D$3="— no row filter —",1,IF($F$3="is blank",IF(INDEX('Final Calculation Sheet'!$A$4:$AG$40,29-3,$AU$2)="",1,0),IF($F$3="is not blank",IF(INDEX('Final Calculation Sheet'!$A$4:$AG$40,29-3,$AU$2)="",0,1),IF($F$3="contains",IF(ISNUMBER(SEARCH($H$3,INDEX('Final Calculation Sheet'!$A$4:$AG$40,29-3,$AU$2))),1,0),IF($F$3="=",IF(INDEX('Final Calculation Sheet'!$A$4:$AG$40,29-3,$AU$2)=$H$3,1,0),IF($F$3="&lt;&gt;",IF(INDEX('Final Calculation Sheet'!$A$4:$AG$40,29-3,$AU$2)=$H$3,0,1),IF($F$3="&gt;",IF(N(INDEX('Final Calculation Sheet'!$A$4:$AG$40,29-3,$AU$2))&gt;N($H$3),1,0),IF($F$3="&gt;=",IF(N(INDEX('Final Calculation Sheet'!$A$4:$AG$40,29-3,$AU$2))&gt;=N($H$3),1,0),IF($F$3="&lt;",IF(N(INDEX('Final Calculation Sheet'!$A$4:$AG$40,29-3,$AU$2))&lt;N($H$3),1,0),IF($F$3="&lt;=",IF(N(INDEX('Final Calculation Sheet'!$A$4:$AG$40,29-3,$AU$2))&lt;=N($H$3),1,0),0)))))))))),0)</f>
        <v/>
      </c>
      <c r="AY29">
        <f>IF(AW29=1,SUM($AW$4:AW29),"")</f>
        <v/>
      </c>
      <c r="BA29">
        <f>IFERROR(MATCH(26,$AY$4:$AY$40,0)+3,"")</f>
        <v/>
      </c>
    </row>
    <row r="30" ht="15" customHeight="1">
      <c r="A30" s="678" t="inlineStr">
        <is>
          <t>LPP Expected</t>
        </is>
      </c>
      <c r="B30" s="544">
        <f>IFERROR(IF(INDEX('Final Calculation Sheet'!$Z$4:$Z$40,$BA4-3)="","",INDEX('Final Calculation Sheet'!$Z$4:$Z$40,$BA4-3)),"")</f>
        <v/>
      </c>
      <c r="C30" s="679">
        <f>IFERROR(IF(INDEX('Final Calculation Sheet'!$Z$4:$Z$40,$BA5-3)="","",INDEX('Final Calculation Sheet'!$Z$4:$Z$40,$BA5-3)),"")</f>
        <v/>
      </c>
      <c r="D30" s="544">
        <f>IFERROR(IF(INDEX('Final Calculation Sheet'!$Z$4:$Z$40,$BA6-3)="","",INDEX('Final Calculation Sheet'!$Z$4:$Z$40,$BA6-3)),"")</f>
        <v/>
      </c>
      <c r="E30" s="679">
        <f>IFERROR(IF(INDEX('Final Calculation Sheet'!$Z$4:$Z$40,$BA7-3)="","",INDEX('Final Calculation Sheet'!$Z$4:$Z$40,$BA7-3)),"")</f>
        <v/>
      </c>
      <c r="F30" s="544">
        <f>IFERROR(IF(INDEX('Final Calculation Sheet'!$Z$4:$Z$40,$BA8-3)="","",INDEX('Final Calculation Sheet'!$Z$4:$Z$40,$BA8-3)),"")</f>
        <v/>
      </c>
      <c r="G30" s="679">
        <f>IFERROR(IF(INDEX('Final Calculation Sheet'!$Z$4:$Z$40,$BA9-3)="","",INDEX('Final Calculation Sheet'!$Z$4:$Z$40,$BA9-3)),"")</f>
        <v/>
      </c>
      <c r="H30" s="544">
        <f>IFERROR(IF(INDEX('Final Calculation Sheet'!$Z$4:$Z$40,$BA10-3)="","",INDEX('Final Calculation Sheet'!$Z$4:$Z$40,$BA10-3)),"")</f>
        <v/>
      </c>
      <c r="I30" s="679">
        <f>IFERROR(IF(INDEX('Final Calculation Sheet'!$Z$4:$Z$40,$BA11-3)="","",INDEX('Final Calculation Sheet'!$Z$4:$Z$40,$BA11-3)),"")</f>
        <v/>
      </c>
      <c r="J30" s="544">
        <f>IFERROR(IF(INDEX('Final Calculation Sheet'!$Z$4:$Z$40,$BA12-3)="","",INDEX('Final Calculation Sheet'!$Z$4:$Z$40,$BA12-3)),"")</f>
        <v/>
      </c>
      <c r="K30" s="679">
        <f>IFERROR(IF(INDEX('Final Calculation Sheet'!$Z$4:$Z$40,$BA13-3)="","",INDEX('Final Calculation Sheet'!$Z$4:$Z$40,$BA13-3)),"")</f>
        <v/>
      </c>
      <c r="L30" s="544">
        <f>IFERROR(IF(INDEX('Final Calculation Sheet'!$Z$4:$Z$40,$BA14-3)="","",INDEX('Final Calculation Sheet'!$Z$4:$Z$40,$BA14-3)),"")</f>
        <v/>
      </c>
      <c r="M30" s="679">
        <f>IFERROR(IF(INDEX('Final Calculation Sheet'!$Z$4:$Z$40,$BA15-3)="","",INDEX('Final Calculation Sheet'!$Z$4:$Z$40,$BA15-3)),"")</f>
        <v/>
      </c>
      <c r="N30" s="544">
        <f>IFERROR(IF(INDEX('Final Calculation Sheet'!$Z$4:$Z$40,$BA16-3)="","",INDEX('Final Calculation Sheet'!$Z$4:$Z$40,$BA16-3)),"")</f>
        <v/>
      </c>
      <c r="O30" s="679">
        <f>IFERROR(IF(INDEX('Final Calculation Sheet'!$Z$4:$Z$40,$BA17-3)="","",INDEX('Final Calculation Sheet'!$Z$4:$Z$40,$BA17-3)),"")</f>
        <v/>
      </c>
      <c r="P30" s="544">
        <f>IFERROR(IF(INDEX('Final Calculation Sheet'!$Z$4:$Z$40,$BA18-3)="","",INDEX('Final Calculation Sheet'!$Z$4:$Z$40,$BA18-3)),"")</f>
        <v/>
      </c>
      <c r="Q30" s="679">
        <f>IFERROR(IF(INDEX('Final Calculation Sheet'!$Z$4:$Z$40,$BA19-3)="","",INDEX('Final Calculation Sheet'!$Z$4:$Z$40,$BA19-3)),"")</f>
        <v/>
      </c>
      <c r="R30" s="544">
        <f>IFERROR(IF(INDEX('Final Calculation Sheet'!$Z$4:$Z$40,$BA20-3)="","",INDEX('Final Calculation Sheet'!$Z$4:$Z$40,$BA20-3)),"")</f>
        <v/>
      </c>
      <c r="S30" s="679">
        <f>IFERROR(IF(INDEX('Final Calculation Sheet'!$Z$4:$Z$40,$BA21-3)="","",INDEX('Final Calculation Sheet'!$Z$4:$Z$40,$BA21-3)),"")</f>
        <v/>
      </c>
      <c r="T30" s="544">
        <f>IFERROR(IF(INDEX('Final Calculation Sheet'!$Z$4:$Z$40,$BA22-3)="","",INDEX('Final Calculation Sheet'!$Z$4:$Z$40,$BA22-3)),"")</f>
        <v/>
      </c>
      <c r="U30" s="679">
        <f>IFERROR(IF(INDEX('Final Calculation Sheet'!$Z$4:$Z$40,$BA23-3)="","",INDEX('Final Calculation Sheet'!$Z$4:$Z$40,$BA23-3)),"")</f>
        <v/>
      </c>
      <c r="V30" s="544">
        <f>IFERROR(IF(INDEX('Final Calculation Sheet'!$Z$4:$Z$40,$BA24-3)="","",INDEX('Final Calculation Sheet'!$Z$4:$Z$40,$BA24-3)),"")</f>
        <v/>
      </c>
      <c r="W30" s="679">
        <f>IFERROR(IF(INDEX('Final Calculation Sheet'!$Z$4:$Z$40,$BA25-3)="","",INDEX('Final Calculation Sheet'!$Z$4:$Z$40,$BA25-3)),"")</f>
        <v/>
      </c>
      <c r="X30" s="544">
        <f>IFERROR(IF(INDEX('Final Calculation Sheet'!$Z$4:$Z$40,$BA26-3)="","",INDEX('Final Calculation Sheet'!$Z$4:$Z$40,$BA26-3)),"")</f>
        <v/>
      </c>
      <c r="Y30" s="679">
        <f>IFERROR(IF(INDEX('Final Calculation Sheet'!$Z$4:$Z$40,$BA27-3)="","",INDEX('Final Calculation Sheet'!$Z$4:$Z$40,$BA27-3)),"")</f>
        <v/>
      </c>
      <c r="Z30" s="544">
        <f>IFERROR(IF(INDEX('Final Calculation Sheet'!$Z$4:$Z$40,$BA28-3)="","",INDEX('Final Calculation Sheet'!$Z$4:$Z$40,$BA28-3)),"")</f>
        <v/>
      </c>
      <c r="AA30" s="679">
        <f>IFERROR(IF(INDEX('Final Calculation Sheet'!$Z$4:$Z$40,$BA29-3)="","",INDEX('Final Calculation Sheet'!$Z$4:$Z$40,$BA29-3)),"")</f>
        <v/>
      </c>
      <c r="AB30" s="544">
        <f>IFERROR(IF(INDEX('Final Calculation Sheet'!$Z$4:$Z$40,$BA30-3)="","",INDEX('Final Calculation Sheet'!$Z$4:$Z$40,$BA30-3)),"")</f>
        <v/>
      </c>
      <c r="AC30" s="679">
        <f>IFERROR(IF(INDEX('Final Calculation Sheet'!$Z$4:$Z$40,$BA31-3)="","",INDEX('Final Calculation Sheet'!$Z$4:$Z$40,$BA31-3)),"")</f>
        <v/>
      </c>
      <c r="AD30" s="544">
        <f>IFERROR(IF(INDEX('Final Calculation Sheet'!$Z$4:$Z$40,$BA32-3)="","",INDEX('Final Calculation Sheet'!$Z$4:$Z$40,$BA32-3)),"")</f>
        <v/>
      </c>
      <c r="AE30" s="679">
        <f>IFERROR(IF(INDEX('Final Calculation Sheet'!$Z$4:$Z$40,$BA33-3)="","",INDEX('Final Calculation Sheet'!$Z$4:$Z$40,$BA33-3)),"")</f>
        <v/>
      </c>
      <c r="AF30" s="544">
        <f>IFERROR(IF(INDEX('Final Calculation Sheet'!$Z$4:$Z$40,$BA34-3)="","",INDEX('Final Calculation Sheet'!$Z$4:$Z$40,$BA34-3)),"")</f>
        <v/>
      </c>
      <c r="AG30" s="679">
        <f>IFERROR(IF(INDEX('Final Calculation Sheet'!$Z$4:$Z$40,$BA35-3)="","",INDEX('Final Calculation Sheet'!$Z$4:$Z$40,$BA35-3)),"")</f>
        <v/>
      </c>
      <c r="AH30" s="544">
        <f>IFERROR(IF(INDEX('Final Calculation Sheet'!$Z$4:$Z$40,$BA36-3)="","",INDEX('Final Calculation Sheet'!$Z$4:$Z$40,$BA36-3)),"")</f>
        <v/>
      </c>
      <c r="AI30" s="679">
        <f>IFERROR(IF(INDEX('Final Calculation Sheet'!$Z$4:$Z$40,$BA37-3)="","",INDEX('Final Calculation Sheet'!$Z$4:$Z$40,$BA37-3)),"")</f>
        <v/>
      </c>
      <c r="AJ30" s="544">
        <f>IFERROR(IF(INDEX('Final Calculation Sheet'!$Z$4:$Z$40,$BA38-3)="","",INDEX('Final Calculation Sheet'!$Z$4:$Z$40,$BA38-3)),"")</f>
        <v/>
      </c>
      <c r="AK30" s="679">
        <f>IFERROR(IF(INDEX('Final Calculation Sheet'!$Z$4:$Z$40,$BA39-3)="","",INDEX('Final Calculation Sheet'!$Z$4:$Z$40,$BA39-3)),"")</f>
        <v/>
      </c>
      <c r="AL30" s="544">
        <f>IFERROR(IF(INDEX('Final Calculation Sheet'!$Z$4:$Z$40,$BA40-3)="","",INDEX('Final Calculation Sheet'!$Z$4:$Z$40,$BA40-3)),"")</f>
        <v/>
      </c>
      <c r="AM30" s="680">
        <f>IF(COUNT(B30:AL30)=0,"",SUM(B30:AL30))</f>
        <v/>
      </c>
      <c r="AO30" t="inlineStr">
        <is>
          <t>LPP Received</t>
        </is>
      </c>
      <c r="AW30">
        <f>IF(OR($B$3="ALL BUYERS",'Final Calculation Sheet'!$G30=$B$3),IF($D$3="— no row filter —",1,IF($F$3="is blank",IF(INDEX('Final Calculation Sheet'!$A$4:$AG$40,30-3,$AU$2)="",1,0),IF($F$3="is not blank",IF(INDEX('Final Calculation Sheet'!$A$4:$AG$40,30-3,$AU$2)="",0,1),IF($F$3="contains",IF(ISNUMBER(SEARCH($H$3,INDEX('Final Calculation Sheet'!$A$4:$AG$40,30-3,$AU$2))),1,0),IF($F$3="=",IF(INDEX('Final Calculation Sheet'!$A$4:$AG$40,30-3,$AU$2)=$H$3,1,0),IF($F$3="&lt;&gt;",IF(INDEX('Final Calculation Sheet'!$A$4:$AG$40,30-3,$AU$2)=$H$3,0,1),IF($F$3="&gt;",IF(N(INDEX('Final Calculation Sheet'!$A$4:$AG$40,30-3,$AU$2))&gt;N($H$3),1,0),IF($F$3="&gt;=",IF(N(INDEX('Final Calculation Sheet'!$A$4:$AG$40,30-3,$AU$2))&gt;=N($H$3),1,0),IF($F$3="&lt;",IF(N(INDEX('Final Calculation Sheet'!$A$4:$AG$40,30-3,$AU$2))&lt;N($H$3),1,0),IF($F$3="&lt;=",IF(N(INDEX('Final Calculation Sheet'!$A$4:$AG$40,30-3,$AU$2))&lt;=N($H$3),1,0),0)))))))))),0)</f>
        <v/>
      </c>
      <c r="AY30">
        <f>IF(AW30=1,SUM($AW$4:AW30),"")</f>
        <v/>
      </c>
      <c r="BA30">
        <f>IFERROR(MATCH(27,$AY$4:$AY$40,0)+3,"")</f>
        <v/>
      </c>
    </row>
    <row r="31" ht="15" customHeight="1">
      <c r="A31" s="675" t="inlineStr">
        <is>
          <t>LPP Received</t>
        </is>
      </c>
      <c r="B31" s="544">
        <f>IFERROR(IF(INDEX('Final Calculation Sheet'!$AA$4:$AA$40,$BA4-3)="","",INDEX('Final Calculation Sheet'!$AA$4:$AA$40,$BA4-3)),"")</f>
        <v/>
      </c>
      <c r="C31" s="679">
        <f>IFERROR(IF(INDEX('Final Calculation Sheet'!$AA$4:$AA$40,$BA5-3)="","",INDEX('Final Calculation Sheet'!$AA$4:$AA$40,$BA5-3)),"")</f>
        <v/>
      </c>
      <c r="D31" s="544">
        <f>IFERROR(IF(INDEX('Final Calculation Sheet'!$AA$4:$AA$40,$BA6-3)="","",INDEX('Final Calculation Sheet'!$AA$4:$AA$40,$BA6-3)),"")</f>
        <v/>
      </c>
      <c r="E31" s="679">
        <f>IFERROR(IF(INDEX('Final Calculation Sheet'!$AA$4:$AA$40,$BA7-3)="","",INDEX('Final Calculation Sheet'!$AA$4:$AA$40,$BA7-3)),"")</f>
        <v/>
      </c>
      <c r="F31" s="544">
        <f>IFERROR(IF(INDEX('Final Calculation Sheet'!$AA$4:$AA$40,$BA8-3)="","",INDEX('Final Calculation Sheet'!$AA$4:$AA$40,$BA8-3)),"")</f>
        <v/>
      </c>
      <c r="G31" s="679">
        <f>IFERROR(IF(INDEX('Final Calculation Sheet'!$AA$4:$AA$40,$BA9-3)="","",INDEX('Final Calculation Sheet'!$AA$4:$AA$40,$BA9-3)),"")</f>
        <v/>
      </c>
      <c r="H31" s="544">
        <f>IFERROR(IF(INDEX('Final Calculation Sheet'!$AA$4:$AA$40,$BA10-3)="","",INDEX('Final Calculation Sheet'!$AA$4:$AA$40,$BA10-3)),"")</f>
        <v/>
      </c>
      <c r="I31" s="679">
        <f>IFERROR(IF(INDEX('Final Calculation Sheet'!$AA$4:$AA$40,$BA11-3)="","",INDEX('Final Calculation Sheet'!$AA$4:$AA$40,$BA11-3)),"")</f>
        <v/>
      </c>
      <c r="J31" s="544">
        <f>IFERROR(IF(INDEX('Final Calculation Sheet'!$AA$4:$AA$40,$BA12-3)="","",INDEX('Final Calculation Sheet'!$AA$4:$AA$40,$BA12-3)),"")</f>
        <v/>
      </c>
      <c r="K31" s="679">
        <f>IFERROR(IF(INDEX('Final Calculation Sheet'!$AA$4:$AA$40,$BA13-3)="","",INDEX('Final Calculation Sheet'!$AA$4:$AA$40,$BA13-3)),"")</f>
        <v/>
      </c>
      <c r="L31" s="544">
        <f>IFERROR(IF(INDEX('Final Calculation Sheet'!$AA$4:$AA$40,$BA14-3)="","",INDEX('Final Calculation Sheet'!$AA$4:$AA$40,$BA14-3)),"")</f>
        <v/>
      </c>
      <c r="M31" s="679">
        <f>IFERROR(IF(INDEX('Final Calculation Sheet'!$AA$4:$AA$40,$BA15-3)="","",INDEX('Final Calculation Sheet'!$AA$4:$AA$40,$BA15-3)),"")</f>
        <v/>
      </c>
      <c r="N31" s="544">
        <f>IFERROR(IF(INDEX('Final Calculation Sheet'!$AA$4:$AA$40,$BA16-3)="","",INDEX('Final Calculation Sheet'!$AA$4:$AA$40,$BA16-3)),"")</f>
        <v/>
      </c>
      <c r="O31" s="679">
        <f>IFERROR(IF(INDEX('Final Calculation Sheet'!$AA$4:$AA$40,$BA17-3)="","",INDEX('Final Calculation Sheet'!$AA$4:$AA$40,$BA17-3)),"")</f>
        <v/>
      </c>
      <c r="P31" s="544">
        <f>IFERROR(IF(INDEX('Final Calculation Sheet'!$AA$4:$AA$40,$BA18-3)="","",INDEX('Final Calculation Sheet'!$AA$4:$AA$40,$BA18-3)),"")</f>
        <v/>
      </c>
      <c r="Q31" s="679">
        <f>IFERROR(IF(INDEX('Final Calculation Sheet'!$AA$4:$AA$40,$BA19-3)="","",INDEX('Final Calculation Sheet'!$AA$4:$AA$40,$BA19-3)),"")</f>
        <v/>
      </c>
      <c r="R31" s="544">
        <f>IFERROR(IF(INDEX('Final Calculation Sheet'!$AA$4:$AA$40,$BA20-3)="","",INDEX('Final Calculation Sheet'!$AA$4:$AA$40,$BA20-3)),"")</f>
        <v/>
      </c>
      <c r="S31" s="679">
        <f>IFERROR(IF(INDEX('Final Calculation Sheet'!$AA$4:$AA$40,$BA21-3)="","",INDEX('Final Calculation Sheet'!$AA$4:$AA$40,$BA21-3)),"")</f>
        <v/>
      </c>
      <c r="T31" s="544">
        <f>IFERROR(IF(INDEX('Final Calculation Sheet'!$AA$4:$AA$40,$BA22-3)="","",INDEX('Final Calculation Sheet'!$AA$4:$AA$40,$BA22-3)),"")</f>
        <v/>
      </c>
      <c r="U31" s="679">
        <f>IFERROR(IF(INDEX('Final Calculation Sheet'!$AA$4:$AA$40,$BA23-3)="","",INDEX('Final Calculation Sheet'!$AA$4:$AA$40,$BA23-3)),"")</f>
        <v/>
      </c>
      <c r="V31" s="544">
        <f>IFERROR(IF(INDEX('Final Calculation Sheet'!$AA$4:$AA$40,$BA24-3)="","",INDEX('Final Calculation Sheet'!$AA$4:$AA$40,$BA24-3)),"")</f>
        <v/>
      </c>
      <c r="W31" s="679">
        <f>IFERROR(IF(INDEX('Final Calculation Sheet'!$AA$4:$AA$40,$BA25-3)="","",INDEX('Final Calculation Sheet'!$AA$4:$AA$40,$BA25-3)),"")</f>
        <v/>
      </c>
      <c r="X31" s="544">
        <f>IFERROR(IF(INDEX('Final Calculation Sheet'!$AA$4:$AA$40,$BA26-3)="","",INDEX('Final Calculation Sheet'!$AA$4:$AA$40,$BA26-3)),"")</f>
        <v/>
      </c>
      <c r="Y31" s="679">
        <f>IFERROR(IF(INDEX('Final Calculation Sheet'!$AA$4:$AA$40,$BA27-3)="","",INDEX('Final Calculation Sheet'!$AA$4:$AA$40,$BA27-3)),"")</f>
        <v/>
      </c>
      <c r="Z31" s="544">
        <f>IFERROR(IF(INDEX('Final Calculation Sheet'!$AA$4:$AA$40,$BA28-3)="","",INDEX('Final Calculation Sheet'!$AA$4:$AA$40,$BA28-3)),"")</f>
        <v/>
      </c>
      <c r="AA31" s="679">
        <f>IFERROR(IF(INDEX('Final Calculation Sheet'!$AA$4:$AA$40,$BA29-3)="","",INDEX('Final Calculation Sheet'!$AA$4:$AA$40,$BA29-3)),"")</f>
        <v/>
      </c>
      <c r="AB31" s="544">
        <f>IFERROR(IF(INDEX('Final Calculation Sheet'!$AA$4:$AA$40,$BA30-3)="","",INDEX('Final Calculation Sheet'!$AA$4:$AA$40,$BA30-3)),"")</f>
        <v/>
      </c>
      <c r="AC31" s="679">
        <f>IFERROR(IF(INDEX('Final Calculation Sheet'!$AA$4:$AA$40,$BA31-3)="","",INDEX('Final Calculation Sheet'!$AA$4:$AA$40,$BA31-3)),"")</f>
        <v/>
      </c>
      <c r="AD31" s="544">
        <f>IFERROR(IF(INDEX('Final Calculation Sheet'!$AA$4:$AA$40,$BA32-3)="","",INDEX('Final Calculation Sheet'!$AA$4:$AA$40,$BA32-3)),"")</f>
        <v/>
      </c>
      <c r="AE31" s="679">
        <f>IFERROR(IF(INDEX('Final Calculation Sheet'!$AA$4:$AA$40,$BA33-3)="","",INDEX('Final Calculation Sheet'!$AA$4:$AA$40,$BA33-3)),"")</f>
        <v/>
      </c>
      <c r="AF31" s="544">
        <f>IFERROR(IF(INDEX('Final Calculation Sheet'!$AA$4:$AA$40,$BA34-3)="","",INDEX('Final Calculation Sheet'!$AA$4:$AA$40,$BA34-3)),"")</f>
        <v/>
      </c>
      <c r="AG31" s="679">
        <f>IFERROR(IF(INDEX('Final Calculation Sheet'!$AA$4:$AA$40,$BA35-3)="","",INDEX('Final Calculation Sheet'!$AA$4:$AA$40,$BA35-3)),"")</f>
        <v/>
      </c>
      <c r="AH31" s="544">
        <f>IFERROR(IF(INDEX('Final Calculation Sheet'!$AA$4:$AA$40,$BA36-3)="","",INDEX('Final Calculation Sheet'!$AA$4:$AA$40,$BA36-3)),"")</f>
        <v/>
      </c>
      <c r="AI31" s="679">
        <f>IFERROR(IF(INDEX('Final Calculation Sheet'!$AA$4:$AA$40,$BA37-3)="","",INDEX('Final Calculation Sheet'!$AA$4:$AA$40,$BA37-3)),"")</f>
        <v/>
      </c>
      <c r="AJ31" s="544">
        <f>IFERROR(IF(INDEX('Final Calculation Sheet'!$AA$4:$AA$40,$BA38-3)="","",INDEX('Final Calculation Sheet'!$AA$4:$AA$40,$BA38-3)),"")</f>
        <v/>
      </c>
      <c r="AK31" s="679">
        <f>IFERROR(IF(INDEX('Final Calculation Sheet'!$AA$4:$AA$40,$BA39-3)="","",INDEX('Final Calculation Sheet'!$AA$4:$AA$40,$BA39-3)),"")</f>
        <v/>
      </c>
      <c r="AL31" s="544">
        <f>IFERROR(IF(INDEX('Final Calculation Sheet'!$AA$4:$AA$40,$BA40-3)="","",INDEX('Final Calculation Sheet'!$AA$4:$AA$40,$BA40-3)),"")</f>
        <v/>
      </c>
      <c r="AM31" s="680">
        <f>IF(COUNT(B31:AL31)=0,"",SUM(B31:AL31))</f>
        <v/>
      </c>
      <c r="AO31" t="inlineStr">
        <is>
          <t>Date of Recepit of LPP</t>
        </is>
      </c>
      <c r="AW31">
        <f>IF(OR($B$3="ALL BUYERS",'Final Calculation Sheet'!$G31=$B$3),IF($D$3="— no row filter —",1,IF($F$3="is blank",IF(INDEX('Final Calculation Sheet'!$A$4:$AG$40,31-3,$AU$2)="",1,0),IF($F$3="is not blank",IF(INDEX('Final Calculation Sheet'!$A$4:$AG$40,31-3,$AU$2)="",0,1),IF($F$3="contains",IF(ISNUMBER(SEARCH($H$3,INDEX('Final Calculation Sheet'!$A$4:$AG$40,31-3,$AU$2))),1,0),IF($F$3="=",IF(INDEX('Final Calculation Sheet'!$A$4:$AG$40,31-3,$AU$2)=$H$3,1,0),IF($F$3="&lt;&gt;",IF(INDEX('Final Calculation Sheet'!$A$4:$AG$40,31-3,$AU$2)=$H$3,0,1),IF($F$3="&gt;",IF(N(INDEX('Final Calculation Sheet'!$A$4:$AG$40,31-3,$AU$2))&gt;N($H$3),1,0),IF($F$3="&gt;=",IF(N(INDEX('Final Calculation Sheet'!$A$4:$AG$40,31-3,$AU$2))&gt;=N($H$3),1,0),IF($F$3="&lt;",IF(N(INDEX('Final Calculation Sheet'!$A$4:$AG$40,31-3,$AU$2))&lt;N($H$3),1,0),IF($F$3="&lt;=",IF(N(INDEX('Final Calculation Sheet'!$A$4:$AG$40,31-3,$AU$2))&lt;=N($H$3),1,0),0)))))))))),0)</f>
        <v/>
      </c>
      <c r="AY31">
        <f>IF(AW31=1,SUM($AW$4:AW31),"")</f>
        <v/>
      </c>
      <c r="BA31">
        <f>IFERROR(MATCH(28,$AY$4:$AY$40,0)+3,"")</f>
        <v/>
      </c>
    </row>
    <row r="32" ht="15" customHeight="1">
      <c r="A32" s="678" t="inlineStr">
        <is>
          <t>Date of Recepit of LPP</t>
        </is>
      </c>
      <c r="B32" s="544">
        <f>IFERROR(IF(INDEX('Final Calculation Sheet'!$AB$4:$AB$40,$BA4-3)="","",INDEX('Final Calculation Sheet'!$AB$4:$AB$40,$BA4-3)),"")</f>
        <v/>
      </c>
      <c r="C32" s="679">
        <f>IFERROR(IF(INDEX('Final Calculation Sheet'!$AB$4:$AB$40,$BA5-3)="","",INDEX('Final Calculation Sheet'!$AB$4:$AB$40,$BA5-3)),"")</f>
        <v/>
      </c>
      <c r="D32" s="544">
        <f>IFERROR(IF(INDEX('Final Calculation Sheet'!$AB$4:$AB$40,$BA6-3)="","",INDEX('Final Calculation Sheet'!$AB$4:$AB$40,$BA6-3)),"")</f>
        <v/>
      </c>
      <c r="E32" s="679">
        <f>IFERROR(IF(INDEX('Final Calculation Sheet'!$AB$4:$AB$40,$BA7-3)="","",INDEX('Final Calculation Sheet'!$AB$4:$AB$40,$BA7-3)),"")</f>
        <v/>
      </c>
      <c r="F32" s="544">
        <f>IFERROR(IF(INDEX('Final Calculation Sheet'!$AB$4:$AB$40,$BA8-3)="","",INDEX('Final Calculation Sheet'!$AB$4:$AB$40,$BA8-3)),"")</f>
        <v/>
      </c>
      <c r="G32" s="679">
        <f>IFERROR(IF(INDEX('Final Calculation Sheet'!$AB$4:$AB$40,$BA9-3)="","",INDEX('Final Calculation Sheet'!$AB$4:$AB$40,$BA9-3)),"")</f>
        <v/>
      </c>
      <c r="H32" s="544">
        <f>IFERROR(IF(INDEX('Final Calculation Sheet'!$AB$4:$AB$40,$BA10-3)="","",INDEX('Final Calculation Sheet'!$AB$4:$AB$40,$BA10-3)),"")</f>
        <v/>
      </c>
      <c r="I32" s="679">
        <f>IFERROR(IF(INDEX('Final Calculation Sheet'!$AB$4:$AB$40,$BA11-3)="","",INDEX('Final Calculation Sheet'!$AB$4:$AB$40,$BA11-3)),"")</f>
        <v/>
      </c>
      <c r="J32" s="544">
        <f>IFERROR(IF(INDEX('Final Calculation Sheet'!$AB$4:$AB$40,$BA12-3)="","",INDEX('Final Calculation Sheet'!$AB$4:$AB$40,$BA12-3)),"")</f>
        <v/>
      </c>
      <c r="K32" s="679">
        <f>IFERROR(IF(INDEX('Final Calculation Sheet'!$AB$4:$AB$40,$BA13-3)="","",INDEX('Final Calculation Sheet'!$AB$4:$AB$40,$BA13-3)),"")</f>
        <v/>
      </c>
      <c r="L32" s="544">
        <f>IFERROR(IF(INDEX('Final Calculation Sheet'!$AB$4:$AB$40,$BA14-3)="","",INDEX('Final Calculation Sheet'!$AB$4:$AB$40,$BA14-3)),"")</f>
        <v/>
      </c>
      <c r="M32" s="679">
        <f>IFERROR(IF(INDEX('Final Calculation Sheet'!$AB$4:$AB$40,$BA15-3)="","",INDEX('Final Calculation Sheet'!$AB$4:$AB$40,$BA15-3)),"")</f>
        <v/>
      </c>
      <c r="N32" s="544">
        <f>IFERROR(IF(INDEX('Final Calculation Sheet'!$AB$4:$AB$40,$BA16-3)="","",INDEX('Final Calculation Sheet'!$AB$4:$AB$40,$BA16-3)),"")</f>
        <v/>
      </c>
      <c r="O32" s="679">
        <f>IFERROR(IF(INDEX('Final Calculation Sheet'!$AB$4:$AB$40,$BA17-3)="","",INDEX('Final Calculation Sheet'!$AB$4:$AB$40,$BA17-3)),"")</f>
        <v/>
      </c>
      <c r="P32" s="544">
        <f>IFERROR(IF(INDEX('Final Calculation Sheet'!$AB$4:$AB$40,$BA18-3)="","",INDEX('Final Calculation Sheet'!$AB$4:$AB$40,$BA18-3)),"")</f>
        <v/>
      </c>
      <c r="Q32" s="679">
        <f>IFERROR(IF(INDEX('Final Calculation Sheet'!$AB$4:$AB$40,$BA19-3)="","",INDEX('Final Calculation Sheet'!$AB$4:$AB$40,$BA19-3)),"")</f>
        <v/>
      </c>
      <c r="R32" s="544">
        <f>IFERROR(IF(INDEX('Final Calculation Sheet'!$AB$4:$AB$40,$BA20-3)="","",INDEX('Final Calculation Sheet'!$AB$4:$AB$40,$BA20-3)),"")</f>
        <v/>
      </c>
      <c r="S32" s="679">
        <f>IFERROR(IF(INDEX('Final Calculation Sheet'!$AB$4:$AB$40,$BA21-3)="","",INDEX('Final Calculation Sheet'!$AB$4:$AB$40,$BA21-3)),"")</f>
        <v/>
      </c>
      <c r="T32" s="544">
        <f>IFERROR(IF(INDEX('Final Calculation Sheet'!$AB$4:$AB$40,$BA22-3)="","",INDEX('Final Calculation Sheet'!$AB$4:$AB$40,$BA22-3)),"")</f>
        <v/>
      </c>
      <c r="U32" s="679">
        <f>IFERROR(IF(INDEX('Final Calculation Sheet'!$AB$4:$AB$40,$BA23-3)="","",INDEX('Final Calculation Sheet'!$AB$4:$AB$40,$BA23-3)),"")</f>
        <v/>
      </c>
      <c r="V32" s="544">
        <f>IFERROR(IF(INDEX('Final Calculation Sheet'!$AB$4:$AB$40,$BA24-3)="","",INDEX('Final Calculation Sheet'!$AB$4:$AB$40,$BA24-3)),"")</f>
        <v/>
      </c>
      <c r="W32" s="679">
        <f>IFERROR(IF(INDEX('Final Calculation Sheet'!$AB$4:$AB$40,$BA25-3)="","",INDEX('Final Calculation Sheet'!$AB$4:$AB$40,$BA25-3)),"")</f>
        <v/>
      </c>
      <c r="X32" s="544">
        <f>IFERROR(IF(INDEX('Final Calculation Sheet'!$AB$4:$AB$40,$BA26-3)="","",INDEX('Final Calculation Sheet'!$AB$4:$AB$40,$BA26-3)),"")</f>
        <v/>
      </c>
      <c r="Y32" s="679">
        <f>IFERROR(IF(INDEX('Final Calculation Sheet'!$AB$4:$AB$40,$BA27-3)="","",INDEX('Final Calculation Sheet'!$AB$4:$AB$40,$BA27-3)),"")</f>
        <v/>
      </c>
      <c r="Z32" s="544">
        <f>IFERROR(IF(INDEX('Final Calculation Sheet'!$AB$4:$AB$40,$BA28-3)="","",INDEX('Final Calculation Sheet'!$AB$4:$AB$40,$BA28-3)),"")</f>
        <v/>
      </c>
      <c r="AA32" s="679">
        <f>IFERROR(IF(INDEX('Final Calculation Sheet'!$AB$4:$AB$40,$BA29-3)="","",INDEX('Final Calculation Sheet'!$AB$4:$AB$40,$BA29-3)),"")</f>
        <v/>
      </c>
      <c r="AB32" s="544">
        <f>IFERROR(IF(INDEX('Final Calculation Sheet'!$AB$4:$AB$40,$BA30-3)="","",INDEX('Final Calculation Sheet'!$AB$4:$AB$40,$BA30-3)),"")</f>
        <v/>
      </c>
      <c r="AC32" s="679">
        <f>IFERROR(IF(INDEX('Final Calculation Sheet'!$AB$4:$AB$40,$BA31-3)="","",INDEX('Final Calculation Sheet'!$AB$4:$AB$40,$BA31-3)),"")</f>
        <v/>
      </c>
      <c r="AD32" s="544">
        <f>IFERROR(IF(INDEX('Final Calculation Sheet'!$AB$4:$AB$40,$BA32-3)="","",INDEX('Final Calculation Sheet'!$AB$4:$AB$40,$BA32-3)),"")</f>
        <v/>
      </c>
      <c r="AE32" s="679">
        <f>IFERROR(IF(INDEX('Final Calculation Sheet'!$AB$4:$AB$40,$BA33-3)="","",INDEX('Final Calculation Sheet'!$AB$4:$AB$40,$BA33-3)),"")</f>
        <v/>
      </c>
      <c r="AF32" s="544">
        <f>IFERROR(IF(INDEX('Final Calculation Sheet'!$AB$4:$AB$40,$BA34-3)="","",INDEX('Final Calculation Sheet'!$AB$4:$AB$40,$BA34-3)),"")</f>
        <v/>
      </c>
      <c r="AG32" s="679">
        <f>IFERROR(IF(INDEX('Final Calculation Sheet'!$AB$4:$AB$40,$BA35-3)="","",INDEX('Final Calculation Sheet'!$AB$4:$AB$40,$BA35-3)),"")</f>
        <v/>
      </c>
      <c r="AH32" s="544">
        <f>IFERROR(IF(INDEX('Final Calculation Sheet'!$AB$4:$AB$40,$BA36-3)="","",INDEX('Final Calculation Sheet'!$AB$4:$AB$40,$BA36-3)),"")</f>
        <v/>
      </c>
      <c r="AI32" s="679">
        <f>IFERROR(IF(INDEX('Final Calculation Sheet'!$AB$4:$AB$40,$BA37-3)="","",INDEX('Final Calculation Sheet'!$AB$4:$AB$40,$BA37-3)),"")</f>
        <v/>
      </c>
      <c r="AJ32" s="544">
        <f>IFERROR(IF(INDEX('Final Calculation Sheet'!$AB$4:$AB$40,$BA38-3)="","",INDEX('Final Calculation Sheet'!$AB$4:$AB$40,$BA38-3)),"")</f>
        <v/>
      </c>
      <c r="AK32" s="679">
        <f>IFERROR(IF(INDEX('Final Calculation Sheet'!$AB$4:$AB$40,$BA39-3)="","",INDEX('Final Calculation Sheet'!$AB$4:$AB$40,$BA39-3)),"")</f>
        <v/>
      </c>
      <c r="AL32" s="544">
        <f>IFERROR(IF(INDEX('Final Calculation Sheet'!$AB$4:$AB$40,$BA40-3)="","",INDEX('Final Calculation Sheet'!$AB$4:$AB$40,$BA40-3)),"")</f>
        <v/>
      </c>
      <c r="AM32" s="750" t="inlineStr">
        <is>
          <t>–</t>
        </is>
      </c>
      <c r="AO32" t="inlineStr">
        <is>
          <t>Total Received</t>
        </is>
      </c>
      <c r="AW32">
        <f>IF(OR($B$3="ALL BUYERS",'Final Calculation Sheet'!$G32=$B$3),IF($D$3="— no row filter —",1,IF($F$3="is blank",IF(INDEX('Final Calculation Sheet'!$A$4:$AG$40,32-3,$AU$2)="",1,0),IF($F$3="is not blank",IF(INDEX('Final Calculation Sheet'!$A$4:$AG$40,32-3,$AU$2)="",0,1),IF($F$3="contains",IF(ISNUMBER(SEARCH($H$3,INDEX('Final Calculation Sheet'!$A$4:$AG$40,32-3,$AU$2))),1,0),IF($F$3="=",IF(INDEX('Final Calculation Sheet'!$A$4:$AG$40,32-3,$AU$2)=$H$3,1,0),IF($F$3="&lt;&gt;",IF(INDEX('Final Calculation Sheet'!$A$4:$AG$40,32-3,$AU$2)=$H$3,0,1),IF($F$3="&gt;",IF(N(INDEX('Final Calculation Sheet'!$A$4:$AG$40,32-3,$AU$2))&gt;N($H$3),1,0),IF($F$3="&gt;=",IF(N(INDEX('Final Calculation Sheet'!$A$4:$AG$40,32-3,$AU$2))&gt;=N($H$3),1,0),IF($F$3="&lt;",IF(N(INDEX('Final Calculation Sheet'!$A$4:$AG$40,32-3,$AU$2))&lt;N($H$3),1,0),IF($F$3="&lt;=",IF(N(INDEX('Final Calculation Sheet'!$A$4:$AG$40,32-3,$AU$2))&lt;=N($H$3),1,0),0)))))))))),0)</f>
        <v/>
      </c>
      <c r="AY32">
        <f>IF(AW32=1,SUM($AW$4:AW32),"")</f>
        <v/>
      </c>
      <c r="BA32">
        <f>IFERROR(MATCH(29,$AY$4:$AY$40,0)+3,"")</f>
        <v/>
      </c>
    </row>
    <row r="33" ht="15" customHeight="1">
      <c r="A33" s="675" t="inlineStr">
        <is>
          <t>Total Received</t>
        </is>
      </c>
      <c r="B33" s="544">
        <f>IFERROR(IF(INDEX('Final Calculation Sheet'!$AC$4:$AC$40,$BA4-3)="","",INDEX('Final Calculation Sheet'!$AC$4:$AC$40,$BA4-3)),"")</f>
        <v/>
      </c>
      <c r="C33" s="679">
        <f>IFERROR(IF(INDEX('Final Calculation Sheet'!$AC$4:$AC$40,$BA5-3)="","",INDEX('Final Calculation Sheet'!$AC$4:$AC$40,$BA5-3)),"")</f>
        <v/>
      </c>
      <c r="D33" s="544">
        <f>IFERROR(IF(INDEX('Final Calculation Sheet'!$AC$4:$AC$40,$BA6-3)="","",INDEX('Final Calculation Sheet'!$AC$4:$AC$40,$BA6-3)),"")</f>
        <v/>
      </c>
      <c r="E33" s="679">
        <f>IFERROR(IF(INDEX('Final Calculation Sheet'!$AC$4:$AC$40,$BA7-3)="","",INDEX('Final Calculation Sheet'!$AC$4:$AC$40,$BA7-3)),"")</f>
        <v/>
      </c>
      <c r="F33" s="544">
        <f>IFERROR(IF(INDEX('Final Calculation Sheet'!$AC$4:$AC$40,$BA8-3)="","",INDEX('Final Calculation Sheet'!$AC$4:$AC$40,$BA8-3)),"")</f>
        <v/>
      </c>
      <c r="G33" s="679">
        <f>IFERROR(IF(INDEX('Final Calculation Sheet'!$AC$4:$AC$40,$BA9-3)="","",INDEX('Final Calculation Sheet'!$AC$4:$AC$40,$BA9-3)),"")</f>
        <v/>
      </c>
      <c r="H33" s="544">
        <f>IFERROR(IF(INDEX('Final Calculation Sheet'!$AC$4:$AC$40,$BA10-3)="","",INDEX('Final Calculation Sheet'!$AC$4:$AC$40,$BA10-3)),"")</f>
        <v/>
      </c>
      <c r="I33" s="679">
        <f>IFERROR(IF(INDEX('Final Calculation Sheet'!$AC$4:$AC$40,$BA11-3)="","",INDEX('Final Calculation Sheet'!$AC$4:$AC$40,$BA11-3)),"")</f>
        <v/>
      </c>
      <c r="J33" s="544">
        <f>IFERROR(IF(INDEX('Final Calculation Sheet'!$AC$4:$AC$40,$BA12-3)="","",INDEX('Final Calculation Sheet'!$AC$4:$AC$40,$BA12-3)),"")</f>
        <v/>
      </c>
      <c r="K33" s="679">
        <f>IFERROR(IF(INDEX('Final Calculation Sheet'!$AC$4:$AC$40,$BA13-3)="","",INDEX('Final Calculation Sheet'!$AC$4:$AC$40,$BA13-3)),"")</f>
        <v/>
      </c>
      <c r="L33" s="544">
        <f>IFERROR(IF(INDEX('Final Calculation Sheet'!$AC$4:$AC$40,$BA14-3)="","",INDEX('Final Calculation Sheet'!$AC$4:$AC$40,$BA14-3)),"")</f>
        <v/>
      </c>
      <c r="M33" s="679">
        <f>IFERROR(IF(INDEX('Final Calculation Sheet'!$AC$4:$AC$40,$BA15-3)="","",INDEX('Final Calculation Sheet'!$AC$4:$AC$40,$BA15-3)),"")</f>
        <v/>
      </c>
      <c r="N33" s="544">
        <f>IFERROR(IF(INDEX('Final Calculation Sheet'!$AC$4:$AC$40,$BA16-3)="","",INDEX('Final Calculation Sheet'!$AC$4:$AC$40,$BA16-3)),"")</f>
        <v/>
      </c>
      <c r="O33" s="679">
        <f>IFERROR(IF(INDEX('Final Calculation Sheet'!$AC$4:$AC$40,$BA17-3)="","",INDEX('Final Calculation Sheet'!$AC$4:$AC$40,$BA17-3)),"")</f>
        <v/>
      </c>
      <c r="P33" s="544">
        <f>IFERROR(IF(INDEX('Final Calculation Sheet'!$AC$4:$AC$40,$BA18-3)="","",INDEX('Final Calculation Sheet'!$AC$4:$AC$40,$BA18-3)),"")</f>
        <v/>
      </c>
      <c r="Q33" s="679">
        <f>IFERROR(IF(INDEX('Final Calculation Sheet'!$AC$4:$AC$40,$BA19-3)="","",INDEX('Final Calculation Sheet'!$AC$4:$AC$40,$BA19-3)),"")</f>
        <v/>
      </c>
      <c r="R33" s="544">
        <f>IFERROR(IF(INDEX('Final Calculation Sheet'!$AC$4:$AC$40,$BA20-3)="","",INDEX('Final Calculation Sheet'!$AC$4:$AC$40,$BA20-3)),"")</f>
        <v/>
      </c>
      <c r="S33" s="679">
        <f>IFERROR(IF(INDEX('Final Calculation Sheet'!$AC$4:$AC$40,$BA21-3)="","",INDEX('Final Calculation Sheet'!$AC$4:$AC$40,$BA21-3)),"")</f>
        <v/>
      </c>
      <c r="T33" s="544">
        <f>IFERROR(IF(INDEX('Final Calculation Sheet'!$AC$4:$AC$40,$BA22-3)="","",INDEX('Final Calculation Sheet'!$AC$4:$AC$40,$BA22-3)),"")</f>
        <v/>
      </c>
      <c r="U33" s="679">
        <f>IFERROR(IF(INDEX('Final Calculation Sheet'!$AC$4:$AC$40,$BA23-3)="","",INDEX('Final Calculation Sheet'!$AC$4:$AC$40,$BA23-3)),"")</f>
        <v/>
      </c>
      <c r="V33" s="544">
        <f>IFERROR(IF(INDEX('Final Calculation Sheet'!$AC$4:$AC$40,$BA24-3)="","",INDEX('Final Calculation Sheet'!$AC$4:$AC$40,$BA24-3)),"")</f>
        <v/>
      </c>
      <c r="W33" s="679">
        <f>IFERROR(IF(INDEX('Final Calculation Sheet'!$AC$4:$AC$40,$BA25-3)="","",INDEX('Final Calculation Sheet'!$AC$4:$AC$40,$BA25-3)),"")</f>
        <v/>
      </c>
      <c r="X33" s="544">
        <f>IFERROR(IF(INDEX('Final Calculation Sheet'!$AC$4:$AC$40,$BA26-3)="","",INDEX('Final Calculation Sheet'!$AC$4:$AC$40,$BA26-3)),"")</f>
        <v/>
      </c>
      <c r="Y33" s="679">
        <f>IFERROR(IF(INDEX('Final Calculation Sheet'!$AC$4:$AC$40,$BA27-3)="","",INDEX('Final Calculation Sheet'!$AC$4:$AC$40,$BA27-3)),"")</f>
        <v/>
      </c>
      <c r="Z33" s="544">
        <f>IFERROR(IF(INDEX('Final Calculation Sheet'!$AC$4:$AC$40,$BA28-3)="","",INDEX('Final Calculation Sheet'!$AC$4:$AC$40,$BA28-3)),"")</f>
        <v/>
      </c>
      <c r="AA33" s="679">
        <f>IFERROR(IF(INDEX('Final Calculation Sheet'!$AC$4:$AC$40,$BA29-3)="","",INDEX('Final Calculation Sheet'!$AC$4:$AC$40,$BA29-3)),"")</f>
        <v/>
      </c>
      <c r="AB33" s="544">
        <f>IFERROR(IF(INDEX('Final Calculation Sheet'!$AC$4:$AC$40,$BA30-3)="","",INDEX('Final Calculation Sheet'!$AC$4:$AC$40,$BA30-3)),"")</f>
        <v/>
      </c>
      <c r="AC33" s="679">
        <f>IFERROR(IF(INDEX('Final Calculation Sheet'!$AC$4:$AC$40,$BA31-3)="","",INDEX('Final Calculation Sheet'!$AC$4:$AC$40,$BA31-3)),"")</f>
        <v/>
      </c>
      <c r="AD33" s="544">
        <f>IFERROR(IF(INDEX('Final Calculation Sheet'!$AC$4:$AC$40,$BA32-3)="","",INDEX('Final Calculation Sheet'!$AC$4:$AC$40,$BA32-3)),"")</f>
        <v/>
      </c>
      <c r="AE33" s="679">
        <f>IFERROR(IF(INDEX('Final Calculation Sheet'!$AC$4:$AC$40,$BA33-3)="","",INDEX('Final Calculation Sheet'!$AC$4:$AC$40,$BA33-3)),"")</f>
        <v/>
      </c>
      <c r="AF33" s="544">
        <f>IFERROR(IF(INDEX('Final Calculation Sheet'!$AC$4:$AC$40,$BA34-3)="","",INDEX('Final Calculation Sheet'!$AC$4:$AC$40,$BA34-3)),"")</f>
        <v/>
      </c>
      <c r="AG33" s="679">
        <f>IFERROR(IF(INDEX('Final Calculation Sheet'!$AC$4:$AC$40,$BA35-3)="","",INDEX('Final Calculation Sheet'!$AC$4:$AC$40,$BA35-3)),"")</f>
        <v/>
      </c>
      <c r="AH33" s="544">
        <f>IFERROR(IF(INDEX('Final Calculation Sheet'!$AC$4:$AC$40,$BA36-3)="","",INDEX('Final Calculation Sheet'!$AC$4:$AC$40,$BA36-3)),"")</f>
        <v/>
      </c>
      <c r="AI33" s="679">
        <f>IFERROR(IF(INDEX('Final Calculation Sheet'!$AC$4:$AC$40,$BA37-3)="","",INDEX('Final Calculation Sheet'!$AC$4:$AC$40,$BA37-3)),"")</f>
        <v/>
      </c>
      <c r="AJ33" s="544">
        <f>IFERROR(IF(INDEX('Final Calculation Sheet'!$AC$4:$AC$40,$BA38-3)="","",INDEX('Final Calculation Sheet'!$AC$4:$AC$40,$BA38-3)),"")</f>
        <v/>
      </c>
      <c r="AK33" s="679">
        <f>IFERROR(IF(INDEX('Final Calculation Sheet'!$AC$4:$AC$40,$BA39-3)="","",INDEX('Final Calculation Sheet'!$AC$4:$AC$40,$BA39-3)),"")</f>
        <v/>
      </c>
      <c r="AL33" s="544">
        <f>IFERROR(IF(INDEX('Final Calculation Sheet'!$AC$4:$AC$40,$BA40-3)="","",INDEX('Final Calculation Sheet'!$AC$4:$AC$40,$BA40-3)),"")</f>
        <v/>
      </c>
      <c r="AM33" s="680">
        <f>IF(COUNT(B33:AL33)=0,"",SUM(B33:AL33))</f>
        <v/>
      </c>
      <c r="AO33" t="inlineStr">
        <is>
          <t>Outstanding</t>
        </is>
      </c>
      <c r="AW33">
        <f>IF(OR($B$3="ALL BUYERS",'Final Calculation Sheet'!$G33=$B$3),IF($D$3="— no row filter —",1,IF($F$3="is blank",IF(INDEX('Final Calculation Sheet'!$A$4:$AG$40,33-3,$AU$2)="",1,0),IF($F$3="is not blank",IF(INDEX('Final Calculation Sheet'!$A$4:$AG$40,33-3,$AU$2)="",0,1),IF($F$3="contains",IF(ISNUMBER(SEARCH($H$3,INDEX('Final Calculation Sheet'!$A$4:$AG$40,33-3,$AU$2))),1,0),IF($F$3="=",IF(INDEX('Final Calculation Sheet'!$A$4:$AG$40,33-3,$AU$2)=$H$3,1,0),IF($F$3="&lt;&gt;",IF(INDEX('Final Calculation Sheet'!$A$4:$AG$40,33-3,$AU$2)=$H$3,0,1),IF($F$3="&gt;",IF(N(INDEX('Final Calculation Sheet'!$A$4:$AG$40,33-3,$AU$2))&gt;N($H$3),1,0),IF($F$3="&gt;=",IF(N(INDEX('Final Calculation Sheet'!$A$4:$AG$40,33-3,$AU$2))&gt;=N($H$3),1,0),IF($F$3="&lt;",IF(N(INDEX('Final Calculation Sheet'!$A$4:$AG$40,33-3,$AU$2))&lt;N($H$3),1,0),IF($F$3="&lt;=",IF(N(INDEX('Final Calculation Sheet'!$A$4:$AG$40,33-3,$AU$2))&lt;=N($H$3),1,0),0)))))))))),0)</f>
        <v/>
      </c>
      <c r="AY33">
        <f>IF(AW33=1,SUM($AW$4:AW33),"")</f>
        <v/>
      </c>
      <c r="BA33">
        <f>IFERROR(MATCH(30,$AY$4:$AY$40,0)+3,"")</f>
        <v/>
      </c>
    </row>
    <row r="34" ht="15" customHeight="1">
      <c r="A34" s="678" t="inlineStr">
        <is>
          <t>Outstanding</t>
        </is>
      </c>
      <c r="B34" s="544">
        <f>IFERROR(IF(INDEX('Final Calculation Sheet'!$AD$4:$AD$40,$BA4-3)="","",INDEX('Final Calculation Sheet'!$AD$4:$AD$40,$BA4-3)),"")</f>
        <v/>
      </c>
      <c r="C34" s="679">
        <f>IFERROR(IF(INDEX('Final Calculation Sheet'!$AD$4:$AD$40,$BA5-3)="","",INDEX('Final Calculation Sheet'!$AD$4:$AD$40,$BA5-3)),"")</f>
        <v/>
      </c>
      <c r="D34" s="544">
        <f>IFERROR(IF(INDEX('Final Calculation Sheet'!$AD$4:$AD$40,$BA6-3)="","",INDEX('Final Calculation Sheet'!$AD$4:$AD$40,$BA6-3)),"")</f>
        <v/>
      </c>
      <c r="E34" s="679">
        <f>IFERROR(IF(INDEX('Final Calculation Sheet'!$AD$4:$AD$40,$BA7-3)="","",INDEX('Final Calculation Sheet'!$AD$4:$AD$40,$BA7-3)),"")</f>
        <v/>
      </c>
      <c r="F34" s="544">
        <f>IFERROR(IF(INDEX('Final Calculation Sheet'!$AD$4:$AD$40,$BA8-3)="","",INDEX('Final Calculation Sheet'!$AD$4:$AD$40,$BA8-3)),"")</f>
        <v/>
      </c>
      <c r="G34" s="679">
        <f>IFERROR(IF(INDEX('Final Calculation Sheet'!$AD$4:$AD$40,$BA9-3)="","",INDEX('Final Calculation Sheet'!$AD$4:$AD$40,$BA9-3)),"")</f>
        <v/>
      </c>
      <c r="H34" s="544">
        <f>IFERROR(IF(INDEX('Final Calculation Sheet'!$AD$4:$AD$40,$BA10-3)="","",INDEX('Final Calculation Sheet'!$AD$4:$AD$40,$BA10-3)),"")</f>
        <v/>
      </c>
      <c r="I34" s="679">
        <f>IFERROR(IF(INDEX('Final Calculation Sheet'!$AD$4:$AD$40,$BA11-3)="","",INDEX('Final Calculation Sheet'!$AD$4:$AD$40,$BA11-3)),"")</f>
        <v/>
      </c>
      <c r="J34" s="544">
        <f>IFERROR(IF(INDEX('Final Calculation Sheet'!$AD$4:$AD$40,$BA12-3)="","",INDEX('Final Calculation Sheet'!$AD$4:$AD$40,$BA12-3)),"")</f>
        <v/>
      </c>
      <c r="K34" s="679">
        <f>IFERROR(IF(INDEX('Final Calculation Sheet'!$AD$4:$AD$40,$BA13-3)="","",INDEX('Final Calculation Sheet'!$AD$4:$AD$40,$BA13-3)),"")</f>
        <v/>
      </c>
      <c r="L34" s="544">
        <f>IFERROR(IF(INDEX('Final Calculation Sheet'!$AD$4:$AD$40,$BA14-3)="","",INDEX('Final Calculation Sheet'!$AD$4:$AD$40,$BA14-3)),"")</f>
        <v/>
      </c>
      <c r="M34" s="679">
        <f>IFERROR(IF(INDEX('Final Calculation Sheet'!$AD$4:$AD$40,$BA15-3)="","",INDEX('Final Calculation Sheet'!$AD$4:$AD$40,$BA15-3)),"")</f>
        <v/>
      </c>
      <c r="N34" s="544">
        <f>IFERROR(IF(INDEX('Final Calculation Sheet'!$AD$4:$AD$40,$BA16-3)="","",INDEX('Final Calculation Sheet'!$AD$4:$AD$40,$BA16-3)),"")</f>
        <v/>
      </c>
      <c r="O34" s="679">
        <f>IFERROR(IF(INDEX('Final Calculation Sheet'!$AD$4:$AD$40,$BA17-3)="","",INDEX('Final Calculation Sheet'!$AD$4:$AD$40,$BA17-3)),"")</f>
        <v/>
      </c>
      <c r="P34" s="544">
        <f>IFERROR(IF(INDEX('Final Calculation Sheet'!$AD$4:$AD$40,$BA18-3)="","",INDEX('Final Calculation Sheet'!$AD$4:$AD$40,$BA18-3)),"")</f>
        <v/>
      </c>
      <c r="Q34" s="679">
        <f>IFERROR(IF(INDEX('Final Calculation Sheet'!$AD$4:$AD$40,$BA19-3)="","",INDEX('Final Calculation Sheet'!$AD$4:$AD$40,$BA19-3)),"")</f>
        <v/>
      </c>
      <c r="R34" s="544">
        <f>IFERROR(IF(INDEX('Final Calculation Sheet'!$AD$4:$AD$40,$BA20-3)="","",INDEX('Final Calculation Sheet'!$AD$4:$AD$40,$BA20-3)),"")</f>
        <v/>
      </c>
      <c r="S34" s="679">
        <f>IFERROR(IF(INDEX('Final Calculation Sheet'!$AD$4:$AD$40,$BA21-3)="","",INDEX('Final Calculation Sheet'!$AD$4:$AD$40,$BA21-3)),"")</f>
        <v/>
      </c>
      <c r="T34" s="544">
        <f>IFERROR(IF(INDEX('Final Calculation Sheet'!$AD$4:$AD$40,$BA22-3)="","",INDEX('Final Calculation Sheet'!$AD$4:$AD$40,$BA22-3)),"")</f>
        <v/>
      </c>
      <c r="U34" s="679">
        <f>IFERROR(IF(INDEX('Final Calculation Sheet'!$AD$4:$AD$40,$BA23-3)="","",INDEX('Final Calculation Sheet'!$AD$4:$AD$40,$BA23-3)),"")</f>
        <v/>
      </c>
      <c r="V34" s="544">
        <f>IFERROR(IF(INDEX('Final Calculation Sheet'!$AD$4:$AD$40,$BA24-3)="","",INDEX('Final Calculation Sheet'!$AD$4:$AD$40,$BA24-3)),"")</f>
        <v/>
      </c>
      <c r="W34" s="679">
        <f>IFERROR(IF(INDEX('Final Calculation Sheet'!$AD$4:$AD$40,$BA25-3)="","",INDEX('Final Calculation Sheet'!$AD$4:$AD$40,$BA25-3)),"")</f>
        <v/>
      </c>
      <c r="X34" s="544">
        <f>IFERROR(IF(INDEX('Final Calculation Sheet'!$AD$4:$AD$40,$BA26-3)="","",INDEX('Final Calculation Sheet'!$AD$4:$AD$40,$BA26-3)),"")</f>
        <v/>
      </c>
      <c r="Y34" s="679">
        <f>IFERROR(IF(INDEX('Final Calculation Sheet'!$AD$4:$AD$40,$BA27-3)="","",INDEX('Final Calculation Sheet'!$AD$4:$AD$40,$BA27-3)),"")</f>
        <v/>
      </c>
      <c r="Z34" s="544">
        <f>IFERROR(IF(INDEX('Final Calculation Sheet'!$AD$4:$AD$40,$BA28-3)="","",INDEX('Final Calculation Sheet'!$AD$4:$AD$40,$BA28-3)),"")</f>
        <v/>
      </c>
      <c r="AA34" s="679">
        <f>IFERROR(IF(INDEX('Final Calculation Sheet'!$AD$4:$AD$40,$BA29-3)="","",INDEX('Final Calculation Sheet'!$AD$4:$AD$40,$BA29-3)),"")</f>
        <v/>
      </c>
      <c r="AB34" s="544">
        <f>IFERROR(IF(INDEX('Final Calculation Sheet'!$AD$4:$AD$40,$BA30-3)="","",INDEX('Final Calculation Sheet'!$AD$4:$AD$40,$BA30-3)),"")</f>
        <v/>
      </c>
      <c r="AC34" s="679">
        <f>IFERROR(IF(INDEX('Final Calculation Sheet'!$AD$4:$AD$40,$BA31-3)="","",INDEX('Final Calculation Sheet'!$AD$4:$AD$40,$BA31-3)),"")</f>
        <v/>
      </c>
      <c r="AD34" s="544">
        <f>IFERROR(IF(INDEX('Final Calculation Sheet'!$AD$4:$AD$40,$BA32-3)="","",INDEX('Final Calculation Sheet'!$AD$4:$AD$40,$BA32-3)),"")</f>
        <v/>
      </c>
      <c r="AE34" s="679">
        <f>IFERROR(IF(INDEX('Final Calculation Sheet'!$AD$4:$AD$40,$BA33-3)="","",INDEX('Final Calculation Sheet'!$AD$4:$AD$40,$BA33-3)),"")</f>
        <v/>
      </c>
      <c r="AF34" s="544">
        <f>IFERROR(IF(INDEX('Final Calculation Sheet'!$AD$4:$AD$40,$BA34-3)="","",INDEX('Final Calculation Sheet'!$AD$4:$AD$40,$BA34-3)),"")</f>
        <v/>
      </c>
      <c r="AG34" s="679">
        <f>IFERROR(IF(INDEX('Final Calculation Sheet'!$AD$4:$AD$40,$BA35-3)="","",INDEX('Final Calculation Sheet'!$AD$4:$AD$40,$BA35-3)),"")</f>
        <v/>
      </c>
      <c r="AH34" s="544">
        <f>IFERROR(IF(INDEX('Final Calculation Sheet'!$AD$4:$AD$40,$BA36-3)="","",INDEX('Final Calculation Sheet'!$AD$4:$AD$40,$BA36-3)),"")</f>
        <v/>
      </c>
      <c r="AI34" s="679">
        <f>IFERROR(IF(INDEX('Final Calculation Sheet'!$AD$4:$AD$40,$BA37-3)="","",INDEX('Final Calculation Sheet'!$AD$4:$AD$40,$BA37-3)),"")</f>
        <v/>
      </c>
      <c r="AJ34" s="544">
        <f>IFERROR(IF(INDEX('Final Calculation Sheet'!$AD$4:$AD$40,$BA38-3)="","",INDEX('Final Calculation Sheet'!$AD$4:$AD$40,$BA38-3)),"")</f>
        <v/>
      </c>
      <c r="AK34" s="679">
        <f>IFERROR(IF(INDEX('Final Calculation Sheet'!$AD$4:$AD$40,$BA39-3)="","",INDEX('Final Calculation Sheet'!$AD$4:$AD$40,$BA39-3)),"")</f>
        <v/>
      </c>
      <c r="AL34" s="544">
        <f>IFERROR(IF(INDEX('Final Calculation Sheet'!$AD$4:$AD$40,$BA40-3)="","",INDEX('Final Calculation Sheet'!$AD$4:$AD$40,$BA40-3)),"")</f>
        <v/>
      </c>
      <c r="AM34" s="680">
        <f>IF(COUNT(B34:AL34)=0,"",SUM(B34:AL34))</f>
        <v/>
      </c>
      <c r="AO34" t="inlineStr">
        <is>
          <t>Invoice No.</t>
        </is>
      </c>
      <c r="AW34">
        <f>IF(OR($B$3="ALL BUYERS",'Final Calculation Sheet'!$G34=$B$3),IF($D$3="— no row filter —",1,IF($F$3="is blank",IF(INDEX('Final Calculation Sheet'!$A$4:$AG$40,34-3,$AU$2)="",1,0),IF($F$3="is not blank",IF(INDEX('Final Calculation Sheet'!$A$4:$AG$40,34-3,$AU$2)="",0,1),IF($F$3="contains",IF(ISNUMBER(SEARCH($H$3,INDEX('Final Calculation Sheet'!$A$4:$AG$40,34-3,$AU$2))),1,0),IF($F$3="=",IF(INDEX('Final Calculation Sheet'!$A$4:$AG$40,34-3,$AU$2)=$H$3,1,0),IF($F$3="&lt;&gt;",IF(INDEX('Final Calculation Sheet'!$A$4:$AG$40,34-3,$AU$2)=$H$3,0,1),IF($F$3="&gt;",IF(N(INDEX('Final Calculation Sheet'!$A$4:$AG$40,34-3,$AU$2))&gt;N($H$3),1,0),IF($F$3="&gt;=",IF(N(INDEX('Final Calculation Sheet'!$A$4:$AG$40,34-3,$AU$2))&gt;=N($H$3),1,0),IF($F$3="&lt;",IF(N(INDEX('Final Calculation Sheet'!$A$4:$AG$40,34-3,$AU$2))&lt;N($H$3),1,0),IF($F$3="&lt;=",IF(N(INDEX('Final Calculation Sheet'!$A$4:$AG$40,34-3,$AU$2))&lt;=N($H$3),1,0),0)))))))))),0)</f>
        <v/>
      </c>
      <c r="AY34">
        <f>IF(AW34=1,SUM($AW$4:AW34),"")</f>
        <v/>
      </c>
      <c r="BA34">
        <f>IFERROR(MATCH(31,$AY$4:$AY$40,0)+3,"")</f>
        <v/>
      </c>
    </row>
    <row r="35" ht="15" customHeight="1">
      <c r="A35" s="675" t="inlineStr">
        <is>
          <t>Invoice No.</t>
        </is>
      </c>
      <c r="B35" s="544">
        <f>IFERROR(IF(INDEX('Final Calculation Sheet'!$AE$4:$AE$40,$BA4-3)="","",INDEX('Final Calculation Sheet'!$AE$4:$AE$40,$BA4-3)),"")</f>
        <v/>
      </c>
      <c r="C35" s="679">
        <f>IFERROR(IF(INDEX('Final Calculation Sheet'!$AE$4:$AE$40,$BA5-3)="","",INDEX('Final Calculation Sheet'!$AE$4:$AE$40,$BA5-3)),"")</f>
        <v/>
      </c>
      <c r="D35" s="544">
        <f>IFERROR(IF(INDEX('Final Calculation Sheet'!$AE$4:$AE$40,$BA6-3)="","",INDEX('Final Calculation Sheet'!$AE$4:$AE$40,$BA6-3)),"")</f>
        <v/>
      </c>
      <c r="E35" s="679">
        <f>IFERROR(IF(INDEX('Final Calculation Sheet'!$AE$4:$AE$40,$BA7-3)="","",INDEX('Final Calculation Sheet'!$AE$4:$AE$40,$BA7-3)),"")</f>
        <v/>
      </c>
      <c r="F35" s="544">
        <f>IFERROR(IF(INDEX('Final Calculation Sheet'!$AE$4:$AE$40,$BA8-3)="","",INDEX('Final Calculation Sheet'!$AE$4:$AE$40,$BA8-3)),"")</f>
        <v/>
      </c>
      <c r="G35" s="679">
        <f>IFERROR(IF(INDEX('Final Calculation Sheet'!$AE$4:$AE$40,$BA9-3)="","",INDEX('Final Calculation Sheet'!$AE$4:$AE$40,$BA9-3)),"")</f>
        <v/>
      </c>
      <c r="H35" s="544">
        <f>IFERROR(IF(INDEX('Final Calculation Sheet'!$AE$4:$AE$40,$BA10-3)="","",INDEX('Final Calculation Sheet'!$AE$4:$AE$40,$BA10-3)),"")</f>
        <v/>
      </c>
      <c r="I35" s="679">
        <f>IFERROR(IF(INDEX('Final Calculation Sheet'!$AE$4:$AE$40,$BA11-3)="","",INDEX('Final Calculation Sheet'!$AE$4:$AE$40,$BA11-3)),"")</f>
        <v/>
      </c>
      <c r="J35" s="544">
        <f>IFERROR(IF(INDEX('Final Calculation Sheet'!$AE$4:$AE$40,$BA12-3)="","",INDEX('Final Calculation Sheet'!$AE$4:$AE$40,$BA12-3)),"")</f>
        <v/>
      </c>
      <c r="K35" s="679">
        <f>IFERROR(IF(INDEX('Final Calculation Sheet'!$AE$4:$AE$40,$BA13-3)="","",INDEX('Final Calculation Sheet'!$AE$4:$AE$40,$BA13-3)),"")</f>
        <v/>
      </c>
      <c r="L35" s="544">
        <f>IFERROR(IF(INDEX('Final Calculation Sheet'!$AE$4:$AE$40,$BA14-3)="","",INDEX('Final Calculation Sheet'!$AE$4:$AE$40,$BA14-3)),"")</f>
        <v/>
      </c>
      <c r="M35" s="679">
        <f>IFERROR(IF(INDEX('Final Calculation Sheet'!$AE$4:$AE$40,$BA15-3)="","",INDEX('Final Calculation Sheet'!$AE$4:$AE$40,$BA15-3)),"")</f>
        <v/>
      </c>
      <c r="N35" s="544">
        <f>IFERROR(IF(INDEX('Final Calculation Sheet'!$AE$4:$AE$40,$BA16-3)="","",INDEX('Final Calculation Sheet'!$AE$4:$AE$40,$BA16-3)),"")</f>
        <v/>
      </c>
      <c r="O35" s="679">
        <f>IFERROR(IF(INDEX('Final Calculation Sheet'!$AE$4:$AE$40,$BA17-3)="","",INDEX('Final Calculation Sheet'!$AE$4:$AE$40,$BA17-3)),"")</f>
        <v/>
      </c>
      <c r="P35" s="544">
        <f>IFERROR(IF(INDEX('Final Calculation Sheet'!$AE$4:$AE$40,$BA18-3)="","",INDEX('Final Calculation Sheet'!$AE$4:$AE$40,$BA18-3)),"")</f>
        <v/>
      </c>
      <c r="Q35" s="679">
        <f>IFERROR(IF(INDEX('Final Calculation Sheet'!$AE$4:$AE$40,$BA19-3)="","",INDEX('Final Calculation Sheet'!$AE$4:$AE$40,$BA19-3)),"")</f>
        <v/>
      </c>
      <c r="R35" s="544">
        <f>IFERROR(IF(INDEX('Final Calculation Sheet'!$AE$4:$AE$40,$BA20-3)="","",INDEX('Final Calculation Sheet'!$AE$4:$AE$40,$BA20-3)),"")</f>
        <v/>
      </c>
      <c r="S35" s="679">
        <f>IFERROR(IF(INDEX('Final Calculation Sheet'!$AE$4:$AE$40,$BA21-3)="","",INDEX('Final Calculation Sheet'!$AE$4:$AE$40,$BA21-3)),"")</f>
        <v/>
      </c>
      <c r="T35" s="544">
        <f>IFERROR(IF(INDEX('Final Calculation Sheet'!$AE$4:$AE$40,$BA22-3)="","",INDEX('Final Calculation Sheet'!$AE$4:$AE$40,$BA22-3)),"")</f>
        <v/>
      </c>
      <c r="U35" s="679">
        <f>IFERROR(IF(INDEX('Final Calculation Sheet'!$AE$4:$AE$40,$BA23-3)="","",INDEX('Final Calculation Sheet'!$AE$4:$AE$40,$BA23-3)),"")</f>
        <v/>
      </c>
      <c r="V35" s="544">
        <f>IFERROR(IF(INDEX('Final Calculation Sheet'!$AE$4:$AE$40,$BA24-3)="","",INDEX('Final Calculation Sheet'!$AE$4:$AE$40,$BA24-3)),"")</f>
        <v/>
      </c>
      <c r="W35" s="679">
        <f>IFERROR(IF(INDEX('Final Calculation Sheet'!$AE$4:$AE$40,$BA25-3)="","",INDEX('Final Calculation Sheet'!$AE$4:$AE$40,$BA25-3)),"")</f>
        <v/>
      </c>
      <c r="X35" s="544">
        <f>IFERROR(IF(INDEX('Final Calculation Sheet'!$AE$4:$AE$40,$BA26-3)="","",INDEX('Final Calculation Sheet'!$AE$4:$AE$40,$BA26-3)),"")</f>
        <v/>
      </c>
      <c r="Y35" s="679">
        <f>IFERROR(IF(INDEX('Final Calculation Sheet'!$AE$4:$AE$40,$BA27-3)="","",INDEX('Final Calculation Sheet'!$AE$4:$AE$40,$BA27-3)),"")</f>
        <v/>
      </c>
      <c r="Z35" s="544">
        <f>IFERROR(IF(INDEX('Final Calculation Sheet'!$AE$4:$AE$40,$BA28-3)="","",INDEX('Final Calculation Sheet'!$AE$4:$AE$40,$BA28-3)),"")</f>
        <v/>
      </c>
      <c r="AA35" s="679">
        <f>IFERROR(IF(INDEX('Final Calculation Sheet'!$AE$4:$AE$40,$BA29-3)="","",INDEX('Final Calculation Sheet'!$AE$4:$AE$40,$BA29-3)),"")</f>
        <v/>
      </c>
      <c r="AB35" s="544">
        <f>IFERROR(IF(INDEX('Final Calculation Sheet'!$AE$4:$AE$40,$BA30-3)="","",INDEX('Final Calculation Sheet'!$AE$4:$AE$40,$BA30-3)),"")</f>
        <v/>
      </c>
      <c r="AC35" s="679">
        <f>IFERROR(IF(INDEX('Final Calculation Sheet'!$AE$4:$AE$40,$BA31-3)="","",INDEX('Final Calculation Sheet'!$AE$4:$AE$40,$BA31-3)),"")</f>
        <v/>
      </c>
      <c r="AD35" s="544">
        <f>IFERROR(IF(INDEX('Final Calculation Sheet'!$AE$4:$AE$40,$BA32-3)="","",INDEX('Final Calculation Sheet'!$AE$4:$AE$40,$BA32-3)),"")</f>
        <v/>
      </c>
      <c r="AE35" s="679">
        <f>IFERROR(IF(INDEX('Final Calculation Sheet'!$AE$4:$AE$40,$BA33-3)="","",INDEX('Final Calculation Sheet'!$AE$4:$AE$40,$BA33-3)),"")</f>
        <v/>
      </c>
      <c r="AF35" s="544">
        <f>IFERROR(IF(INDEX('Final Calculation Sheet'!$AE$4:$AE$40,$BA34-3)="","",INDEX('Final Calculation Sheet'!$AE$4:$AE$40,$BA34-3)),"")</f>
        <v/>
      </c>
      <c r="AG35" s="679">
        <f>IFERROR(IF(INDEX('Final Calculation Sheet'!$AE$4:$AE$40,$BA35-3)="","",INDEX('Final Calculation Sheet'!$AE$4:$AE$40,$BA35-3)),"")</f>
        <v/>
      </c>
      <c r="AH35" s="544">
        <f>IFERROR(IF(INDEX('Final Calculation Sheet'!$AE$4:$AE$40,$BA36-3)="","",INDEX('Final Calculation Sheet'!$AE$4:$AE$40,$BA36-3)),"")</f>
        <v/>
      </c>
      <c r="AI35" s="679">
        <f>IFERROR(IF(INDEX('Final Calculation Sheet'!$AE$4:$AE$40,$BA37-3)="","",INDEX('Final Calculation Sheet'!$AE$4:$AE$40,$BA37-3)),"")</f>
        <v/>
      </c>
      <c r="AJ35" s="544">
        <f>IFERROR(IF(INDEX('Final Calculation Sheet'!$AE$4:$AE$40,$BA38-3)="","",INDEX('Final Calculation Sheet'!$AE$4:$AE$40,$BA38-3)),"")</f>
        <v/>
      </c>
      <c r="AK35" s="679">
        <f>IFERROR(IF(INDEX('Final Calculation Sheet'!$AE$4:$AE$40,$BA39-3)="","",INDEX('Final Calculation Sheet'!$AE$4:$AE$40,$BA39-3)),"")</f>
        <v/>
      </c>
      <c r="AL35" s="544">
        <f>IFERROR(IF(INDEX('Final Calculation Sheet'!$AE$4:$AE$40,$BA40-3)="","",INDEX('Final Calculation Sheet'!$AE$4:$AE$40,$BA40-3)),"")</f>
        <v/>
      </c>
      <c r="AM35" s="750" t="inlineStr">
        <is>
          <t>–</t>
        </is>
      </c>
      <c r="AO35" t="inlineStr">
        <is>
          <t>SAP Document</t>
        </is>
      </c>
      <c r="AW35">
        <f>IF(OR($B$3="ALL BUYERS",'Final Calculation Sheet'!$G35=$B$3),IF($D$3="— no row filter —",1,IF($F$3="is blank",IF(INDEX('Final Calculation Sheet'!$A$4:$AG$40,35-3,$AU$2)="",1,0),IF($F$3="is not blank",IF(INDEX('Final Calculation Sheet'!$A$4:$AG$40,35-3,$AU$2)="",0,1),IF($F$3="contains",IF(ISNUMBER(SEARCH($H$3,INDEX('Final Calculation Sheet'!$A$4:$AG$40,35-3,$AU$2))),1,0),IF($F$3="=",IF(INDEX('Final Calculation Sheet'!$A$4:$AG$40,35-3,$AU$2)=$H$3,1,0),IF($F$3="&lt;&gt;",IF(INDEX('Final Calculation Sheet'!$A$4:$AG$40,35-3,$AU$2)=$H$3,0,1),IF($F$3="&gt;",IF(N(INDEX('Final Calculation Sheet'!$A$4:$AG$40,35-3,$AU$2))&gt;N($H$3),1,0),IF($F$3="&gt;=",IF(N(INDEX('Final Calculation Sheet'!$A$4:$AG$40,35-3,$AU$2))&gt;=N($H$3),1,0),IF($F$3="&lt;",IF(N(INDEX('Final Calculation Sheet'!$A$4:$AG$40,35-3,$AU$2))&lt;N($H$3),1,0),IF($F$3="&lt;=",IF(N(INDEX('Final Calculation Sheet'!$A$4:$AG$40,35-3,$AU$2))&lt;=N($H$3),1,0),0)))))))))),0)</f>
        <v/>
      </c>
      <c r="AY35">
        <f>IF(AW35=1,SUM($AW$4:AW35),"")</f>
        <v/>
      </c>
      <c r="BA35">
        <f>IFERROR(MATCH(32,$AY$4:$AY$40,0)+3,"")</f>
        <v/>
      </c>
    </row>
    <row r="36" ht="15" customHeight="1">
      <c r="A36" s="678" t="inlineStr">
        <is>
          <t>SAP Document</t>
        </is>
      </c>
      <c r="B36" s="555">
        <f>IFERROR(IF(INDEX('Final Calculation Sheet'!$AF$4:$AF$40,$BA4-3)="","",INDEX('Final Calculation Sheet'!$AF$4:$AF$40,$BA4-3)),"")</f>
        <v/>
      </c>
      <c r="C36" s="687">
        <f>IFERROR(IF(INDEX('Final Calculation Sheet'!$AF$4:$AF$40,$BA5-3)="","",INDEX('Final Calculation Sheet'!$AF$4:$AF$40,$BA5-3)),"")</f>
        <v/>
      </c>
      <c r="D36" s="555">
        <f>IFERROR(IF(INDEX('Final Calculation Sheet'!$AF$4:$AF$40,$BA6-3)="","",INDEX('Final Calculation Sheet'!$AF$4:$AF$40,$BA6-3)),"")</f>
        <v/>
      </c>
      <c r="E36" s="687">
        <f>IFERROR(IF(INDEX('Final Calculation Sheet'!$AF$4:$AF$40,$BA7-3)="","",INDEX('Final Calculation Sheet'!$AF$4:$AF$40,$BA7-3)),"")</f>
        <v/>
      </c>
      <c r="F36" s="555">
        <f>IFERROR(IF(INDEX('Final Calculation Sheet'!$AF$4:$AF$40,$BA8-3)="","",INDEX('Final Calculation Sheet'!$AF$4:$AF$40,$BA8-3)),"")</f>
        <v/>
      </c>
      <c r="G36" s="687">
        <f>IFERROR(IF(INDEX('Final Calculation Sheet'!$AF$4:$AF$40,$BA9-3)="","",INDEX('Final Calculation Sheet'!$AF$4:$AF$40,$BA9-3)),"")</f>
        <v/>
      </c>
      <c r="H36" s="555">
        <f>IFERROR(IF(INDEX('Final Calculation Sheet'!$AF$4:$AF$40,$BA10-3)="","",INDEX('Final Calculation Sheet'!$AF$4:$AF$40,$BA10-3)),"")</f>
        <v/>
      </c>
      <c r="I36" s="687">
        <f>IFERROR(IF(INDEX('Final Calculation Sheet'!$AF$4:$AF$40,$BA11-3)="","",INDEX('Final Calculation Sheet'!$AF$4:$AF$40,$BA11-3)),"")</f>
        <v/>
      </c>
      <c r="J36" s="555">
        <f>IFERROR(IF(INDEX('Final Calculation Sheet'!$AF$4:$AF$40,$BA12-3)="","",INDEX('Final Calculation Sheet'!$AF$4:$AF$40,$BA12-3)),"")</f>
        <v/>
      </c>
      <c r="K36" s="687">
        <f>IFERROR(IF(INDEX('Final Calculation Sheet'!$AF$4:$AF$40,$BA13-3)="","",INDEX('Final Calculation Sheet'!$AF$4:$AF$40,$BA13-3)),"")</f>
        <v/>
      </c>
      <c r="L36" s="555">
        <f>IFERROR(IF(INDEX('Final Calculation Sheet'!$AF$4:$AF$40,$BA14-3)="","",INDEX('Final Calculation Sheet'!$AF$4:$AF$40,$BA14-3)),"")</f>
        <v/>
      </c>
      <c r="M36" s="687">
        <f>IFERROR(IF(INDEX('Final Calculation Sheet'!$AF$4:$AF$40,$BA15-3)="","",INDEX('Final Calculation Sheet'!$AF$4:$AF$40,$BA15-3)),"")</f>
        <v/>
      </c>
      <c r="N36" s="555">
        <f>IFERROR(IF(INDEX('Final Calculation Sheet'!$AF$4:$AF$40,$BA16-3)="","",INDEX('Final Calculation Sheet'!$AF$4:$AF$40,$BA16-3)),"")</f>
        <v/>
      </c>
      <c r="O36" s="687">
        <f>IFERROR(IF(INDEX('Final Calculation Sheet'!$AF$4:$AF$40,$BA17-3)="","",INDEX('Final Calculation Sheet'!$AF$4:$AF$40,$BA17-3)),"")</f>
        <v/>
      </c>
      <c r="P36" s="555">
        <f>IFERROR(IF(INDEX('Final Calculation Sheet'!$AF$4:$AF$40,$BA18-3)="","",INDEX('Final Calculation Sheet'!$AF$4:$AF$40,$BA18-3)),"")</f>
        <v/>
      </c>
      <c r="Q36" s="687">
        <f>IFERROR(IF(INDEX('Final Calculation Sheet'!$AF$4:$AF$40,$BA19-3)="","",INDEX('Final Calculation Sheet'!$AF$4:$AF$40,$BA19-3)),"")</f>
        <v/>
      </c>
      <c r="R36" s="555">
        <f>IFERROR(IF(INDEX('Final Calculation Sheet'!$AF$4:$AF$40,$BA20-3)="","",INDEX('Final Calculation Sheet'!$AF$4:$AF$40,$BA20-3)),"")</f>
        <v/>
      </c>
      <c r="S36" s="687">
        <f>IFERROR(IF(INDEX('Final Calculation Sheet'!$AF$4:$AF$40,$BA21-3)="","",INDEX('Final Calculation Sheet'!$AF$4:$AF$40,$BA21-3)),"")</f>
        <v/>
      </c>
      <c r="T36" s="555">
        <f>IFERROR(IF(INDEX('Final Calculation Sheet'!$AF$4:$AF$40,$BA22-3)="","",INDEX('Final Calculation Sheet'!$AF$4:$AF$40,$BA22-3)),"")</f>
        <v/>
      </c>
      <c r="U36" s="687">
        <f>IFERROR(IF(INDEX('Final Calculation Sheet'!$AF$4:$AF$40,$BA23-3)="","",INDEX('Final Calculation Sheet'!$AF$4:$AF$40,$BA23-3)),"")</f>
        <v/>
      </c>
      <c r="V36" s="555">
        <f>IFERROR(IF(INDEX('Final Calculation Sheet'!$AF$4:$AF$40,$BA24-3)="","",INDEX('Final Calculation Sheet'!$AF$4:$AF$40,$BA24-3)),"")</f>
        <v/>
      </c>
      <c r="W36" s="687">
        <f>IFERROR(IF(INDEX('Final Calculation Sheet'!$AF$4:$AF$40,$BA25-3)="","",INDEX('Final Calculation Sheet'!$AF$4:$AF$40,$BA25-3)),"")</f>
        <v/>
      </c>
      <c r="X36" s="555">
        <f>IFERROR(IF(INDEX('Final Calculation Sheet'!$AF$4:$AF$40,$BA26-3)="","",INDEX('Final Calculation Sheet'!$AF$4:$AF$40,$BA26-3)),"")</f>
        <v/>
      </c>
      <c r="Y36" s="687">
        <f>IFERROR(IF(INDEX('Final Calculation Sheet'!$AF$4:$AF$40,$BA27-3)="","",INDEX('Final Calculation Sheet'!$AF$4:$AF$40,$BA27-3)),"")</f>
        <v/>
      </c>
      <c r="Z36" s="555">
        <f>IFERROR(IF(INDEX('Final Calculation Sheet'!$AF$4:$AF$40,$BA28-3)="","",INDEX('Final Calculation Sheet'!$AF$4:$AF$40,$BA28-3)),"")</f>
        <v/>
      </c>
      <c r="AA36" s="687">
        <f>IFERROR(IF(INDEX('Final Calculation Sheet'!$AF$4:$AF$40,$BA29-3)="","",INDEX('Final Calculation Sheet'!$AF$4:$AF$40,$BA29-3)),"")</f>
        <v/>
      </c>
      <c r="AB36" s="555">
        <f>IFERROR(IF(INDEX('Final Calculation Sheet'!$AF$4:$AF$40,$BA30-3)="","",INDEX('Final Calculation Sheet'!$AF$4:$AF$40,$BA30-3)),"")</f>
        <v/>
      </c>
      <c r="AC36" s="687">
        <f>IFERROR(IF(INDEX('Final Calculation Sheet'!$AF$4:$AF$40,$BA31-3)="","",INDEX('Final Calculation Sheet'!$AF$4:$AF$40,$BA31-3)),"")</f>
        <v/>
      </c>
      <c r="AD36" s="555">
        <f>IFERROR(IF(INDEX('Final Calculation Sheet'!$AF$4:$AF$40,$BA32-3)="","",INDEX('Final Calculation Sheet'!$AF$4:$AF$40,$BA32-3)),"")</f>
        <v/>
      </c>
      <c r="AE36" s="687">
        <f>IFERROR(IF(INDEX('Final Calculation Sheet'!$AF$4:$AF$40,$BA33-3)="","",INDEX('Final Calculation Sheet'!$AF$4:$AF$40,$BA33-3)),"")</f>
        <v/>
      </c>
      <c r="AF36" s="555">
        <f>IFERROR(IF(INDEX('Final Calculation Sheet'!$AF$4:$AF$40,$BA34-3)="","",INDEX('Final Calculation Sheet'!$AF$4:$AF$40,$BA34-3)),"")</f>
        <v/>
      </c>
      <c r="AG36" s="687">
        <f>IFERROR(IF(INDEX('Final Calculation Sheet'!$AF$4:$AF$40,$BA35-3)="","",INDEX('Final Calculation Sheet'!$AF$4:$AF$40,$BA35-3)),"")</f>
        <v/>
      </c>
      <c r="AH36" s="555">
        <f>IFERROR(IF(INDEX('Final Calculation Sheet'!$AF$4:$AF$40,$BA36-3)="","",INDEX('Final Calculation Sheet'!$AF$4:$AF$40,$BA36-3)),"")</f>
        <v/>
      </c>
      <c r="AI36" s="687">
        <f>IFERROR(IF(INDEX('Final Calculation Sheet'!$AF$4:$AF$40,$BA37-3)="","",INDEX('Final Calculation Sheet'!$AF$4:$AF$40,$BA37-3)),"")</f>
        <v/>
      </c>
      <c r="AJ36" s="555">
        <f>IFERROR(IF(INDEX('Final Calculation Sheet'!$AF$4:$AF$40,$BA38-3)="","",INDEX('Final Calculation Sheet'!$AF$4:$AF$40,$BA38-3)),"")</f>
        <v/>
      </c>
      <c r="AK36" s="687">
        <f>IFERROR(IF(INDEX('Final Calculation Sheet'!$AF$4:$AF$40,$BA39-3)="","",INDEX('Final Calculation Sheet'!$AF$4:$AF$40,$BA39-3)),"")</f>
        <v/>
      </c>
      <c r="AL36" s="555">
        <f>IFERROR(IF(INDEX('Final Calculation Sheet'!$AF$4:$AF$40,$BA40-3)="","",INDEX('Final Calculation Sheet'!$AF$4:$AF$40,$BA40-3)),"")</f>
        <v/>
      </c>
      <c r="AM36" s="750" t="inlineStr">
        <is>
          <t>–</t>
        </is>
      </c>
      <c r="AO36" t="inlineStr">
        <is>
          <t>Doc./Invoice Date</t>
        </is>
      </c>
      <c r="AW36">
        <f>IF(OR($B$3="ALL BUYERS",'Final Calculation Sheet'!$G36=$B$3),IF($D$3="— no row filter —",1,IF($F$3="is blank",IF(INDEX('Final Calculation Sheet'!$A$4:$AG$40,36-3,$AU$2)="",1,0),IF($F$3="is not blank",IF(INDEX('Final Calculation Sheet'!$A$4:$AG$40,36-3,$AU$2)="",0,1),IF($F$3="contains",IF(ISNUMBER(SEARCH($H$3,INDEX('Final Calculation Sheet'!$A$4:$AG$40,36-3,$AU$2))),1,0),IF($F$3="=",IF(INDEX('Final Calculation Sheet'!$A$4:$AG$40,36-3,$AU$2)=$H$3,1,0),IF($F$3="&lt;&gt;",IF(INDEX('Final Calculation Sheet'!$A$4:$AG$40,36-3,$AU$2)=$H$3,0,1),IF($F$3="&gt;",IF(N(INDEX('Final Calculation Sheet'!$A$4:$AG$40,36-3,$AU$2))&gt;N($H$3),1,0),IF($F$3="&gt;=",IF(N(INDEX('Final Calculation Sheet'!$A$4:$AG$40,36-3,$AU$2))&gt;=N($H$3),1,0),IF($F$3="&lt;",IF(N(INDEX('Final Calculation Sheet'!$A$4:$AG$40,36-3,$AU$2))&lt;N($H$3),1,0),IF($F$3="&lt;=",IF(N(INDEX('Final Calculation Sheet'!$A$4:$AG$40,36-3,$AU$2))&lt;=N($H$3),1,0),0)))))))))),0)</f>
        <v/>
      </c>
      <c r="AY36">
        <f>IF(AW36=1,SUM($AW$4:AW36),"")</f>
        <v/>
      </c>
      <c r="BA36">
        <f>IFERROR(MATCH(33,$AY$4:$AY$40,0)+3,"")</f>
        <v/>
      </c>
    </row>
    <row r="37" ht="15" customHeight="1">
      <c r="A37" s="675" t="inlineStr">
        <is>
          <t>Doc./Invoice Date</t>
        </is>
      </c>
      <c r="B37" s="544">
        <f>IFERROR(IF(INDEX('Final Calculation Sheet'!$AG$4:$AG$40,$BA4-3)="","",INDEX('Final Calculation Sheet'!$AG$4:$AG$40,$BA4-3)),"")</f>
        <v/>
      </c>
      <c r="C37" s="679">
        <f>IFERROR(IF(INDEX('Final Calculation Sheet'!$AG$4:$AG$40,$BA5-3)="","",INDEX('Final Calculation Sheet'!$AG$4:$AG$40,$BA5-3)),"")</f>
        <v/>
      </c>
      <c r="D37" s="544">
        <f>IFERROR(IF(INDEX('Final Calculation Sheet'!$AG$4:$AG$40,$BA6-3)="","",INDEX('Final Calculation Sheet'!$AG$4:$AG$40,$BA6-3)),"")</f>
        <v/>
      </c>
      <c r="E37" s="679">
        <f>IFERROR(IF(INDEX('Final Calculation Sheet'!$AG$4:$AG$40,$BA7-3)="","",INDEX('Final Calculation Sheet'!$AG$4:$AG$40,$BA7-3)),"")</f>
        <v/>
      </c>
      <c r="F37" s="544">
        <f>IFERROR(IF(INDEX('Final Calculation Sheet'!$AG$4:$AG$40,$BA8-3)="","",INDEX('Final Calculation Sheet'!$AG$4:$AG$40,$BA8-3)),"")</f>
        <v/>
      </c>
      <c r="G37" s="679">
        <f>IFERROR(IF(INDEX('Final Calculation Sheet'!$AG$4:$AG$40,$BA9-3)="","",INDEX('Final Calculation Sheet'!$AG$4:$AG$40,$BA9-3)),"")</f>
        <v/>
      </c>
      <c r="H37" s="544">
        <f>IFERROR(IF(INDEX('Final Calculation Sheet'!$AG$4:$AG$40,$BA10-3)="","",INDEX('Final Calculation Sheet'!$AG$4:$AG$40,$BA10-3)),"")</f>
        <v/>
      </c>
      <c r="I37" s="679">
        <f>IFERROR(IF(INDEX('Final Calculation Sheet'!$AG$4:$AG$40,$BA11-3)="","",INDEX('Final Calculation Sheet'!$AG$4:$AG$40,$BA11-3)),"")</f>
        <v/>
      </c>
      <c r="J37" s="544">
        <f>IFERROR(IF(INDEX('Final Calculation Sheet'!$AG$4:$AG$40,$BA12-3)="","",INDEX('Final Calculation Sheet'!$AG$4:$AG$40,$BA12-3)),"")</f>
        <v/>
      </c>
      <c r="K37" s="679">
        <f>IFERROR(IF(INDEX('Final Calculation Sheet'!$AG$4:$AG$40,$BA13-3)="","",INDEX('Final Calculation Sheet'!$AG$4:$AG$40,$BA13-3)),"")</f>
        <v/>
      </c>
      <c r="L37" s="544">
        <f>IFERROR(IF(INDEX('Final Calculation Sheet'!$AG$4:$AG$40,$BA14-3)="","",INDEX('Final Calculation Sheet'!$AG$4:$AG$40,$BA14-3)),"")</f>
        <v/>
      </c>
      <c r="M37" s="679">
        <f>IFERROR(IF(INDEX('Final Calculation Sheet'!$AG$4:$AG$40,$BA15-3)="","",INDEX('Final Calculation Sheet'!$AG$4:$AG$40,$BA15-3)),"")</f>
        <v/>
      </c>
      <c r="N37" s="544">
        <f>IFERROR(IF(INDEX('Final Calculation Sheet'!$AG$4:$AG$40,$BA16-3)="","",INDEX('Final Calculation Sheet'!$AG$4:$AG$40,$BA16-3)),"")</f>
        <v/>
      </c>
      <c r="O37" s="679">
        <f>IFERROR(IF(INDEX('Final Calculation Sheet'!$AG$4:$AG$40,$BA17-3)="","",INDEX('Final Calculation Sheet'!$AG$4:$AG$40,$BA17-3)),"")</f>
        <v/>
      </c>
      <c r="P37" s="544">
        <f>IFERROR(IF(INDEX('Final Calculation Sheet'!$AG$4:$AG$40,$BA18-3)="","",INDEX('Final Calculation Sheet'!$AG$4:$AG$40,$BA18-3)),"")</f>
        <v/>
      </c>
      <c r="Q37" s="679">
        <f>IFERROR(IF(INDEX('Final Calculation Sheet'!$AG$4:$AG$40,$BA19-3)="","",INDEX('Final Calculation Sheet'!$AG$4:$AG$40,$BA19-3)),"")</f>
        <v/>
      </c>
      <c r="R37" s="544">
        <f>IFERROR(IF(INDEX('Final Calculation Sheet'!$AG$4:$AG$40,$BA20-3)="","",INDEX('Final Calculation Sheet'!$AG$4:$AG$40,$BA20-3)),"")</f>
        <v/>
      </c>
      <c r="S37" s="679">
        <f>IFERROR(IF(INDEX('Final Calculation Sheet'!$AG$4:$AG$40,$BA21-3)="","",INDEX('Final Calculation Sheet'!$AG$4:$AG$40,$BA21-3)),"")</f>
        <v/>
      </c>
      <c r="T37" s="544">
        <f>IFERROR(IF(INDEX('Final Calculation Sheet'!$AG$4:$AG$40,$BA22-3)="","",INDEX('Final Calculation Sheet'!$AG$4:$AG$40,$BA22-3)),"")</f>
        <v/>
      </c>
      <c r="U37" s="679">
        <f>IFERROR(IF(INDEX('Final Calculation Sheet'!$AG$4:$AG$40,$BA23-3)="","",INDEX('Final Calculation Sheet'!$AG$4:$AG$40,$BA23-3)),"")</f>
        <v/>
      </c>
      <c r="V37" s="544">
        <f>IFERROR(IF(INDEX('Final Calculation Sheet'!$AG$4:$AG$40,$BA24-3)="","",INDEX('Final Calculation Sheet'!$AG$4:$AG$40,$BA24-3)),"")</f>
        <v/>
      </c>
      <c r="W37" s="679">
        <f>IFERROR(IF(INDEX('Final Calculation Sheet'!$AG$4:$AG$40,$BA25-3)="","",INDEX('Final Calculation Sheet'!$AG$4:$AG$40,$BA25-3)),"")</f>
        <v/>
      </c>
      <c r="X37" s="544">
        <f>IFERROR(IF(INDEX('Final Calculation Sheet'!$AG$4:$AG$40,$BA26-3)="","",INDEX('Final Calculation Sheet'!$AG$4:$AG$40,$BA26-3)),"")</f>
        <v/>
      </c>
      <c r="Y37" s="679">
        <f>IFERROR(IF(INDEX('Final Calculation Sheet'!$AG$4:$AG$40,$BA27-3)="","",INDEX('Final Calculation Sheet'!$AG$4:$AG$40,$BA27-3)),"")</f>
        <v/>
      </c>
      <c r="Z37" s="544">
        <f>IFERROR(IF(INDEX('Final Calculation Sheet'!$AG$4:$AG$40,$BA28-3)="","",INDEX('Final Calculation Sheet'!$AG$4:$AG$40,$BA28-3)),"")</f>
        <v/>
      </c>
      <c r="AA37" s="679">
        <f>IFERROR(IF(INDEX('Final Calculation Sheet'!$AG$4:$AG$40,$BA29-3)="","",INDEX('Final Calculation Sheet'!$AG$4:$AG$40,$BA29-3)),"")</f>
        <v/>
      </c>
      <c r="AB37" s="544">
        <f>IFERROR(IF(INDEX('Final Calculation Sheet'!$AG$4:$AG$40,$BA30-3)="","",INDEX('Final Calculation Sheet'!$AG$4:$AG$40,$BA30-3)),"")</f>
        <v/>
      </c>
      <c r="AC37" s="679">
        <f>IFERROR(IF(INDEX('Final Calculation Sheet'!$AG$4:$AG$40,$BA31-3)="","",INDEX('Final Calculation Sheet'!$AG$4:$AG$40,$BA31-3)),"")</f>
        <v/>
      </c>
      <c r="AD37" s="544">
        <f>IFERROR(IF(INDEX('Final Calculation Sheet'!$AG$4:$AG$40,$BA32-3)="","",INDEX('Final Calculation Sheet'!$AG$4:$AG$40,$BA32-3)),"")</f>
        <v/>
      </c>
      <c r="AE37" s="679">
        <f>IFERROR(IF(INDEX('Final Calculation Sheet'!$AG$4:$AG$40,$BA33-3)="","",INDEX('Final Calculation Sheet'!$AG$4:$AG$40,$BA33-3)),"")</f>
        <v/>
      </c>
      <c r="AF37" s="544">
        <f>IFERROR(IF(INDEX('Final Calculation Sheet'!$AG$4:$AG$40,$BA34-3)="","",INDEX('Final Calculation Sheet'!$AG$4:$AG$40,$BA34-3)),"")</f>
        <v/>
      </c>
      <c r="AG37" s="679">
        <f>IFERROR(IF(INDEX('Final Calculation Sheet'!$AG$4:$AG$40,$BA35-3)="","",INDEX('Final Calculation Sheet'!$AG$4:$AG$40,$BA35-3)),"")</f>
        <v/>
      </c>
      <c r="AH37" s="544">
        <f>IFERROR(IF(INDEX('Final Calculation Sheet'!$AG$4:$AG$40,$BA36-3)="","",INDEX('Final Calculation Sheet'!$AG$4:$AG$40,$BA36-3)),"")</f>
        <v/>
      </c>
      <c r="AI37" s="679">
        <f>IFERROR(IF(INDEX('Final Calculation Sheet'!$AG$4:$AG$40,$BA37-3)="","",INDEX('Final Calculation Sheet'!$AG$4:$AG$40,$BA37-3)),"")</f>
        <v/>
      </c>
      <c r="AJ37" s="544">
        <f>IFERROR(IF(INDEX('Final Calculation Sheet'!$AG$4:$AG$40,$BA38-3)="","",INDEX('Final Calculation Sheet'!$AG$4:$AG$40,$BA38-3)),"")</f>
        <v/>
      </c>
      <c r="AK37" s="679">
        <f>IFERROR(IF(INDEX('Final Calculation Sheet'!$AG$4:$AG$40,$BA39-3)="","",INDEX('Final Calculation Sheet'!$AG$4:$AG$40,$BA39-3)),"")</f>
        <v/>
      </c>
      <c r="AL37" s="544">
        <f>IFERROR(IF(INDEX('Final Calculation Sheet'!$AG$4:$AG$40,$BA40-3)="","",INDEX('Final Calculation Sheet'!$AG$4:$AG$40,$BA40-3)),"")</f>
        <v/>
      </c>
      <c r="AM37" s="750" t="inlineStr">
        <is>
          <t>–</t>
        </is>
      </c>
      <c r="AW37">
        <f>IF(OR($B$3="ALL BUYERS",'Final Calculation Sheet'!$G37=$B$3),IF($D$3="— no row filter —",1,IF($F$3="is blank",IF(INDEX('Final Calculation Sheet'!$A$4:$AG$40,37-3,$AU$2)="",1,0),IF($F$3="is not blank",IF(INDEX('Final Calculation Sheet'!$A$4:$AG$40,37-3,$AU$2)="",0,1),IF($F$3="contains",IF(ISNUMBER(SEARCH($H$3,INDEX('Final Calculation Sheet'!$A$4:$AG$40,37-3,$AU$2))),1,0),IF($F$3="=",IF(INDEX('Final Calculation Sheet'!$A$4:$AG$40,37-3,$AU$2)=$H$3,1,0),IF($F$3="&lt;&gt;",IF(INDEX('Final Calculation Sheet'!$A$4:$AG$40,37-3,$AU$2)=$H$3,0,1),IF($F$3="&gt;",IF(N(INDEX('Final Calculation Sheet'!$A$4:$AG$40,37-3,$AU$2))&gt;N($H$3),1,0),IF($F$3="&gt;=",IF(N(INDEX('Final Calculation Sheet'!$A$4:$AG$40,37-3,$AU$2))&gt;=N($H$3),1,0),IF($F$3="&lt;",IF(N(INDEX('Final Calculation Sheet'!$A$4:$AG$40,37-3,$AU$2))&lt;N($H$3),1,0),IF($F$3="&lt;=",IF(N(INDEX('Final Calculation Sheet'!$A$4:$AG$40,37-3,$AU$2))&lt;=N($H$3),1,0),0)))))))))),0)</f>
        <v/>
      </c>
      <c r="AY37">
        <f>IF(AW37=1,SUM($AW$4:AW37),"")</f>
        <v/>
      </c>
      <c r="BA37">
        <f>IFERROR(MATCH(34,$AY$4:$AY$40,0)+3,"")</f>
        <v/>
      </c>
    </row>
    <row r="38">
      <c r="AW38">
        <f>IF(OR($B$3="ALL BUYERS",'Final Calculation Sheet'!$G38=$B$3),IF($D$3="— no row filter —",1,IF($F$3="is blank",IF(INDEX('Final Calculation Sheet'!$A$4:$AG$40,38-3,$AU$2)="",1,0),IF($F$3="is not blank",IF(INDEX('Final Calculation Sheet'!$A$4:$AG$40,38-3,$AU$2)="",0,1),IF($F$3="contains",IF(ISNUMBER(SEARCH($H$3,INDEX('Final Calculation Sheet'!$A$4:$AG$40,38-3,$AU$2))),1,0),IF($F$3="=",IF(INDEX('Final Calculation Sheet'!$A$4:$AG$40,38-3,$AU$2)=$H$3,1,0),IF($F$3="&lt;&gt;",IF(INDEX('Final Calculation Sheet'!$A$4:$AG$40,38-3,$AU$2)=$H$3,0,1),IF($F$3="&gt;",IF(N(INDEX('Final Calculation Sheet'!$A$4:$AG$40,38-3,$AU$2))&gt;N($H$3),1,0),IF($F$3="&gt;=",IF(N(INDEX('Final Calculation Sheet'!$A$4:$AG$40,38-3,$AU$2))&gt;=N($H$3),1,0),IF($F$3="&lt;",IF(N(INDEX('Final Calculation Sheet'!$A$4:$AG$40,38-3,$AU$2))&lt;N($H$3),1,0),IF($F$3="&lt;=",IF(N(INDEX('Final Calculation Sheet'!$A$4:$AG$40,38-3,$AU$2))&lt;=N($H$3),1,0),0)))))))))),0)</f>
        <v/>
      </c>
      <c r="AY38">
        <f>IF(AW38=1,SUM($AW$4:AW38),"")</f>
        <v/>
      </c>
      <c r="BA38">
        <f>IFERROR(MATCH(35,$AY$4:$AY$40,0)+3,"")</f>
        <v/>
      </c>
    </row>
    <row r="39">
      <c r="AW39">
        <f>IF(OR($B$3="ALL BUYERS",'Final Calculation Sheet'!$G39=$B$3),IF($D$3="— no row filter —",1,IF($F$3="is blank",IF(INDEX('Final Calculation Sheet'!$A$4:$AG$40,39-3,$AU$2)="",1,0),IF($F$3="is not blank",IF(INDEX('Final Calculation Sheet'!$A$4:$AG$40,39-3,$AU$2)="",0,1),IF($F$3="contains",IF(ISNUMBER(SEARCH($H$3,INDEX('Final Calculation Sheet'!$A$4:$AG$40,39-3,$AU$2))),1,0),IF($F$3="=",IF(INDEX('Final Calculation Sheet'!$A$4:$AG$40,39-3,$AU$2)=$H$3,1,0),IF($F$3="&lt;&gt;",IF(INDEX('Final Calculation Sheet'!$A$4:$AG$40,39-3,$AU$2)=$H$3,0,1),IF($F$3="&gt;",IF(N(INDEX('Final Calculation Sheet'!$A$4:$AG$40,39-3,$AU$2))&gt;N($H$3),1,0),IF($F$3="&gt;=",IF(N(INDEX('Final Calculation Sheet'!$A$4:$AG$40,39-3,$AU$2))&gt;=N($H$3),1,0),IF($F$3="&lt;",IF(N(INDEX('Final Calculation Sheet'!$A$4:$AG$40,39-3,$AU$2))&lt;N($H$3),1,0),IF($F$3="&lt;=",IF(N(INDEX('Final Calculation Sheet'!$A$4:$AG$40,39-3,$AU$2))&lt;=N($H$3),1,0),0)))))))))),0)</f>
        <v/>
      </c>
      <c r="AY39">
        <f>IF(AW39=1,SUM($AW$4:AW39),"")</f>
        <v/>
      </c>
      <c r="BA39">
        <f>IFERROR(MATCH(36,$AY$4:$AY$40,0)+3,"")</f>
        <v/>
      </c>
    </row>
    <row r="40">
      <c r="AW40">
        <f>IF(OR($B$3="ALL BUYERS",'Final Calculation Sheet'!$G40=$B$3),IF($D$3="— no row filter —",1,IF($F$3="is blank",IF(INDEX('Final Calculation Sheet'!$A$4:$AG$40,40-3,$AU$2)="",1,0),IF($F$3="is not blank",IF(INDEX('Final Calculation Sheet'!$A$4:$AG$40,40-3,$AU$2)="",0,1),IF($F$3="contains",IF(ISNUMBER(SEARCH($H$3,INDEX('Final Calculation Sheet'!$A$4:$AG$40,40-3,$AU$2))),1,0),IF($F$3="=",IF(INDEX('Final Calculation Sheet'!$A$4:$AG$40,40-3,$AU$2)=$H$3,1,0),IF($F$3="&lt;&gt;",IF(INDEX('Final Calculation Sheet'!$A$4:$AG$40,40-3,$AU$2)=$H$3,0,1),IF($F$3="&gt;",IF(N(INDEX('Final Calculation Sheet'!$A$4:$AG$40,40-3,$AU$2))&gt;N($H$3),1,0),IF($F$3="&gt;=",IF(N(INDEX('Final Calculation Sheet'!$A$4:$AG$40,40-3,$AU$2))&gt;=N($H$3),1,0),IF($F$3="&lt;",IF(N(INDEX('Final Calculation Sheet'!$A$4:$AG$40,40-3,$AU$2))&lt;N($H$3),1,0),IF($F$3="&lt;=",IF(N(INDEX('Final Calculation Sheet'!$A$4:$AG$40,40-3,$AU$2))&lt;=N($H$3),1,0),0)))))))))),0)</f>
        <v/>
      </c>
      <c r="AY40">
        <f>IF(AW40=1,SUM($AW$4:AW40),"")</f>
        <v/>
      </c>
      <c r="BA40">
        <f>IFERROR(MATCH(37,$AY$4:$AY$40,0)+3,"")</f>
        <v/>
      </c>
    </row>
  </sheetData>
  <autoFilter ref="A4:A37"/>
  <mergeCells count="3">
    <mergeCell ref="A2:AM2"/>
    <mergeCell ref="A1:AM1"/>
    <mergeCell ref="I3:AM3"/>
  </mergeCells>
  <conditionalFormatting sqref="B34:AL34">
    <cfRule type="cellIs" priority="1" operator="greaterThan" dxfId="22">
      <formula>0</formula>
    </cfRule>
  </conditionalFormatting>
  <dataValidations count="3">
    <dataValidation sqref="B3" showDropDown="0" showInputMessage="0" showErrorMessage="0" allowBlank="1" type="list">
      <formula1>$AQ$4:$AQ$17</formula1>
    </dataValidation>
    <dataValidation sqref="D3" showDropDown="0" showInputMessage="0" showErrorMessage="0" allowBlank="1" type="list">
      <formula1>$AO$4:$AO$36</formula1>
    </dataValidation>
    <dataValidation sqref="F3" showDropDown="0" showInputMessage="0" showErrorMessage="0" allowBlank="1" type="list">
      <formula1>$AS$4:$AS$12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658" t="inlineStr">
        <is>
          <t>MSTC LIMITED  •  BUYER PIVOT   (buyers → columns  |  every detail ↓ rows)</t>
        </is>
      </c>
    </row>
    <row r="2" ht="32" customHeight="1">
      <c r="A2" s="659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669" t="inlineStr">
        <is>
          <t>FIELD  ▸   |   BUYER →</t>
        </is>
      </c>
      <c r="B3" s="754" t="inlineStr">
        <is>
          <t>AL HAMD TRADE CORPORATION</t>
        </is>
      </c>
      <c r="C3" s="755" t="inlineStr">
        <is>
          <t>F R KHANS ENTERPRISES</t>
        </is>
      </c>
      <c r="D3" s="756" t="inlineStr">
        <is>
          <t>HIND TRADERS</t>
        </is>
      </c>
      <c r="E3" s="757" t="inlineStr">
        <is>
          <t>KASHYAP TRADING CO</t>
        </is>
      </c>
      <c r="F3" s="758" t="inlineStr">
        <is>
          <t>M I SCRAP TRADERS</t>
        </is>
      </c>
      <c r="G3" s="759" t="inlineStr">
        <is>
          <t>NATIONAL ENTERPRISES</t>
        </is>
      </c>
      <c r="H3" s="760" t="inlineStr">
        <is>
          <t>NATIONAL SCRAP AND BUILDING MATERIAL SUPPLIER</t>
        </is>
      </c>
      <c r="I3" s="761" t="inlineStr">
        <is>
          <t>OMKAR STEELS</t>
        </is>
      </c>
      <c r="J3" s="754" t="inlineStr">
        <is>
          <t>S M ENTERPRISES</t>
        </is>
      </c>
      <c r="K3" s="755" t="inlineStr">
        <is>
          <t>SAHARA ENTERPRISES</t>
        </is>
      </c>
      <c r="L3" s="756" t="inlineStr">
        <is>
          <t>SHAR JAHAN TRADERS</t>
        </is>
      </c>
      <c r="M3" s="757" t="inlineStr">
        <is>
          <t>STERLING ENTERPRISES</t>
        </is>
      </c>
      <c r="N3" s="758" t="inlineStr">
        <is>
          <t>WATAN SCRAP TRADERS</t>
        </is>
      </c>
      <c r="O3" s="674" t="inlineStr">
        <is>
          <t>TOTAL — ALL BUYERS</t>
        </is>
      </c>
    </row>
    <row r="4" ht="17" customHeight="1">
      <c r="A4" s="762" t="inlineStr">
        <is>
          <t xml:space="preserve">  ▸ BUYER OVERVIEW</t>
        </is>
      </c>
      <c r="B4" s="691" t="n"/>
      <c r="C4" s="691" t="n"/>
      <c r="D4" s="691" t="n"/>
      <c r="E4" s="691" t="n"/>
      <c r="F4" s="691" t="n"/>
      <c r="G4" s="691" t="n"/>
      <c r="H4" s="691" t="n"/>
      <c r="I4" s="691" t="n"/>
      <c r="J4" s="691" t="n"/>
      <c r="K4" s="691" t="n"/>
      <c r="L4" s="691" t="n"/>
      <c r="M4" s="691" t="n"/>
      <c r="N4" s="691" t="n"/>
      <c r="O4" s="691" t="n"/>
    </row>
    <row r="5" outlineLevel="1" ht="15" customHeight="1">
      <c r="A5" s="69" t="inlineStr">
        <is>
          <t xml:space="preserve">      Lots</t>
        </is>
      </c>
      <c r="B5" s="763">
        <f>COUNTIF('Final Calculation Sheet'!$G$4:$G$1000,B$3)</f>
        <v/>
      </c>
      <c r="C5" s="764">
        <f>COUNTIF('Final Calculation Sheet'!$G$4:$G$1000,C$3)</f>
        <v/>
      </c>
      <c r="D5" s="765">
        <f>COUNTIF('Final Calculation Sheet'!$G$4:$G$1000,D$3)</f>
        <v/>
      </c>
      <c r="E5" s="766">
        <f>COUNTIF('Final Calculation Sheet'!$G$4:$G$1000,E$3)</f>
        <v/>
      </c>
      <c r="F5" s="767">
        <f>COUNTIF('Final Calculation Sheet'!$G$4:$G$1000,F$3)</f>
        <v/>
      </c>
      <c r="G5" s="768">
        <f>COUNTIF('Final Calculation Sheet'!$G$4:$G$1000,G$3)</f>
        <v/>
      </c>
      <c r="H5" s="769">
        <f>COUNTIF('Final Calculation Sheet'!$G$4:$G$1000,H$3)</f>
        <v/>
      </c>
      <c r="I5" s="770">
        <f>COUNTIF('Final Calculation Sheet'!$G$4:$G$1000,I$3)</f>
        <v/>
      </c>
      <c r="J5" s="763">
        <f>COUNTIF('Final Calculation Sheet'!$G$4:$G$1000,J$3)</f>
        <v/>
      </c>
      <c r="K5" s="764">
        <f>COUNTIF('Final Calculation Sheet'!$G$4:$G$1000,K$3)</f>
        <v/>
      </c>
      <c r="L5" s="765">
        <f>COUNTIF('Final Calculation Sheet'!$G$4:$G$1000,L$3)</f>
        <v/>
      </c>
      <c r="M5" s="766">
        <f>COUNTIF('Final Calculation Sheet'!$G$4:$G$1000,M$3)</f>
        <v/>
      </c>
      <c r="N5" s="767">
        <f>COUNTIF('Final Calculation Sheet'!$G$4:$G$1000,N$3)</f>
        <v/>
      </c>
      <c r="O5" s="688">
        <f>SUM(B5:N5)</f>
        <v/>
      </c>
    </row>
    <row r="6" outlineLevel="1" ht="15" customHeight="1">
      <c r="A6" s="69" t="inlineStr">
        <is>
          <t xml:space="preserve">      Mat. Value (₹)</t>
        </is>
      </c>
      <c r="B6" s="771">
        <f>SUMIF('Final Calculation Sheet'!$G$4:$G$1000,B$3,'Final Calculation Sheet'!$H$4:$H$1000)</f>
        <v/>
      </c>
      <c r="C6" s="772">
        <f>SUMIF('Final Calculation Sheet'!$G$4:$G$1000,C$3,'Final Calculation Sheet'!$H$4:$H$1000)</f>
        <v/>
      </c>
      <c r="D6" s="773">
        <f>SUMIF('Final Calculation Sheet'!$G$4:$G$1000,D$3,'Final Calculation Sheet'!$H$4:$H$1000)</f>
        <v/>
      </c>
      <c r="E6" s="774">
        <f>SUMIF('Final Calculation Sheet'!$G$4:$G$1000,E$3,'Final Calculation Sheet'!$H$4:$H$1000)</f>
        <v/>
      </c>
      <c r="F6" s="775">
        <f>SUMIF('Final Calculation Sheet'!$G$4:$G$1000,F$3,'Final Calculation Sheet'!$H$4:$H$1000)</f>
        <v/>
      </c>
      <c r="G6" s="776">
        <f>SUMIF('Final Calculation Sheet'!$G$4:$G$1000,G$3,'Final Calculation Sheet'!$H$4:$H$1000)</f>
        <v/>
      </c>
      <c r="H6" s="777">
        <f>SUMIF('Final Calculation Sheet'!$G$4:$G$1000,H$3,'Final Calculation Sheet'!$H$4:$H$1000)</f>
        <v/>
      </c>
      <c r="I6" s="778">
        <f>SUMIF('Final Calculation Sheet'!$G$4:$G$1000,I$3,'Final Calculation Sheet'!$H$4:$H$1000)</f>
        <v/>
      </c>
      <c r="J6" s="771">
        <f>SUMIF('Final Calculation Sheet'!$G$4:$G$1000,J$3,'Final Calculation Sheet'!$H$4:$H$1000)</f>
        <v/>
      </c>
      <c r="K6" s="772">
        <f>SUMIF('Final Calculation Sheet'!$G$4:$G$1000,K$3,'Final Calculation Sheet'!$H$4:$H$1000)</f>
        <v/>
      </c>
      <c r="L6" s="773">
        <f>SUMIF('Final Calculation Sheet'!$G$4:$G$1000,L$3,'Final Calculation Sheet'!$H$4:$H$1000)</f>
        <v/>
      </c>
      <c r="M6" s="774">
        <f>SUMIF('Final Calculation Sheet'!$G$4:$G$1000,M$3,'Final Calculation Sheet'!$H$4:$H$1000)</f>
        <v/>
      </c>
      <c r="N6" s="775">
        <f>SUMIF('Final Calculation Sheet'!$G$4:$G$1000,N$3,'Final Calculation Sheet'!$H$4:$H$1000)</f>
        <v/>
      </c>
      <c r="O6" s="682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771">
        <f>SUMIF('Final Calculation Sheet'!$G$4:$G$1000,B$3,'Final Calculation Sheet'!$AC$4:$AC$1000)</f>
        <v/>
      </c>
      <c r="C7" s="772">
        <f>SUMIF('Final Calculation Sheet'!$G$4:$G$1000,C$3,'Final Calculation Sheet'!$AC$4:$AC$1000)</f>
        <v/>
      </c>
      <c r="D7" s="773">
        <f>SUMIF('Final Calculation Sheet'!$G$4:$G$1000,D$3,'Final Calculation Sheet'!$AC$4:$AC$1000)</f>
        <v/>
      </c>
      <c r="E7" s="774">
        <f>SUMIF('Final Calculation Sheet'!$G$4:$G$1000,E$3,'Final Calculation Sheet'!$AC$4:$AC$1000)</f>
        <v/>
      </c>
      <c r="F7" s="775">
        <f>SUMIF('Final Calculation Sheet'!$G$4:$G$1000,F$3,'Final Calculation Sheet'!$AC$4:$AC$1000)</f>
        <v/>
      </c>
      <c r="G7" s="776">
        <f>SUMIF('Final Calculation Sheet'!$G$4:$G$1000,G$3,'Final Calculation Sheet'!$AC$4:$AC$1000)</f>
        <v/>
      </c>
      <c r="H7" s="777">
        <f>SUMIF('Final Calculation Sheet'!$G$4:$G$1000,H$3,'Final Calculation Sheet'!$AC$4:$AC$1000)</f>
        <v/>
      </c>
      <c r="I7" s="778">
        <f>SUMIF('Final Calculation Sheet'!$G$4:$G$1000,I$3,'Final Calculation Sheet'!$AC$4:$AC$1000)</f>
        <v/>
      </c>
      <c r="J7" s="771">
        <f>SUMIF('Final Calculation Sheet'!$G$4:$G$1000,J$3,'Final Calculation Sheet'!$AC$4:$AC$1000)</f>
        <v/>
      </c>
      <c r="K7" s="772">
        <f>SUMIF('Final Calculation Sheet'!$G$4:$G$1000,K$3,'Final Calculation Sheet'!$AC$4:$AC$1000)</f>
        <v/>
      </c>
      <c r="L7" s="773">
        <f>SUMIF('Final Calculation Sheet'!$G$4:$G$1000,L$3,'Final Calculation Sheet'!$AC$4:$AC$1000)</f>
        <v/>
      </c>
      <c r="M7" s="774">
        <f>SUMIF('Final Calculation Sheet'!$G$4:$G$1000,M$3,'Final Calculation Sheet'!$AC$4:$AC$1000)</f>
        <v/>
      </c>
      <c r="N7" s="775">
        <f>SUMIF('Final Calculation Sheet'!$G$4:$G$1000,N$3,'Final Calculation Sheet'!$AC$4:$AC$1000)</f>
        <v/>
      </c>
      <c r="O7" s="682">
        <f>SUM(B7:N7)</f>
        <v/>
      </c>
    </row>
    <row r="8" outlineLevel="1" ht="15" customHeight="1">
      <c r="A8" s="69" t="inlineStr">
        <is>
          <t xml:space="preserve">      Outstanding (₹)</t>
        </is>
      </c>
      <c r="B8" s="771">
        <f>SUMIF('Final Calculation Sheet'!$G$4:$G$1000,B$3,'Final Calculation Sheet'!$AD$4:$AD$1000)</f>
        <v/>
      </c>
      <c r="C8" s="772">
        <f>SUMIF('Final Calculation Sheet'!$G$4:$G$1000,C$3,'Final Calculation Sheet'!$AD$4:$AD$1000)</f>
        <v/>
      </c>
      <c r="D8" s="773">
        <f>SUMIF('Final Calculation Sheet'!$G$4:$G$1000,D$3,'Final Calculation Sheet'!$AD$4:$AD$1000)</f>
        <v/>
      </c>
      <c r="E8" s="774">
        <f>SUMIF('Final Calculation Sheet'!$G$4:$G$1000,E$3,'Final Calculation Sheet'!$AD$4:$AD$1000)</f>
        <v/>
      </c>
      <c r="F8" s="775">
        <f>SUMIF('Final Calculation Sheet'!$G$4:$G$1000,F$3,'Final Calculation Sheet'!$AD$4:$AD$1000)</f>
        <v/>
      </c>
      <c r="G8" s="776">
        <f>SUMIF('Final Calculation Sheet'!$G$4:$G$1000,G$3,'Final Calculation Sheet'!$AD$4:$AD$1000)</f>
        <v/>
      </c>
      <c r="H8" s="777">
        <f>SUMIF('Final Calculation Sheet'!$G$4:$G$1000,H$3,'Final Calculation Sheet'!$AD$4:$AD$1000)</f>
        <v/>
      </c>
      <c r="I8" s="778">
        <f>SUMIF('Final Calculation Sheet'!$G$4:$G$1000,I$3,'Final Calculation Sheet'!$AD$4:$AD$1000)</f>
        <v/>
      </c>
      <c r="J8" s="771">
        <f>SUMIF('Final Calculation Sheet'!$G$4:$G$1000,J$3,'Final Calculation Sheet'!$AD$4:$AD$1000)</f>
        <v/>
      </c>
      <c r="K8" s="772">
        <f>SUMIF('Final Calculation Sheet'!$G$4:$G$1000,K$3,'Final Calculation Sheet'!$AD$4:$AD$1000)</f>
        <v/>
      </c>
      <c r="L8" s="773">
        <f>SUMIF('Final Calculation Sheet'!$G$4:$G$1000,L$3,'Final Calculation Sheet'!$AD$4:$AD$1000)</f>
        <v/>
      </c>
      <c r="M8" s="774">
        <f>SUMIF('Final Calculation Sheet'!$G$4:$G$1000,M$3,'Final Calculation Sheet'!$AD$4:$AD$1000)</f>
        <v/>
      </c>
      <c r="N8" s="775">
        <f>SUMIF('Final Calculation Sheet'!$G$4:$G$1000,N$3,'Final Calculation Sheet'!$AD$4:$AD$1000)</f>
        <v/>
      </c>
      <c r="O8" s="682">
        <f>SUM(B8:N8)</f>
        <v/>
      </c>
    </row>
    <row r="9" outlineLevel="1" ht="15" customHeight="1">
      <c r="A9" s="69" t="inlineStr">
        <is>
          <t xml:space="preserve">      Payment Status</t>
        </is>
      </c>
      <c r="B9" s="779">
        <f>IF(SUMIF('Final Calculation Sheet'!$G$4:$G$1000,B$3,'Final Calculation Sheet'!$AD$4:$AD$1000)&lt;=0,"SETTLED","OUTSTANDING")</f>
        <v/>
      </c>
      <c r="C9" s="780">
        <f>IF(SUMIF('Final Calculation Sheet'!$G$4:$G$1000,C$3,'Final Calculation Sheet'!$AD$4:$AD$1000)&lt;=0,"SETTLED","OUTSTANDING")</f>
        <v/>
      </c>
      <c r="D9" s="781">
        <f>IF(SUMIF('Final Calculation Sheet'!$G$4:$G$1000,D$3,'Final Calculation Sheet'!$AD$4:$AD$1000)&lt;=0,"SETTLED","OUTSTANDING")</f>
        <v/>
      </c>
      <c r="E9" s="782">
        <f>IF(SUMIF('Final Calculation Sheet'!$G$4:$G$1000,E$3,'Final Calculation Sheet'!$AD$4:$AD$1000)&lt;=0,"SETTLED","OUTSTANDING")</f>
        <v/>
      </c>
      <c r="F9" s="783">
        <f>IF(SUMIF('Final Calculation Sheet'!$G$4:$G$1000,F$3,'Final Calculation Sheet'!$AD$4:$AD$1000)&lt;=0,"SETTLED","OUTSTANDING")</f>
        <v/>
      </c>
      <c r="G9" s="784">
        <f>IF(SUMIF('Final Calculation Sheet'!$G$4:$G$1000,G$3,'Final Calculation Sheet'!$AD$4:$AD$1000)&lt;=0,"SETTLED","OUTSTANDING")</f>
        <v/>
      </c>
      <c r="H9" s="785">
        <f>IF(SUMIF('Final Calculation Sheet'!$G$4:$G$1000,H$3,'Final Calculation Sheet'!$AD$4:$AD$1000)&lt;=0,"SETTLED","OUTSTANDING")</f>
        <v/>
      </c>
      <c r="I9" s="786">
        <f>IF(SUMIF('Final Calculation Sheet'!$G$4:$G$1000,I$3,'Final Calculation Sheet'!$AD$4:$AD$1000)&lt;=0,"SETTLED","OUTSTANDING")</f>
        <v/>
      </c>
      <c r="J9" s="779">
        <f>IF(SUMIF('Final Calculation Sheet'!$G$4:$G$1000,J$3,'Final Calculation Sheet'!$AD$4:$AD$1000)&lt;=0,"SETTLED","OUTSTANDING")</f>
        <v/>
      </c>
      <c r="K9" s="780">
        <f>IF(SUMIF('Final Calculation Sheet'!$G$4:$G$1000,K$3,'Final Calculation Sheet'!$AD$4:$AD$1000)&lt;=0,"SETTLED","OUTSTANDING")</f>
        <v/>
      </c>
      <c r="L9" s="781">
        <f>IF(SUMIF('Final Calculation Sheet'!$G$4:$G$1000,L$3,'Final Calculation Sheet'!$AD$4:$AD$1000)&lt;=0,"SETTLED","OUTSTANDING")</f>
        <v/>
      </c>
      <c r="M9" s="782">
        <f>IF(SUMIF('Final Calculation Sheet'!$G$4:$G$1000,M$3,'Final Calculation Sheet'!$AD$4:$AD$1000)&lt;=0,"SETTLED","OUTSTANDING")</f>
        <v/>
      </c>
      <c r="N9" s="783">
        <f>IF(SUMIF('Final Calculation Sheet'!$G$4:$G$1000,N$3,'Final Calculation Sheet'!$AD$4:$AD$1000)&lt;=0,"SETTLED","OUTSTANDING")</f>
        <v/>
      </c>
      <c r="O9" s="787">
        <f>IF(O8&lt;=0,"SETTLED","OUTSTANDING")</f>
        <v/>
      </c>
    </row>
    <row r="10" ht="17" customHeight="1">
      <c r="A10" s="788" t="inlineStr">
        <is>
          <t xml:space="preserve">  ▸ LOT INFORMATION</t>
        </is>
      </c>
      <c r="B10" s="693" t="n"/>
      <c r="C10" s="693" t="n"/>
      <c r="D10" s="693" t="n"/>
      <c r="E10" s="693" t="n"/>
      <c r="F10" s="693" t="n"/>
      <c r="G10" s="693" t="n"/>
      <c r="H10" s="693" t="n"/>
      <c r="I10" s="693" t="n"/>
      <c r="J10" s="693" t="n"/>
      <c r="K10" s="693" t="n"/>
      <c r="L10" s="693" t="n"/>
      <c r="M10" s="693" t="n"/>
      <c r="N10" s="693" t="n"/>
      <c r="O10" s="693" t="n"/>
    </row>
    <row r="11" outlineLevel="1" ht="15" customHeight="1">
      <c r="A11" s="69" t="inlineStr">
        <is>
          <t xml:space="preserve">      Quantity (total)</t>
        </is>
      </c>
      <c r="B11" s="789">
        <f>SUMIF('Final Calculation Sheet'!$G$4:$G$1000,B$3,'Final Calculation Sheet'!$A$4:$A$1000)</f>
        <v/>
      </c>
      <c r="C11" s="790">
        <f>SUMIF('Final Calculation Sheet'!$G$4:$G$1000,C$3,'Final Calculation Sheet'!$A$4:$A$1000)</f>
        <v/>
      </c>
      <c r="D11" s="791">
        <f>SUMIF('Final Calculation Sheet'!$G$4:$G$1000,D$3,'Final Calculation Sheet'!$A$4:$A$1000)</f>
        <v/>
      </c>
      <c r="E11" s="792">
        <f>SUMIF('Final Calculation Sheet'!$G$4:$G$1000,E$3,'Final Calculation Sheet'!$A$4:$A$1000)</f>
        <v/>
      </c>
      <c r="F11" s="793">
        <f>SUMIF('Final Calculation Sheet'!$G$4:$G$1000,F$3,'Final Calculation Sheet'!$A$4:$A$1000)</f>
        <v/>
      </c>
      <c r="G11" s="794">
        <f>SUMIF('Final Calculation Sheet'!$G$4:$G$1000,G$3,'Final Calculation Sheet'!$A$4:$A$1000)</f>
        <v/>
      </c>
      <c r="H11" s="795">
        <f>SUMIF('Final Calculation Sheet'!$G$4:$G$1000,H$3,'Final Calculation Sheet'!$A$4:$A$1000)</f>
        <v/>
      </c>
      <c r="I11" s="796">
        <f>SUMIF('Final Calculation Sheet'!$G$4:$G$1000,I$3,'Final Calculation Sheet'!$A$4:$A$1000)</f>
        <v/>
      </c>
      <c r="J11" s="789">
        <f>SUMIF('Final Calculation Sheet'!$G$4:$G$1000,J$3,'Final Calculation Sheet'!$A$4:$A$1000)</f>
        <v/>
      </c>
      <c r="K11" s="790">
        <f>SUMIF('Final Calculation Sheet'!$G$4:$G$1000,K$3,'Final Calculation Sheet'!$A$4:$A$1000)</f>
        <v/>
      </c>
      <c r="L11" s="791">
        <f>SUMIF('Final Calculation Sheet'!$G$4:$G$1000,L$3,'Final Calculation Sheet'!$A$4:$A$1000)</f>
        <v/>
      </c>
      <c r="M11" s="792">
        <f>SUMIF('Final Calculation Sheet'!$G$4:$G$1000,M$3,'Final Calculation Sheet'!$A$4:$A$1000)</f>
        <v/>
      </c>
      <c r="N11" s="793">
        <f>SUMIF('Final Calculation Sheet'!$G$4:$G$1000,N$3,'Final Calculation Sheet'!$A$4:$A$1000)</f>
        <v/>
      </c>
      <c r="O11" s="797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771">
        <f>IFERROR(SUMIF('Final Calculation Sheet'!$G$4:$G$1000,B$3,'Final Calculation Sheet'!$H$4:$H$1000)/SUMIF('Final Calculation Sheet'!$G$4:$G$1000,B$3,'Final Calculation Sheet'!$A$4:$A$1000),"")</f>
        <v/>
      </c>
      <c r="C12" s="772">
        <f>IFERROR(SUMIF('Final Calculation Sheet'!$G$4:$G$1000,C$3,'Final Calculation Sheet'!$H$4:$H$1000)/SUMIF('Final Calculation Sheet'!$G$4:$G$1000,C$3,'Final Calculation Sheet'!$A$4:$A$1000),"")</f>
        <v/>
      </c>
      <c r="D12" s="773">
        <f>IFERROR(SUMIF('Final Calculation Sheet'!$G$4:$G$1000,D$3,'Final Calculation Sheet'!$H$4:$H$1000)/SUMIF('Final Calculation Sheet'!$G$4:$G$1000,D$3,'Final Calculation Sheet'!$A$4:$A$1000),"")</f>
        <v/>
      </c>
      <c r="E12" s="774">
        <f>IFERROR(SUMIF('Final Calculation Sheet'!$G$4:$G$1000,E$3,'Final Calculation Sheet'!$H$4:$H$1000)/SUMIF('Final Calculation Sheet'!$G$4:$G$1000,E$3,'Final Calculation Sheet'!$A$4:$A$1000),"")</f>
        <v/>
      </c>
      <c r="F12" s="775">
        <f>IFERROR(SUMIF('Final Calculation Sheet'!$G$4:$G$1000,F$3,'Final Calculation Sheet'!$H$4:$H$1000)/SUMIF('Final Calculation Sheet'!$G$4:$G$1000,F$3,'Final Calculation Sheet'!$A$4:$A$1000),"")</f>
        <v/>
      </c>
      <c r="G12" s="776">
        <f>IFERROR(SUMIF('Final Calculation Sheet'!$G$4:$G$1000,G$3,'Final Calculation Sheet'!$H$4:$H$1000)/SUMIF('Final Calculation Sheet'!$G$4:$G$1000,G$3,'Final Calculation Sheet'!$A$4:$A$1000),"")</f>
        <v/>
      </c>
      <c r="H12" s="777">
        <f>IFERROR(SUMIF('Final Calculation Sheet'!$G$4:$G$1000,H$3,'Final Calculation Sheet'!$H$4:$H$1000)/SUMIF('Final Calculation Sheet'!$G$4:$G$1000,H$3,'Final Calculation Sheet'!$A$4:$A$1000),"")</f>
        <v/>
      </c>
      <c r="I12" s="778">
        <f>IFERROR(SUMIF('Final Calculation Sheet'!$G$4:$G$1000,I$3,'Final Calculation Sheet'!$H$4:$H$1000)/SUMIF('Final Calculation Sheet'!$G$4:$G$1000,I$3,'Final Calculation Sheet'!$A$4:$A$1000),"")</f>
        <v/>
      </c>
      <c r="J12" s="771">
        <f>IFERROR(SUMIF('Final Calculation Sheet'!$G$4:$G$1000,J$3,'Final Calculation Sheet'!$H$4:$H$1000)/SUMIF('Final Calculation Sheet'!$G$4:$G$1000,J$3,'Final Calculation Sheet'!$A$4:$A$1000),"")</f>
        <v/>
      </c>
      <c r="K12" s="772">
        <f>IFERROR(SUMIF('Final Calculation Sheet'!$G$4:$G$1000,K$3,'Final Calculation Sheet'!$H$4:$H$1000)/SUMIF('Final Calculation Sheet'!$G$4:$G$1000,K$3,'Final Calculation Sheet'!$A$4:$A$1000),"")</f>
        <v/>
      </c>
      <c r="L12" s="773">
        <f>IFERROR(SUMIF('Final Calculation Sheet'!$G$4:$G$1000,L$3,'Final Calculation Sheet'!$H$4:$H$1000)/SUMIF('Final Calculation Sheet'!$G$4:$G$1000,L$3,'Final Calculation Sheet'!$A$4:$A$1000),"")</f>
        <v/>
      </c>
      <c r="M12" s="774">
        <f>IFERROR(SUMIF('Final Calculation Sheet'!$G$4:$G$1000,M$3,'Final Calculation Sheet'!$H$4:$H$1000)/SUMIF('Final Calculation Sheet'!$G$4:$G$1000,M$3,'Final Calculation Sheet'!$A$4:$A$1000),"")</f>
        <v/>
      </c>
      <c r="N12" s="775">
        <f>IFERROR(SUMIF('Final Calculation Sheet'!$G$4:$G$1000,N$3,'Final Calculation Sheet'!$H$4:$H$1000)/SUMIF('Final Calculation Sheet'!$G$4:$G$1000,N$3,'Final Calculation Sheet'!$A$4:$A$1000),"")</f>
        <v/>
      </c>
      <c r="O12" s="682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763">
        <f>COUNTIFS('Final Calculation Sheet'!$G$4:$G$1000,B$3,'Final Calculation Sheet'!$AE$4:$AE$1000,"")</f>
        <v/>
      </c>
      <c r="C13" s="764">
        <f>COUNTIFS('Final Calculation Sheet'!$G$4:$G$1000,C$3,'Final Calculation Sheet'!$AE$4:$AE$1000,"")</f>
        <v/>
      </c>
      <c r="D13" s="765">
        <f>COUNTIFS('Final Calculation Sheet'!$G$4:$G$1000,D$3,'Final Calculation Sheet'!$AE$4:$AE$1000,"")</f>
        <v/>
      </c>
      <c r="E13" s="766">
        <f>COUNTIFS('Final Calculation Sheet'!$G$4:$G$1000,E$3,'Final Calculation Sheet'!$AE$4:$AE$1000,"")</f>
        <v/>
      </c>
      <c r="F13" s="767">
        <f>COUNTIFS('Final Calculation Sheet'!$G$4:$G$1000,F$3,'Final Calculation Sheet'!$AE$4:$AE$1000,"")</f>
        <v/>
      </c>
      <c r="G13" s="768">
        <f>COUNTIFS('Final Calculation Sheet'!$G$4:$G$1000,G$3,'Final Calculation Sheet'!$AE$4:$AE$1000,"")</f>
        <v/>
      </c>
      <c r="H13" s="769">
        <f>COUNTIFS('Final Calculation Sheet'!$G$4:$G$1000,H$3,'Final Calculation Sheet'!$AE$4:$AE$1000,"")</f>
        <v/>
      </c>
      <c r="I13" s="770">
        <f>COUNTIFS('Final Calculation Sheet'!$G$4:$G$1000,I$3,'Final Calculation Sheet'!$AE$4:$AE$1000,"")</f>
        <v/>
      </c>
      <c r="J13" s="763">
        <f>COUNTIFS('Final Calculation Sheet'!$G$4:$G$1000,J$3,'Final Calculation Sheet'!$AE$4:$AE$1000,"")</f>
        <v/>
      </c>
      <c r="K13" s="764">
        <f>COUNTIFS('Final Calculation Sheet'!$G$4:$G$1000,K$3,'Final Calculation Sheet'!$AE$4:$AE$1000,"")</f>
        <v/>
      </c>
      <c r="L13" s="765">
        <f>COUNTIFS('Final Calculation Sheet'!$G$4:$G$1000,L$3,'Final Calculation Sheet'!$AE$4:$AE$1000,"")</f>
        <v/>
      </c>
      <c r="M13" s="766">
        <f>COUNTIFS('Final Calculation Sheet'!$G$4:$G$1000,M$3,'Final Calculation Sheet'!$AE$4:$AE$1000,"")</f>
        <v/>
      </c>
      <c r="N13" s="767">
        <f>COUNTIFS('Final Calculation Sheet'!$G$4:$G$1000,N$3,'Final Calculation Sheet'!$AE$4:$AE$1000,"")</f>
        <v/>
      </c>
      <c r="O13" s="688">
        <f>SUM(B13:N13)</f>
        <v/>
      </c>
    </row>
    <row r="14" ht="17" customHeight="1">
      <c r="A14" s="798" t="inlineStr">
        <is>
          <t xml:space="preserve">  ▸ FINANCIALS</t>
        </is>
      </c>
      <c r="B14" s="695" t="n"/>
      <c r="C14" s="695" t="n"/>
      <c r="D14" s="695" t="n"/>
      <c r="E14" s="695" t="n"/>
      <c r="F14" s="695" t="n"/>
      <c r="G14" s="695" t="n"/>
      <c r="H14" s="695" t="n"/>
      <c r="I14" s="695" t="n"/>
      <c r="J14" s="695" t="n"/>
      <c r="K14" s="695" t="n"/>
      <c r="L14" s="695" t="n"/>
      <c r="M14" s="695" t="n"/>
      <c r="N14" s="695" t="n"/>
      <c r="O14" s="695" t="n"/>
    </row>
    <row r="15" outlineLevel="1" ht="15" customHeight="1">
      <c r="A15" s="69" t="inlineStr">
        <is>
          <t xml:space="preserve">      GST @ 18% (₹)</t>
        </is>
      </c>
      <c r="B15" s="771">
        <f>SUMIF('Final Calculation Sheet'!$G$4:$G$1000,B$3,'Final Calculation Sheet'!$I$4:$I$1000)</f>
        <v/>
      </c>
      <c r="C15" s="772">
        <f>SUMIF('Final Calculation Sheet'!$G$4:$G$1000,C$3,'Final Calculation Sheet'!$I$4:$I$1000)</f>
        <v/>
      </c>
      <c r="D15" s="773">
        <f>SUMIF('Final Calculation Sheet'!$G$4:$G$1000,D$3,'Final Calculation Sheet'!$I$4:$I$1000)</f>
        <v/>
      </c>
      <c r="E15" s="774">
        <f>SUMIF('Final Calculation Sheet'!$G$4:$G$1000,E$3,'Final Calculation Sheet'!$I$4:$I$1000)</f>
        <v/>
      </c>
      <c r="F15" s="775">
        <f>SUMIF('Final Calculation Sheet'!$G$4:$G$1000,F$3,'Final Calculation Sheet'!$I$4:$I$1000)</f>
        <v/>
      </c>
      <c r="G15" s="776">
        <f>SUMIF('Final Calculation Sheet'!$G$4:$G$1000,G$3,'Final Calculation Sheet'!$I$4:$I$1000)</f>
        <v/>
      </c>
      <c r="H15" s="777">
        <f>SUMIF('Final Calculation Sheet'!$G$4:$G$1000,H$3,'Final Calculation Sheet'!$I$4:$I$1000)</f>
        <v/>
      </c>
      <c r="I15" s="778">
        <f>SUMIF('Final Calculation Sheet'!$G$4:$G$1000,I$3,'Final Calculation Sheet'!$I$4:$I$1000)</f>
        <v/>
      </c>
      <c r="J15" s="771">
        <f>SUMIF('Final Calculation Sheet'!$G$4:$G$1000,J$3,'Final Calculation Sheet'!$I$4:$I$1000)</f>
        <v/>
      </c>
      <c r="K15" s="772">
        <f>SUMIF('Final Calculation Sheet'!$G$4:$G$1000,K$3,'Final Calculation Sheet'!$I$4:$I$1000)</f>
        <v/>
      </c>
      <c r="L15" s="773">
        <f>SUMIF('Final Calculation Sheet'!$G$4:$G$1000,L$3,'Final Calculation Sheet'!$I$4:$I$1000)</f>
        <v/>
      </c>
      <c r="M15" s="774">
        <f>SUMIF('Final Calculation Sheet'!$G$4:$G$1000,M$3,'Final Calculation Sheet'!$I$4:$I$1000)</f>
        <v/>
      </c>
      <c r="N15" s="775">
        <f>SUMIF('Final Calculation Sheet'!$G$4:$G$1000,N$3,'Final Calculation Sheet'!$I$4:$I$1000)</f>
        <v/>
      </c>
      <c r="O15" s="682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771">
        <f>SUMIF('Final Calculation Sheet'!$G$4:$G$1000,B$3,'Final Calculation Sheet'!$J$4:$J$1000)</f>
        <v/>
      </c>
      <c r="C16" s="772">
        <f>SUMIF('Final Calculation Sheet'!$G$4:$G$1000,C$3,'Final Calculation Sheet'!$J$4:$J$1000)</f>
        <v/>
      </c>
      <c r="D16" s="773">
        <f>SUMIF('Final Calculation Sheet'!$G$4:$G$1000,D$3,'Final Calculation Sheet'!$J$4:$J$1000)</f>
        <v/>
      </c>
      <c r="E16" s="774">
        <f>SUMIF('Final Calculation Sheet'!$G$4:$G$1000,E$3,'Final Calculation Sheet'!$J$4:$J$1000)</f>
        <v/>
      </c>
      <c r="F16" s="775">
        <f>SUMIF('Final Calculation Sheet'!$G$4:$G$1000,F$3,'Final Calculation Sheet'!$J$4:$J$1000)</f>
        <v/>
      </c>
      <c r="G16" s="776">
        <f>SUMIF('Final Calculation Sheet'!$G$4:$G$1000,G$3,'Final Calculation Sheet'!$J$4:$J$1000)</f>
        <v/>
      </c>
      <c r="H16" s="777">
        <f>SUMIF('Final Calculation Sheet'!$G$4:$G$1000,H$3,'Final Calculation Sheet'!$J$4:$J$1000)</f>
        <v/>
      </c>
      <c r="I16" s="778">
        <f>SUMIF('Final Calculation Sheet'!$G$4:$G$1000,I$3,'Final Calculation Sheet'!$J$4:$J$1000)</f>
        <v/>
      </c>
      <c r="J16" s="771">
        <f>SUMIF('Final Calculation Sheet'!$G$4:$G$1000,J$3,'Final Calculation Sheet'!$J$4:$J$1000)</f>
        <v/>
      </c>
      <c r="K16" s="772">
        <f>SUMIF('Final Calculation Sheet'!$G$4:$G$1000,K$3,'Final Calculation Sheet'!$J$4:$J$1000)</f>
        <v/>
      </c>
      <c r="L16" s="773">
        <f>SUMIF('Final Calculation Sheet'!$G$4:$G$1000,L$3,'Final Calculation Sheet'!$J$4:$J$1000)</f>
        <v/>
      </c>
      <c r="M16" s="774">
        <f>SUMIF('Final Calculation Sheet'!$G$4:$G$1000,M$3,'Final Calculation Sheet'!$J$4:$J$1000)</f>
        <v/>
      </c>
      <c r="N16" s="775">
        <f>SUMIF('Final Calculation Sheet'!$G$4:$G$1000,N$3,'Final Calculation Sheet'!$J$4:$J$1000)</f>
        <v/>
      </c>
      <c r="O16" s="682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771">
        <f>SUMIF('Final Calculation Sheet'!$G$4:$G$1000,B$3,'Final Calculation Sheet'!$K$4:$K$1000)</f>
        <v/>
      </c>
      <c r="C17" s="772">
        <f>SUMIF('Final Calculation Sheet'!$G$4:$G$1000,C$3,'Final Calculation Sheet'!$K$4:$K$1000)</f>
        <v/>
      </c>
      <c r="D17" s="773">
        <f>SUMIF('Final Calculation Sheet'!$G$4:$G$1000,D$3,'Final Calculation Sheet'!$K$4:$K$1000)</f>
        <v/>
      </c>
      <c r="E17" s="774">
        <f>SUMIF('Final Calculation Sheet'!$G$4:$G$1000,E$3,'Final Calculation Sheet'!$K$4:$K$1000)</f>
        <v/>
      </c>
      <c r="F17" s="775">
        <f>SUMIF('Final Calculation Sheet'!$G$4:$G$1000,F$3,'Final Calculation Sheet'!$K$4:$K$1000)</f>
        <v/>
      </c>
      <c r="G17" s="776">
        <f>SUMIF('Final Calculation Sheet'!$G$4:$G$1000,G$3,'Final Calculation Sheet'!$K$4:$K$1000)</f>
        <v/>
      </c>
      <c r="H17" s="777">
        <f>SUMIF('Final Calculation Sheet'!$G$4:$G$1000,H$3,'Final Calculation Sheet'!$K$4:$K$1000)</f>
        <v/>
      </c>
      <c r="I17" s="778">
        <f>SUMIF('Final Calculation Sheet'!$G$4:$G$1000,I$3,'Final Calculation Sheet'!$K$4:$K$1000)</f>
        <v/>
      </c>
      <c r="J17" s="771">
        <f>SUMIF('Final Calculation Sheet'!$G$4:$G$1000,J$3,'Final Calculation Sheet'!$K$4:$K$1000)</f>
        <v/>
      </c>
      <c r="K17" s="772">
        <f>SUMIF('Final Calculation Sheet'!$G$4:$G$1000,K$3,'Final Calculation Sheet'!$K$4:$K$1000)</f>
        <v/>
      </c>
      <c r="L17" s="773">
        <f>SUMIF('Final Calculation Sheet'!$G$4:$G$1000,L$3,'Final Calculation Sheet'!$K$4:$K$1000)</f>
        <v/>
      </c>
      <c r="M17" s="774">
        <f>SUMIF('Final Calculation Sheet'!$G$4:$G$1000,M$3,'Final Calculation Sheet'!$K$4:$K$1000)</f>
        <v/>
      </c>
      <c r="N17" s="775">
        <f>SUMIF('Final Calculation Sheet'!$G$4:$G$1000,N$3,'Final Calculation Sheet'!$K$4:$K$1000)</f>
        <v/>
      </c>
      <c r="O17" s="682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799">
        <f>SUMIF('Final Calculation Sheet'!$G$4:$G$1000,B$3,'Final Calculation Sheet'!$L$4:$L$1000)</f>
        <v/>
      </c>
      <c r="C18" s="800">
        <f>SUMIF('Final Calculation Sheet'!$G$4:$G$1000,C$3,'Final Calculation Sheet'!$L$4:$L$1000)</f>
        <v/>
      </c>
      <c r="D18" s="801">
        <f>SUMIF('Final Calculation Sheet'!$G$4:$G$1000,D$3,'Final Calculation Sheet'!$L$4:$L$1000)</f>
        <v/>
      </c>
      <c r="E18" s="802">
        <f>SUMIF('Final Calculation Sheet'!$G$4:$G$1000,E$3,'Final Calculation Sheet'!$L$4:$L$1000)</f>
        <v/>
      </c>
      <c r="F18" s="803">
        <f>SUMIF('Final Calculation Sheet'!$G$4:$G$1000,F$3,'Final Calculation Sheet'!$L$4:$L$1000)</f>
        <v/>
      </c>
      <c r="G18" s="804">
        <f>SUMIF('Final Calculation Sheet'!$G$4:$G$1000,G$3,'Final Calculation Sheet'!$L$4:$L$1000)</f>
        <v/>
      </c>
      <c r="H18" s="805">
        <f>SUMIF('Final Calculation Sheet'!$G$4:$G$1000,H$3,'Final Calculation Sheet'!$L$4:$L$1000)</f>
        <v/>
      </c>
      <c r="I18" s="806">
        <f>SUMIF('Final Calculation Sheet'!$G$4:$G$1000,I$3,'Final Calculation Sheet'!$L$4:$L$1000)</f>
        <v/>
      </c>
      <c r="J18" s="799">
        <f>SUMIF('Final Calculation Sheet'!$G$4:$G$1000,J$3,'Final Calculation Sheet'!$L$4:$L$1000)</f>
        <v/>
      </c>
      <c r="K18" s="800">
        <f>SUMIF('Final Calculation Sheet'!$G$4:$G$1000,K$3,'Final Calculation Sheet'!$L$4:$L$1000)</f>
        <v/>
      </c>
      <c r="L18" s="801">
        <f>SUMIF('Final Calculation Sheet'!$G$4:$G$1000,L$3,'Final Calculation Sheet'!$L$4:$L$1000)</f>
        <v/>
      </c>
      <c r="M18" s="802">
        <f>SUMIF('Final Calculation Sheet'!$G$4:$G$1000,M$3,'Final Calculation Sheet'!$L$4:$L$1000)</f>
        <v/>
      </c>
      <c r="N18" s="803">
        <f>SUMIF('Final Calculation Sheet'!$G$4:$G$1000,N$3,'Final Calculation Sheet'!$L$4:$L$1000)</f>
        <v/>
      </c>
      <c r="O18" s="807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799">
        <f>SUMIF('Final Calculation Sheet'!$G$4:$G$1000,B$3,'Final Calculation Sheet'!$M$4:$M$1000)</f>
        <v/>
      </c>
      <c r="C19" s="800">
        <f>SUMIF('Final Calculation Sheet'!$G$4:$G$1000,C$3,'Final Calculation Sheet'!$M$4:$M$1000)</f>
        <v/>
      </c>
      <c r="D19" s="801">
        <f>SUMIF('Final Calculation Sheet'!$G$4:$G$1000,D$3,'Final Calculation Sheet'!$M$4:$M$1000)</f>
        <v/>
      </c>
      <c r="E19" s="802">
        <f>SUMIF('Final Calculation Sheet'!$G$4:$G$1000,E$3,'Final Calculation Sheet'!$M$4:$M$1000)</f>
        <v/>
      </c>
      <c r="F19" s="803">
        <f>SUMIF('Final Calculation Sheet'!$G$4:$G$1000,F$3,'Final Calculation Sheet'!$M$4:$M$1000)</f>
        <v/>
      </c>
      <c r="G19" s="804">
        <f>SUMIF('Final Calculation Sheet'!$G$4:$G$1000,G$3,'Final Calculation Sheet'!$M$4:$M$1000)</f>
        <v/>
      </c>
      <c r="H19" s="805">
        <f>SUMIF('Final Calculation Sheet'!$G$4:$G$1000,H$3,'Final Calculation Sheet'!$M$4:$M$1000)</f>
        <v/>
      </c>
      <c r="I19" s="806">
        <f>SUMIF('Final Calculation Sheet'!$G$4:$G$1000,I$3,'Final Calculation Sheet'!$M$4:$M$1000)</f>
        <v/>
      </c>
      <c r="J19" s="799">
        <f>SUMIF('Final Calculation Sheet'!$G$4:$G$1000,J$3,'Final Calculation Sheet'!$M$4:$M$1000)</f>
        <v/>
      </c>
      <c r="K19" s="800">
        <f>SUMIF('Final Calculation Sheet'!$G$4:$G$1000,K$3,'Final Calculation Sheet'!$M$4:$M$1000)</f>
        <v/>
      </c>
      <c r="L19" s="801">
        <f>SUMIF('Final Calculation Sheet'!$G$4:$G$1000,L$3,'Final Calculation Sheet'!$M$4:$M$1000)</f>
        <v/>
      </c>
      <c r="M19" s="802">
        <f>SUMIF('Final Calculation Sheet'!$G$4:$G$1000,M$3,'Final Calculation Sheet'!$M$4:$M$1000)</f>
        <v/>
      </c>
      <c r="N19" s="803">
        <f>SUMIF('Final Calculation Sheet'!$G$4:$G$1000,N$3,'Final Calculation Sheet'!$M$4:$M$1000)</f>
        <v/>
      </c>
      <c r="O19" s="807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799">
        <f>SUMIF('Final Calculation Sheet'!$G$4:$G$1000,B$3,'Final Calculation Sheet'!$N$4:$N$1000)</f>
        <v/>
      </c>
      <c r="C20" s="800">
        <f>SUMIF('Final Calculation Sheet'!$G$4:$G$1000,C$3,'Final Calculation Sheet'!$N$4:$N$1000)</f>
        <v/>
      </c>
      <c r="D20" s="801">
        <f>SUMIF('Final Calculation Sheet'!$G$4:$G$1000,D$3,'Final Calculation Sheet'!$N$4:$N$1000)</f>
        <v/>
      </c>
      <c r="E20" s="802">
        <f>SUMIF('Final Calculation Sheet'!$G$4:$G$1000,E$3,'Final Calculation Sheet'!$N$4:$N$1000)</f>
        <v/>
      </c>
      <c r="F20" s="803">
        <f>SUMIF('Final Calculation Sheet'!$G$4:$G$1000,F$3,'Final Calculation Sheet'!$N$4:$N$1000)</f>
        <v/>
      </c>
      <c r="G20" s="804">
        <f>SUMIF('Final Calculation Sheet'!$G$4:$G$1000,G$3,'Final Calculation Sheet'!$N$4:$N$1000)</f>
        <v/>
      </c>
      <c r="H20" s="805">
        <f>SUMIF('Final Calculation Sheet'!$G$4:$G$1000,H$3,'Final Calculation Sheet'!$N$4:$N$1000)</f>
        <v/>
      </c>
      <c r="I20" s="806">
        <f>SUMIF('Final Calculation Sheet'!$G$4:$G$1000,I$3,'Final Calculation Sheet'!$N$4:$N$1000)</f>
        <v/>
      </c>
      <c r="J20" s="799">
        <f>SUMIF('Final Calculation Sheet'!$G$4:$G$1000,J$3,'Final Calculation Sheet'!$N$4:$N$1000)</f>
        <v/>
      </c>
      <c r="K20" s="800">
        <f>SUMIF('Final Calculation Sheet'!$G$4:$G$1000,K$3,'Final Calculation Sheet'!$N$4:$N$1000)</f>
        <v/>
      </c>
      <c r="L20" s="801">
        <f>SUMIF('Final Calculation Sheet'!$G$4:$G$1000,L$3,'Final Calculation Sheet'!$N$4:$N$1000)</f>
        <v/>
      </c>
      <c r="M20" s="802">
        <f>SUMIF('Final Calculation Sheet'!$G$4:$G$1000,M$3,'Final Calculation Sheet'!$N$4:$N$1000)</f>
        <v/>
      </c>
      <c r="N20" s="803">
        <f>SUMIF('Final Calculation Sheet'!$G$4:$G$1000,N$3,'Final Calculation Sheet'!$N$4:$N$1000)</f>
        <v/>
      </c>
      <c r="O20" s="807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799">
        <f>SUMIF('Final Calculation Sheet'!$G$4:$G$1000,B$3,'Final Calculation Sheet'!$O$4:$O$1000)</f>
        <v/>
      </c>
      <c r="C21" s="800">
        <f>SUMIF('Final Calculation Sheet'!$G$4:$G$1000,C$3,'Final Calculation Sheet'!$O$4:$O$1000)</f>
        <v/>
      </c>
      <c r="D21" s="801">
        <f>SUMIF('Final Calculation Sheet'!$G$4:$G$1000,D$3,'Final Calculation Sheet'!$O$4:$O$1000)</f>
        <v/>
      </c>
      <c r="E21" s="802">
        <f>SUMIF('Final Calculation Sheet'!$G$4:$G$1000,E$3,'Final Calculation Sheet'!$O$4:$O$1000)</f>
        <v/>
      </c>
      <c r="F21" s="803">
        <f>SUMIF('Final Calculation Sheet'!$G$4:$G$1000,F$3,'Final Calculation Sheet'!$O$4:$O$1000)</f>
        <v/>
      </c>
      <c r="G21" s="804">
        <f>SUMIF('Final Calculation Sheet'!$G$4:$G$1000,G$3,'Final Calculation Sheet'!$O$4:$O$1000)</f>
        <v/>
      </c>
      <c r="H21" s="805">
        <f>SUMIF('Final Calculation Sheet'!$G$4:$G$1000,H$3,'Final Calculation Sheet'!$O$4:$O$1000)</f>
        <v/>
      </c>
      <c r="I21" s="806">
        <f>SUMIF('Final Calculation Sheet'!$G$4:$G$1000,I$3,'Final Calculation Sheet'!$O$4:$O$1000)</f>
        <v/>
      </c>
      <c r="J21" s="799">
        <f>SUMIF('Final Calculation Sheet'!$G$4:$G$1000,J$3,'Final Calculation Sheet'!$O$4:$O$1000)</f>
        <v/>
      </c>
      <c r="K21" s="800">
        <f>SUMIF('Final Calculation Sheet'!$G$4:$G$1000,K$3,'Final Calculation Sheet'!$O$4:$O$1000)</f>
        <v/>
      </c>
      <c r="L21" s="801">
        <f>SUMIF('Final Calculation Sheet'!$G$4:$G$1000,L$3,'Final Calculation Sheet'!$O$4:$O$1000)</f>
        <v/>
      </c>
      <c r="M21" s="802">
        <f>SUMIF('Final Calculation Sheet'!$G$4:$G$1000,M$3,'Final Calculation Sheet'!$O$4:$O$1000)</f>
        <v/>
      </c>
      <c r="N21" s="803">
        <f>SUMIF('Final Calculation Sheet'!$G$4:$G$1000,N$3,'Final Calculation Sheet'!$O$4:$O$1000)</f>
        <v/>
      </c>
      <c r="O21" s="807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771">
        <f>SUMIF('Final Calculation Sheet'!$G$4:$G$1000,B$3,'Final Calculation Sheet'!$P$4:$P$1000)</f>
        <v/>
      </c>
      <c r="C22" s="772">
        <f>SUMIF('Final Calculation Sheet'!$G$4:$G$1000,C$3,'Final Calculation Sheet'!$P$4:$P$1000)</f>
        <v/>
      </c>
      <c r="D22" s="773">
        <f>SUMIF('Final Calculation Sheet'!$G$4:$G$1000,D$3,'Final Calculation Sheet'!$P$4:$P$1000)</f>
        <v/>
      </c>
      <c r="E22" s="774">
        <f>SUMIF('Final Calculation Sheet'!$G$4:$G$1000,E$3,'Final Calculation Sheet'!$P$4:$P$1000)</f>
        <v/>
      </c>
      <c r="F22" s="775">
        <f>SUMIF('Final Calculation Sheet'!$G$4:$G$1000,F$3,'Final Calculation Sheet'!$P$4:$P$1000)</f>
        <v/>
      </c>
      <c r="G22" s="776">
        <f>SUMIF('Final Calculation Sheet'!$G$4:$G$1000,G$3,'Final Calculation Sheet'!$P$4:$P$1000)</f>
        <v/>
      </c>
      <c r="H22" s="777">
        <f>SUMIF('Final Calculation Sheet'!$G$4:$G$1000,H$3,'Final Calculation Sheet'!$P$4:$P$1000)</f>
        <v/>
      </c>
      <c r="I22" s="778">
        <f>SUMIF('Final Calculation Sheet'!$G$4:$G$1000,I$3,'Final Calculation Sheet'!$P$4:$P$1000)</f>
        <v/>
      </c>
      <c r="J22" s="771">
        <f>SUMIF('Final Calculation Sheet'!$G$4:$G$1000,J$3,'Final Calculation Sheet'!$P$4:$P$1000)</f>
        <v/>
      </c>
      <c r="K22" s="772">
        <f>SUMIF('Final Calculation Sheet'!$G$4:$G$1000,K$3,'Final Calculation Sheet'!$P$4:$P$1000)</f>
        <v/>
      </c>
      <c r="L22" s="773">
        <f>SUMIF('Final Calculation Sheet'!$G$4:$G$1000,L$3,'Final Calculation Sheet'!$P$4:$P$1000)</f>
        <v/>
      </c>
      <c r="M22" s="774">
        <f>SUMIF('Final Calculation Sheet'!$G$4:$G$1000,M$3,'Final Calculation Sheet'!$P$4:$P$1000)</f>
        <v/>
      </c>
      <c r="N22" s="775">
        <f>SUMIF('Final Calculation Sheet'!$G$4:$G$1000,N$3,'Final Calculation Sheet'!$P$4:$P$1000)</f>
        <v/>
      </c>
      <c r="O22" s="682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771">
        <f>SUMIF('Final Calculation Sheet'!$G$4:$G$1000,B$3,'Final Calculation Sheet'!$R$4:$R$1000)</f>
        <v/>
      </c>
      <c r="C23" s="772">
        <f>SUMIF('Final Calculation Sheet'!$G$4:$G$1000,C$3,'Final Calculation Sheet'!$R$4:$R$1000)</f>
        <v/>
      </c>
      <c r="D23" s="773">
        <f>SUMIF('Final Calculation Sheet'!$G$4:$G$1000,D$3,'Final Calculation Sheet'!$R$4:$R$1000)</f>
        <v/>
      </c>
      <c r="E23" s="774">
        <f>SUMIF('Final Calculation Sheet'!$G$4:$G$1000,E$3,'Final Calculation Sheet'!$R$4:$R$1000)</f>
        <v/>
      </c>
      <c r="F23" s="775">
        <f>SUMIF('Final Calculation Sheet'!$G$4:$G$1000,F$3,'Final Calculation Sheet'!$R$4:$R$1000)</f>
        <v/>
      </c>
      <c r="G23" s="776">
        <f>SUMIF('Final Calculation Sheet'!$G$4:$G$1000,G$3,'Final Calculation Sheet'!$R$4:$R$1000)</f>
        <v/>
      </c>
      <c r="H23" s="777">
        <f>SUMIF('Final Calculation Sheet'!$G$4:$G$1000,H$3,'Final Calculation Sheet'!$R$4:$R$1000)</f>
        <v/>
      </c>
      <c r="I23" s="778">
        <f>SUMIF('Final Calculation Sheet'!$G$4:$G$1000,I$3,'Final Calculation Sheet'!$R$4:$R$1000)</f>
        <v/>
      </c>
      <c r="J23" s="771">
        <f>SUMIF('Final Calculation Sheet'!$G$4:$G$1000,J$3,'Final Calculation Sheet'!$R$4:$R$1000)</f>
        <v/>
      </c>
      <c r="K23" s="772">
        <f>SUMIF('Final Calculation Sheet'!$G$4:$G$1000,K$3,'Final Calculation Sheet'!$R$4:$R$1000)</f>
        <v/>
      </c>
      <c r="L23" s="773">
        <f>SUMIF('Final Calculation Sheet'!$G$4:$G$1000,L$3,'Final Calculation Sheet'!$R$4:$R$1000)</f>
        <v/>
      </c>
      <c r="M23" s="774">
        <f>SUMIF('Final Calculation Sheet'!$G$4:$G$1000,M$3,'Final Calculation Sheet'!$R$4:$R$1000)</f>
        <v/>
      </c>
      <c r="N23" s="775">
        <f>SUMIF('Final Calculation Sheet'!$G$4:$G$1000,N$3,'Final Calculation Sheet'!$R$4:$R$1000)</f>
        <v/>
      </c>
      <c r="O23" s="682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808">
        <f>IFERROR(SUMIF('Final Calculation Sheet'!$G$4:$G$1000,B$3,'Final Calculation Sheet'!$R$4:$R$1000)/SUMIF('Final Calculation Sheet'!$G$4:$G$1000,B$3,'Final Calculation Sheet'!$H$4:$H$1000),"")</f>
        <v/>
      </c>
      <c r="C24" s="809">
        <f>IFERROR(SUMIF('Final Calculation Sheet'!$G$4:$G$1000,C$3,'Final Calculation Sheet'!$R$4:$R$1000)/SUMIF('Final Calculation Sheet'!$G$4:$G$1000,C$3,'Final Calculation Sheet'!$H$4:$H$1000),"")</f>
        <v/>
      </c>
      <c r="D24" s="810">
        <f>IFERROR(SUMIF('Final Calculation Sheet'!$G$4:$G$1000,D$3,'Final Calculation Sheet'!$R$4:$R$1000)/SUMIF('Final Calculation Sheet'!$G$4:$G$1000,D$3,'Final Calculation Sheet'!$H$4:$H$1000),"")</f>
        <v/>
      </c>
      <c r="E24" s="811">
        <f>IFERROR(SUMIF('Final Calculation Sheet'!$G$4:$G$1000,E$3,'Final Calculation Sheet'!$R$4:$R$1000)/SUMIF('Final Calculation Sheet'!$G$4:$G$1000,E$3,'Final Calculation Sheet'!$H$4:$H$1000),"")</f>
        <v/>
      </c>
      <c r="F24" s="812">
        <f>IFERROR(SUMIF('Final Calculation Sheet'!$G$4:$G$1000,F$3,'Final Calculation Sheet'!$R$4:$R$1000)/SUMIF('Final Calculation Sheet'!$G$4:$G$1000,F$3,'Final Calculation Sheet'!$H$4:$H$1000),"")</f>
        <v/>
      </c>
      <c r="G24" s="813">
        <f>IFERROR(SUMIF('Final Calculation Sheet'!$G$4:$G$1000,G$3,'Final Calculation Sheet'!$R$4:$R$1000)/SUMIF('Final Calculation Sheet'!$G$4:$G$1000,G$3,'Final Calculation Sheet'!$H$4:$H$1000),"")</f>
        <v/>
      </c>
      <c r="H24" s="814">
        <f>IFERROR(SUMIF('Final Calculation Sheet'!$G$4:$G$1000,H$3,'Final Calculation Sheet'!$R$4:$R$1000)/SUMIF('Final Calculation Sheet'!$G$4:$G$1000,H$3,'Final Calculation Sheet'!$H$4:$H$1000),"")</f>
        <v/>
      </c>
      <c r="I24" s="815">
        <f>IFERROR(SUMIF('Final Calculation Sheet'!$G$4:$G$1000,I$3,'Final Calculation Sheet'!$R$4:$R$1000)/SUMIF('Final Calculation Sheet'!$G$4:$G$1000,I$3,'Final Calculation Sheet'!$H$4:$H$1000),"")</f>
        <v/>
      </c>
      <c r="J24" s="808">
        <f>IFERROR(SUMIF('Final Calculation Sheet'!$G$4:$G$1000,J$3,'Final Calculation Sheet'!$R$4:$R$1000)/SUMIF('Final Calculation Sheet'!$G$4:$G$1000,J$3,'Final Calculation Sheet'!$H$4:$H$1000),"")</f>
        <v/>
      </c>
      <c r="K24" s="809">
        <f>IFERROR(SUMIF('Final Calculation Sheet'!$G$4:$G$1000,K$3,'Final Calculation Sheet'!$R$4:$R$1000)/SUMIF('Final Calculation Sheet'!$G$4:$G$1000,K$3,'Final Calculation Sheet'!$H$4:$H$1000),"")</f>
        <v/>
      </c>
      <c r="L24" s="810">
        <f>IFERROR(SUMIF('Final Calculation Sheet'!$G$4:$G$1000,L$3,'Final Calculation Sheet'!$R$4:$R$1000)/SUMIF('Final Calculation Sheet'!$G$4:$G$1000,L$3,'Final Calculation Sheet'!$H$4:$H$1000),"")</f>
        <v/>
      </c>
      <c r="M24" s="811">
        <f>IFERROR(SUMIF('Final Calculation Sheet'!$G$4:$G$1000,M$3,'Final Calculation Sheet'!$R$4:$R$1000)/SUMIF('Final Calculation Sheet'!$G$4:$G$1000,M$3,'Final Calculation Sheet'!$H$4:$H$1000),"")</f>
        <v/>
      </c>
      <c r="N24" s="812">
        <f>IFERROR(SUMIF('Final Calculation Sheet'!$G$4:$G$1000,N$3,'Final Calculation Sheet'!$R$4:$R$1000)/SUMIF('Final Calculation Sheet'!$G$4:$G$1000,N$3,'Final Calculation Sheet'!$H$4:$H$1000),"")</f>
        <v/>
      </c>
      <c r="O24" s="816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771">
        <f>SUMIF('Final Calculation Sheet'!$G$4:$G$1000,B$3,'Final Calculation Sheet'!$S$4:$S$1000)</f>
        <v/>
      </c>
      <c r="C25" s="772">
        <f>SUMIF('Final Calculation Sheet'!$G$4:$G$1000,C$3,'Final Calculation Sheet'!$S$4:$S$1000)</f>
        <v/>
      </c>
      <c r="D25" s="773">
        <f>SUMIF('Final Calculation Sheet'!$G$4:$G$1000,D$3,'Final Calculation Sheet'!$S$4:$S$1000)</f>
        <v/>
      </c>
      <c r="E25" s="774">
        <f>SUMIF('Final Calculation Sheet'!$G$4:$G$1000,E$3,'Final Calculation Sheet'!$S$4:$S$1000)</f>
        <v/>
      </c>
      <c r="F25" s="775">
        <f>SUMIF('Final Calculation Sheet'!$G$4:$G$1000,F$3,'Final Calculation Sheet'!$S$4:$S$1000)</f>
        <v/>
      </c>
      <c r="G25" s="776">
        <f>SUMIF('Final Calculation Sheet'!$G$4:$G$1000,G$3,'Final Calculation Sheet'!$S$4:$S$1000)</f>
        <v/>
      </c>
      <c r="H25" s="777">
        <f>SUMIF('Final Calculation Sheet'!$G$4:$G$1000,H$3,'Final Calculation Sheet'!$S$4:$S$1000)</f>
        <v/>
      </c>
      <c r="I25" s="778">
        <f>SUMIF('Final Calculation Sheet'!$G$4:$G$1000,I$3,'Final Calculation Sheet'!$S$4:$S$1000)</f>
        <v/>
      </c>
      <c r="J25" s="771">
        <f>SUMIF('Final Calculation Sheet'!$G$4:$G$1000,J$3,'Final Calculation Sheet'!$S$4:$S$1000)</f>
        <v/>
      </c>
      <c r="K25" s="772">
        <f>SUMIF('Final Calculation Sheet'!$G$4:$G$1000,K$3,'Final Calculation Sheet'!$S$4:$S$1000)</f>
        <v/>
      </c>
      <c r="L25" s="773">
        <f>SUMIF('Final Calculation Sheet'!$G$4:$G$1000,L$3,'Final Calculation Sheet'!$S$4:$S$1000)</f>
        <v/>
      </c>
      <c r="M25" s="774">
        <f>SUMIF('Final Calculation Sheet'!$G$4:$G$1000,M$3,'Final Calculation Sheet'!$S$4:$S$1000)</f>
        <v/>
      </c>
      <c r="N25" s="775">
        <f>SUMIF('Final Calculation Sheet'!$G$4:$G$1000,N$3,'Final Calculation Sheet'!$S$4:$S$1000)</f>
        <v/>
      </c>
      <c r="O25" s="682">
        <f>SUM(B25:N25)</f>
        <v/>
      </c>
    </row>
    <row r="26" ht="17" customHeight="1">
      <c r="A26" s="817" t="inlineStr">
        <is>
          <t xml:space="preserve">  ▸ SECURITY DEPOSIT</t>
        </is>
      </c>
      <c r="B26" s="697" t="n"/>
      <c r="C26" s="697" t="n"/>
      <c r="D26" s="697" t="n"/>
      <c r="E26" s="697" t="n"/>
      <c r="F26" s="697" t="n"/>
      <c r="G26" s="697" t="n"/>
      <c r="H26" s="697" t="n"/>
      <c r="I26" s="697" t="n"/>
      <c r="J26" s="697" t="n"/>
      <c r="K26" s="697" t="n"/>
      <c r="L26" s="697" t="n"/>
      <c r="M26" s="697" t="n"/>
      <c r="N26" s="697" t="n"/>
      <c r="O26" s="697" t="n"/>
    </row>
    <row r="27" outlineLevel="1" ht="15" customHeight="1">
      <c r="A27" s="69" t="inlineStr">
        <is>
          <t xml:space="preserve">      SD Expected (₹)</t>
        </is>
      </c>
      <c r="B27" s="771">
        <f>SUMIF('Final Calculation Sheet'!$G$4:$G$1000,B$3,'Final Calculation Sheet'!$T$4:$T$1000)</f>
        <v/>
      </c>
      <c r="C27" s="772">
        <f>SUMIF('Final Calculation Sheet'!$G$4:$G$1000,C$3,'Final Calculation Sheet'!$T$4:$T$1000)</f>
        <v/>
      </c>
      <c r="D27" s="773">
        <f>SUMIF('Final Calculation Sheet'!$G$4:$G$1000,D$3,'Final Calculation Sheet'!$T$4:$T$1000)</f>
        <v/>
      </c>
      <c r="E27" s="774">
        <f>SUMIF('Final Calculation Sheet'!$G$4:$G$1000,E$3,'Final Calculation Sheet'!$T$4:$T$1000)</f>
        <v/>
      </c>
      <c r="F27" s="775">
        <f>SUMIF('Final Calculation Sheet'!$G$4:$G$1000,F$3,'Final Calculation Sheet'!$T$4:$T$1000)</f>
        <v/>
      </c>
      <c r="G27" s="776">
        <f>SUMIF('Final Calculation Sheet'!$G$4:$G$1000,G$3,'Final Calculation Sheet'!$T$4:$T$1000)</f>
        <v/>
      </c>
      <c r="H27" s="777">
        <f>SUMIF('Final Calculation Sheet'!$G$4:$G$1000,H$3,'Final Calculation Sheet'!$T$4:$T$1000)</f>
        <v/>
      </c>
      <c r="I27" s="778">
        <f>SUMIF('Final Calculation Sheet'!$G$4:$G$1000,I$3,'Final Calculation Sheet'!$T$4:$T$1000)</f>
        <v/>
      </c>
      <c r="J27" s="771">
        <f>SUMIF('Final Calculation Sheet'!$G$4:$G$1000,J$3,'Final Calculation Sheet'!$T$4:$T$1000)</f>
        <v/>
      </c>
      <c r="K27" s="772">
        <f>SUMIF('Final Calculation Sheet'!$G$4:$G$1000,K$3,'Final Calculation Sheet'!$T$4:$T$1000)</f>
        <v/>
      </c>
      <c r="L27" s="773">
        <f>SUMIF('Final Calculation Sheet'!$G$4:$G$1000,L$3,'Final Calculation Sheet'!$T$4:$T$1000)</f>
        <v/>
      </c>
      <c r="M27" s="774">
        <f>SUMIF('Final Calculation Sheet'!$G$4:$G$1000,M$3,'Final Calculation Sheet'!$T$4:$T$1000)</f>
        <v/>
      </c>
      <c r="N27" s="775">
        <f>SUMIF('Final Calculation Sheet'!$G$4:$G$1000,N$3,'Final Calculation Sheet'!$T$4:$T$1000)</f>
        <v/>
      </c>
      <c r="O27" s="682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771">
        <f>SUMIF('Final Calculation Sheet'!$G$4:$G$1000,B$3,'Final Calculation Sheet'!$U$4:$U$1000)</f>
        <v/>
      </c>
      <c r="C28" s="772">
        <f>SUMIF('Final Calculation Sheet'!$G$4:$G$1000,C$3,'Final Calculation Sheet'!$U$4:$U$1000)</f>
        <v/>
      </c>
      <c r="D28" s="773">
        <f>SUMIF('Final Calculation Sheet'!$G$4:$G$1000,D$3,'Final Calculation Sheet'!$U$4:$U$1000)</f>
        <v/>
      </c>
      <c r="E28" s="774">
        <f>SUMIF('Final Calculation Sheet'!$G$4:$G$1000,E$3,'Final Calculation Sheet'!$U$4:$U$1000)</f>
        <v/>
      </c>
      <c r="F28" s="775">
        <f>SUMIF('Final Calculation Sheet'!$G$4:$G$1000,F$3,'Final Calculation Sheet'!$U$4:$U$1000)</f>
        <v/>
      </c>
      <c r="G28" s="776">
        <f>SUMIF('Final Calculation Sheet'!$G$4:$G$1000,G$3,'Final Calculation Sheet'!$U$4:$U$1000)</f>
        <v/>
      </c>
      <c r="H28" s="777">
        <f>SUMIF('Final Calculation Sheet'!$G$4:$G$1000,H$3,'Final Calculation Sheet'!$U$4:$U$1000)</f>
        <v/>
      </c>
      <c r="I28" s="778">
        <f>SUMIF('Final Calculation Sheet'!$G$4:$G$1000,I$3,'Final Calculation Sheet'!$U$4:$U$1000)</f>
        <v/>
      </c>
      <c r="J28" s="771">
        <f>SUMIF('Final Calculation Sheet'!$G$4:$G$1000,J$3,'Final Calculation Sheet'!$U$4:$U$1000)</f>
        <v/>
      </c>
      <c r="K28" s="772">
        <f>SUMIF('Final Calculation Sheet'!$G$4:$G$1000,K$3,'Final Calculation Sheet'!$U$4:$U$1000)</f>
        <v/>
      </c>
      <c r="L28" s="773">
        <f>SUMIF('Final Calculation Sheet'!$G$4:$G$1000,L$3,'Final Calculation Sheet'!$U$4:$U$1000)</f>
        <v/>
      </c>
      <c r="M28" s="774">
        <f>SUMIF('Final Calculation Sheet'!$G$4:$G$1000,M$3,'Final Calculation Sheet'!$U$4:$U$1000)</f>
        <v/>
      </c>
      <c r="N28" s="775">
        <f>SUMIF('Final Calculation Sheet'!$G$4:$G$1000,N$3,'Final Calculation Sheet'!$U$4:$U$1000)</f>
        <v/>
      </c>
      <c r="O28" s="682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771">
        <f>SUMIF('Final Calculation Sheet'!$G$4:$G$1000,B$3,'Final Calculation Sheet'!$T$4:$T$1000)-SUMIF('Final Calculation Sheet'!$G$4:$G$1000,B$3,'Final Calculation Sheet'!$U$4:$U$1000)</f>
        <v/>
      </c>
      <c r="C29" s="772">
        <f>SUMIF('Final Calculation Sheet'!$G$4:$G$1000,C$3,'Final Calculation Sheet'!$T$4:$T$1000)-SUMIF('Final Calculation Sheet'!$G$4:$G$1000,C$3,'Final Calculation Sheet'!$U$4:$U$1000)</f>
        <v/>
      </c>
      <c r="D29" s="773">
        <f>SUMIF('Final Calculation Sheet'!$G$4:$G$1000,D$3,'Final Calculation Sheet'!$T$4:$T$1000)-SUMIF('Final Calculation Sheet'!$G$4:$G$1000,D$3,'Final Calculation Sheet'!$U$4:$U$1000)</f>
        <v/>
      </c>
      <c r="E29" s="774">
        <f>SUMIF('Final Calculation Sheet'!$G$4:$G$1000,E$3,'Final Calculation Sheet'!$T$4:$T$1000)-SUMIF('Final Calculation Sheet'!$G$4:$G$1000,E$3,'Final Calculation Sheet'!$U$4:$U$1000)</f>
        <v/>
      </c>
      <c r="F29" s="775">
        <f>SUMIF('Final Calculation Sheet'!$G$4:$G$1000,F$3,'Final Calculation Sheet'!$T$4:$T$1000)-SUMIF('Final Calculation Sheet'!$G$4:$G$1000,F$3,'Final Calculation Sheet'!$U$4:$U$1000)</f>
        <v/>
      </c>
      <c r="G29" s="776">
        <f>SUMIF('Final Calculation Sheet'!$G$4:$G$1000,G$3,'Final Calculation Sheet'!$T$4:$T$1000)-SUMIF('Final Calculation Sheet'!$G$4:$G$1000,G$3,'Final Calculation Sheet'!$U$4:$U$1000)</f>
        <v/>
      </c>
      <c r="H29" s="777">
        <f>SUMIF('Final Calculation Sheet'!$G$4:$G$1000,H$3,'Final Calculation Sheet'!$T$4:$T$1000)-SUMIF('Final Calculation Sheet'!$G$4:$G$1000,H$3,'Final Calculation Sheet'!$U$4:$U$1000)</f>
        <v/>
      </c>
      <c r="I29" s="778">
        <f>SUMIF('Final Calculation Sheet'!$G$4:$G$1000,I$3,'Final Calculation Sheet'!$T$4:$T$1000)-SUMIF('Final Calculation Sheet'!$G$4:$G$1000,I$3,'Final Calculation Sheet'!$U$4:$U$1000)</f>
        <v/>
      </c>
      <c r="J29" s="771">
        <f>SUMIF('Final Calculation Sheet'!$G$4:$G$1000,J$3,'Final Calculation Sheet'!$T$4:$T$1000)-SUMIF('Final Calculation Sheet'!$G$4:$G$1000,J$3,'Final Calculation Sheet'!$U$4:$U$1000)</f>
        <v/>
      </c>
      <c r="K29" s="772">
        <f>SUMIF('Final Calculation Sheet'!$G$4:$G$1000,K$3,'Final Calculation Sheet'!$T$4:$T$1000)-SUMIF('Final Calculation Sheet'!$G$4:$G$1000,K$3,'Final Calculation Sheet'!$U$4:$U$1000)</f>
        <v/>
      </c>
      <c r="L29" s="773">
        <f>SUMIF('Final Calculation Sheet'!$G$4:$G$1000,L$3,'Final Calculation Sheet'!$T$4:$T$1000)-SUMIF('Final Calculation Sheet'!$G$4:$G$1000,L$3,'Final Calculation Sheet'!$U$4:$U$1000)</f>
        <v/>
      </c>
      <c r="M29" s="774">
        <f>SUMIF('Final Calculation Sheet'!$G$4:$G$1000,M$3,'Final Calculation Sheet'!$T$4:$T$1000)-SUMIF('Final Calculation Sheet'!$G$4:$G$1000,M$3,'Final Calculation Sheet'!$U$4:$U$1000)</f>
        <v/>
      </c>
      <c r="N29" s="775">
        <f>SUMIF('Final Calculation Sheet'!$G$4:$G$1000,N$3,'Final Calculation Sheet'!$T$4:$T$1000)-SUMIF('Final Calculation Sheet'!$G$4:$G$1000,N$3,'Final Calculation Sheet'!$U$4:$U$1000)</f>
        <v/>
      </c>
      <c r="O29" s="682">
        <f>O27-O28</f>
        <v/>
      </c>
    </row>
    <row r="30" ht="17" customHeight="1">
      <c r="A30" s="818" t="inlineStr">
        <is>
          <t xml:space="preserve">  ▸ FINAL PAYMENT</t>
        </is>
      </c>
      <c r="B30" s="819" t="n"/>
      <c r="C30" s="819" t="n"/>
      <c r="D30" s="819" t="n"/>
      <c r="E30" s="819" t="n"/>
      <c r="F30" s="819" t="n"/>
      <c r="G30" s="819" t="n"/>
      <c r="H30" s="819" t="n"/>
      <c r="I30" s="819" t="n"/>
      <c r="J30" s="819" t="n"/>
      <c r="K30" s="819" t="n"/>
      <c r="L30" s="819" t="n"/>
      <c r="M30" s="819" t="n"/>
      <c r="N30" s="819" t="n"/>
      <c r="O30" s="819" t="n"/>
    </row>
    <row r="31" outlineLevel="1" ht="15" customHeight="1">
      <c r="A31" s="69" t="inlineStr">
        <is>
          <t xml:space="preserve">      FP Expected (₹)</t>
        </is>
      </c>
      <c r="B31" s="771">
        <f>SUMIF('Final Calculation Sheet'!$G$4:$G$1000,B$3,'Final Calculation Sheet'!$W$4:$W$1000)</f>
        <v/>
      </c>
      <c r="C31" s="772">
        <f>SUMIF('Final Calculation Sheet'!$G$4:$G$1000,C$3,'Final Calculation Sheet'!$W$4:$W$1000)</f>
        <v/>
      </c>
      <c r="D31" s="773">
        <f>SUMIF('Final Calculation Sheet'!$G$4:$G$1000,D$3,'Final Calculation Sheet'!$W$4:$W$1000)</f>
        <v/>
      </c>
      <c r="E31" s="774">
        <f>SUMIF('Final Calculation Sheet'!$G$4:$G$1000,E$3,'Final Calculation Sheet'!$W$4:$W$1000)</f>
        <v/>
      </c>
      <c r="F31" s="775">
        <f>SUMIF('Final Calculation Sheet'!$G$4:$G$1000,F$3,'Final Calculation Sheet'!$W$4:$W$1000)</f>
        <v/>
      </c>
      <c r="G31" s="776">
        <f>SUMIF('Final Calculation Sheet'!$G$4:$G$1000,G$3,'Final Calculation Sheet'!$W$4:$W$1000)</f>
        <v/>
      </c>
      <c r="H31" s="777">
        <f>SUMIF('Final Calculation Sheet'!$G$4:$G$1000,H$3,'Final Calculation Sheet'!$W$4:$W$1000)</f>
        <v/>
      </c>
      <c r="I31" s="778">
        <f>SUMIF('Final Calculation Sheet'!$G$4:$G$1000,I$3,'Final Calculation Sheet'!$W$4:$W$1000)</f>
        <v/>
      </c>
      <c r="J31" s="771">
        <f>SUMIF('Final Calculation Sheet'!$G$4:$G$1000,J$3,'Final Calculation Sheet'!$W$4:$W$1000)</f>
        <v/>
      </c>
      <c r="K31" s="772">
        <f>SUMIF('Final Calculation Sheet'!$G$4:$G$1000,K$3,'Final Calculation Sheet'!$W$4:$W$1000)</f>
        <v/>
      </c>
      <c r="L31" s="773">
        <f>SUMIF('Final Calculation Sheet'!$G$4:$G$1000,L$3,'Final Calculation Sheet'!$W$4:$W$1000)</f>
        <v/>
      </c>
      <c r="M31" s="774">
        <f>SUMIF('Final Calculation Sheet'!$G$4:$G$1000,M$3,'Final Calculation Sheet'!$W$4:$W$1000)</f>
        <v/>
      </c>
      <c r="N31" s="775">
        <f>SUMIF('Final Calculation Sheet'!$G$4:$G$1000,N$3,'Final Calculation Sheet'!$W$4:$W$1000)</f>
        <v/>
      </c>
      <c r="O31" s="682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771">
        <f>SUMIF('Final Calculation Sheet'!$G$4:$G$1000,B$3,'Final Calculation Sheet'!$X$4:$X$1000)</f>
        <v/>
      </c>
      <c r="C32" s="772">
        <f>SUMIF('Final Calculation Sheet'!$G$4:$G$1000,C$3,'Final Calculation Sheet'!$X$4:$X$1000)</f>
        <v/>
      </c>
      <c r="D32" s="773">
        <f>SUMIF('Final Calculation Sheet'!$G$4:$G$1000,D$3,'Final Calculation Sheet'!$X$4:$X$1000)</f>
        <v/>
      </c>
      <c r="E32" s="774">
        <f>SUMIF('Final Calculation Sheet'!$G$4:$G$1000,E$3,'Final Calculation Sheet'!$X$4:$X$1000)</f>
        <v/>
      </c>
      <c r="F32" s="775">
        <f>SUMIF('Final Calculation Sheet'!$G$4:$G$1000,F$3,'Final Calculation Sheet'!$X$4:$X$1000)</f>
        <v/>
      </c>
      <c r="G32" s="776">
        <f>SUMIF('Final Calculation Sheet'!$G$4:$G$1000,G$3,'Final Calculation Sheet'!$X$4:$X$1000)</f>
        <v/>
      </c>
      <c r="H32" s="777">
        <f>SUMIF('Final Calculation Sheet'!$G$4:$G$1000,H$3,'Final Calculation Sheet'!$X$4:$X$1000)</f>
        <v/>
      </c>
      <c r="I32" s="778">
        <f>SUMIF('Final Calculation Sheet'!$G$4:$G$1000,I$3,'Final Calculation Sheet'!$X$4:$X$1000)</f>
        <v/>
      </c>
      <c r="J32" s="771">
        <f>SUMIF('Final Calculation Sheet'!$G$4:$G$1000,J$3,'Final Calculation Sheet'!$X$4:$X$1000)</f>
        <v/>
      </c>
      <c r="K32" s="772">
        <f>SUMIF('Final Calculation Sheet'!$G$4:$G$1000,K$3,'Final Calculation Sheet'!$X$4:$X$1000)</f>
        <v/>
      </c>
      <c r="L32" s="773">
        <f>SUMIF('Final Calculation Sheet'!$G$4:$G$1000,L$3,'Final Calculation Sheet'!$X$4:$X$1000)</f>
        <v/>
      </c>
      <c r="M32" s="774">
        <f>SUMIF('Final Calculation Sheet'!$G$4:$G$1000,M$3,'Final Calculation Sheet'!$X$4:$X$1000)</f>
        <v/>
      </c>
      <c r="N32" s="775">
        <f>SUMIF('Final Calculation Sheet'!$G$4:$G$1000,N$3,'Final Calculation Sheet'!$X$4:$X$1000)</f>
        <v/>
      </c>
      <c r="O32" s="682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771">
        <f>SUMIF('Final Calculation Sheet'!$G$4:$G$1000,B$3,'Final Calculation Sheet'!$W$4:$W$1000)-SUMIF('Final Calculation Sheet'!$G$4:$G$1000,B$3,'Final Calculation Sheet'!$X$4:$X$1000)</f>
        <v/>
      </c>
      <c r="C33" s="772">
        <f>SUMIF('Final Calculation Sheet'!$G$4:$G$1000,C$3,'Final Calculation Sheet'!$W$4:$W$1000)-SUMIF('Final Calculation Sheet'!$G$4:$G$1000,C$3,'Final Calculation Sheet'!$X$4:$X$1000)</f>
        <v/>
      </c>
      <c r="D33" s="773">
        <f>SUMIF('Final Calculation Sheet'!$G$4:$G$1000,D$3,'Final Calculation Sheet'!$W$4:$W$1000)-SUMIF('Final Calculation Sheet'!$G$4:$G$1000,D$3,'Final Calculation Sheet'!$X$4:$X$1000)</f>
        <v/>
      </c>
      <c r="E33" s="774">
        <f>SUMIF('Final Calculation Sheet'!$G$4:$G$1000,E$3,'Final Calculation Sheet'!$W$4:$W$1000)-SUMIF('Final Calculation Sheet'!$G$4:$G$1000,E$3,'Final Calculation Sheet'!$X$4:$X$1000)</f>
        <v/>
      </c>
      <c r="F33" s="775">
        <f>SUMIF('Final Calculation Sheet'!$G$4:$G$1000,F$3,'Final Calculation Sheet'!$W$4:$W$1000)-SUMIF('Final Calculation Sheet'!$G$4:$G$1000,F$3,'Final Calculation Sheet'!$X$4:$X$1000)</f>
        <v/>
      </c>
      <c r="G33" s="776">
        <f>SUMIF('Final Calculation Sheet'!$G$4:$G$1000,G$3,'Final Calculation Sheet'!$W$4:$W$1000)-SUMIF('Final Calculation Sheet'!$G$4:$G$1000,G$3,'Final Calculation Sheet'!$X$4:$X$1000)</f>
        <v/>
      </c>
      <c r="H33" s="777">
        <f>SUMIF('Final Calculation Sheet'!$G$4:$G$1000,H$3,'Final Calculation Sheet'!$W$4:$W$1000)-SUMIF('Final Calculation Sheet'!$G$4:$G$1000,H$3,'Final Calculation Sheet'!$X$4:$X$1000)</f>
        <v/>
      </c>
      <c r="I33" s="778">
        <f>SUMIF('Final Calculation Sheet'!$G$4:$G$1000,I$3,'Final Calculation Sheet'!$W$4:$W$1000)-SUMIF('Final Calculation Sheet'!$G$4:$G$1000,I$3,'Final Calculation Sheet'!$X$4:$X$1000)</f>
        <v/>
      </c>
      <c r="J33" s="771">
        <f>SUMIF('Final Calculation Sheet'!$G$4:$G$1000,J$3,'Final Calculation Sheet'!$W$4:$W$1000)-SUMIF('Final Calculation Sheet'!$G$4:$G$1000,J$3,'Final Calculation Sheet'!$X$4:$X$1000)</f>
        <v/>
      </c>
      <c r="K33" s="772">
        <f>SUMIF('Final Calculation Sheet'!$G$4:$G$1000,K$3,'Final Calculation Sheet'!$W$4:$W$1000)-SUMIF('Final Calculation Sheet'!$G$4:$G$1000,K$3,'Final Calculation Sheet'!$X$4:$X$1000)</f>
        <v/>
      </c>
      <c r="L33" s="773">
        <f>SUMIF('Final Calculation Sheet'!$G$4:$G$1000,L$3,'Final Calculation Sheet'!$W$4:$W$1000)-SUMIF('Final Calculation Sheet'!$G$4:$G$1000,L$3,'Final Calculation Sheet'!$X$4:$X$1000)</f>
        <v/>
      </c>
      <c r="M33" s="774">
        <f>SUMIF('Final Calculation Sheet'!$G$4:$G$1000,M$3,'Final Calculation Sheet'!$W$4:$W$1000)-SUMIF('Final Calculation Sheet'!$G$4:$G$1000,M$3,'Final Calculation Sheet'!$X$4:$X$1000)</f>
        <v/>
      </c>
      <c r="N33" s="775">
        <f>SUMIF('Final Calculation Sheet'!$G$4:$G$1000,N$3,'Final Calculation Sheet'!$W$4:$W$1000)-SUMIF('Final Calculation Sheet'!$G$4:$G$1000,N$3,'Final Calculation Sheet'!$X$4:$X$1000)</f>
        <v/>
      </c>
      <c r="O33" s="682">
        <f>O31-O32</f>
        <v/>
      </c>
    </row>
    <row r="34" ht="17" customHeight="1">
      <c r="A34" s="820" t="inlineStr">
        <is>
          <t xml:space="preserve">  ▸ LPP</t>
        </is>
      </c>
      <c r="B34" s="703" t="n"/>
      <c r="C34" s="703" t="n"/>
      <c r="D34" s="703" t="n"/>
      <c r="E34" s="703" t="n"/>
      <c r="F34" s="703" t="n"/>
      <c r="G34" s="703" t="n"/>
      <c r="H34" s="703" t="n"/>
      <c r="I34" s="703" t="n"/>
      <c r="J34" s="703" t="n"/>
      <c r="K34" s="703" t="n"/>
      <c r="L34" s="703" t="n"/>
      <c r="M34" s="703" t="n"/>
      <c r="N34" s="703" t="n"/>
      <c r="O34" s="703" t="n"/>
    </row>
    <row r="35" outlineLevel="1" ht="15" customHeight="1">
      <c r="A35" s="69" t="inlineStr">
        <is>
          <t xml:space="preserve">      LPP Expected (₹)</t>
        </is>
      </c>
      <c r="B35" s="771">
        <f>SUMIF('Final Calculation Sheet'!$G$4:$G$1000,B$3,'Final Calculation Sheet'!$Z$4:$Z$1000)</f>
        <v/>
      </c>
      <c r="C35" s="772">
        <f>SUMIF('Final Calculation Sheet'!$G$4:$G$1000,C$3,'Final Calculation Sheet'!$Z$4:$Z$1000)</f>
        <v/>
      </c>
      <c r="D35" s="773">
        <f>SUMIF('Final Calculation Sheet'!$G$4:$G$1000,D$3,'Final Calculation Sheet'!$Z$4:$Z$1000)</f>
        <v/>
      </c>
      <c r="E35" s="774">
        <f>SUMIF('Final Calculation Sheet'!$G$4:$G$1000,E$3,'Final Calculation Sheet'!$Z$4:$Z$1000)</f>
        <v/>
      </c>
      <c r="F35" s="775">
        <f>SUMIF('Final Calculation Sheet'!$G$4:$G$1000,F$3,'Final Calculation Sheet'!$Z$4:$Z$1000)</f>
        <v/>
      </c>
      <c r="G35" s="776">
        <f>SUMIF('Final Calculation Sheet'!$G$4:$G$1000,G$3,'Final Calculation Sheet'!$Z$4:$Z$1000)</f>
        <v/>
      </c>
      <c r="H35" s="777">
        <f>SUMIF('Final Calculation Sheet'!$G$4:$G$1000,H$3,'Final Calculation Sheet'!$Z$4:$Z$1000)</f>
        <v/>
      </c>
      <c r="I35" s="778">
        <f>SUMIF('Final Calculation Sheet'!$G$4:$G$1000,I$3,'Final Calculation Sheet'!$Z$4:$Z$1000)</f>
        <v/>
      </c>
      <c r="J35" s="771">
        <f>SUMIF('Final Calculation Sheet'!$G$4:$G$1000,J$3,'Final Calculation Sheet'!$Z$4:$Z$1000)</f>
        <v/>
      </c>
      <c r="K35" s="772">
        <f>SUMIF('Final Calculation Sheet'!$G$4:$G$1000,K$3,'Final Calculation Sheet'!$Z$4:$Z$1000)</f>
        <v/>
      </c>
      <c r="L35" s="773">
        <f>SUMIF('Final Calculation Sheet'!$G$4:$G$1000,L$3,'Final Calculation Sheet'!$Z$4:$Z$1000)</f>
        <v/>
      </c>
      <c r="M35" s="774">
        <f>SUMIF('Final Calculation Sheet'!$G$4:$G$1000,M$3,'Final Calculation Sheet'!$Z$4:$Z$1000)</f>
        <v/>
      </c>
      <c r="N35" s="775">
        <f>SUMIF('Final Calculation Sheet'!$G$4:$G$1000,N$3,'Final Calculation Sheet'!$Z$4:$Z$1000)</f>
        <v/>
      </c>
      <c r="O35" s="682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771">
        <f>SUMIF('Final Calculation Sheet'!$G$4:$G$1000,B$3,'Final Calculation Sheet'!$AA$4:$AA$1000)</f>
        <v/>
      </c>
      <c r="C36" s="772">
        <f>SUMIF('Final Calculation Sheet'!$G$4:$G$1000,C$3,'Final Calculation Sheet'!$AA$4:$AA$1000)</f>
        <v/>
      </c>
      <c r="D36" s="773">
        <f>SUMIF('Final Calculation Sheet'!$G$4:$G$1000,D$3,'Final Calculation Sheet'!$AA$4:$AA$1000)</f>
        <v/>
      </c>
      <c r="E36" s="774">
        <f>SUMIF('Final Calculation Sheet'!$G$4:$G$1000,E$3,'Final Calculation Sheet'!$AA$4:$AA$1000)</f>
        <v/>
      </c>
      <c r="F36" s="775">
        <f>SUMIF('Final Calculation Sheet'!$G$4:$G$1000,F$3,'Final Calculation Sheet'!$AA$4:$AA$1000)</f>
        <v/>
      </c>
      <c r="G36" s="776">
        <f>SUMIF('Final Calculation Sheet'!$G$4:$G$1000,G$3,'Final Calculation Sheet'!$AA$4:$AA$1000)</f>
        <v/>
      </c>
      <c r="H36" s="777">
        <f>SUMIF('Final Calculation Sheet'!$G$4:$G$1000,H$3,'Final Calculation Sheet'!$AA$4:$AA$1000)</f>
        <v/>
      </c>
      <c r="I36" s="778">
        <f>SUMIF('Final Calculation Sheet'!$G$4:$G$1000,I$3,'Final Calculation Sheet'!$AA$4:$AA$1000)</f>
        <v/>
      </c>
      <c r="J36" s="771">
        <f>SUMIF('Final Calculation Sheet'!$G$4:$G$1000,J$3,'Final Calculation Sheet'!$AA$4:$AA$1000)</f>
        <v/>
      </c>
      <c r="K36" s="772">
        <f>SUMIF('Final Calculation Sheet'!$G$4:$G$1000,K$3,'Final Calculation Sheet'!$AA$4:$AA$1000)</f>
        <v/>
      </c>
      <c r="L36" s="773">
        <f>SUMIF('Final Calculation Sheet'!$G$4:$G$1000,L$3,'Final Calculation Sheet'!$AA$4:$AA$1000)</f>
        <v/>
      </c>
      <c r="M36" s="774">
        <f>SUMIF('Final Calculation Sheet'!$G$4:$G$1000,M$3,'Final Calculation Sheet'!$AA$4:$AA$1000)</f>
        <v/>
      </c>
      <c r="N36" s="775">
        <f>SUMIF('Final Calculation Sheet'!$G$4:$G$1000,N$3,'Final Calculation Sheet'!$AA$4:$AA$1000)</f>
        <v/>
      </c>
      <c r="O36" s="682">
        <f>SUM(B36:N36)</f>
        <v/>
      </c>
    </row>
    <row r="37" ht="17" customHeight="1">
      <c r="A37" s="821" t="inlineStr">
        <is>
          <t xml:space="preserve">  ▸ DOCUMENT</t>
        </is>
      </c>
      <c r="B37" s="822" t="n"/>
      <c r="C37" s="822" t="n"/>
      <c r="D37" s="822" t="n"/>
      <c r="E37" s="822" t="n"/>
      <c r="F37" s="822" t="n"/>
      <c r="G37" s="822" t="n"/>
      <c r="H37" s="822" t="n"/>
      <c r="I37" s="822" t="n"/>
      <c r="J37" s="822" t="n"/>
      <c r="K37" s="822" t="n"/>
      <c r="L37" s="822" t="n"/>
      <c r="M37" s="822" t="n"/>
      <c r="N37" s="822" t="n"/>
      <c r="O37" s="822" t="n"/>
    </row>
    <row r="38" outlineLevel="1" ht="15" customHeight="1">
      <c r="A38" s="69" t="inlineStr">
        <is>
          <t xml:space="preserve">      Invoices raised</t>
        </is>
      </c>
      <c r="B38" s="763">
        <f>COUNTIF('Final Calculation Sheet'!$G$4:$G$1000,B$3)-COUNTIFS('Final Calculation Sheet'!$G$4:$G$1000,B$3,'Final Calculation Sheet'!$AE$4:$AE$1000,"")</f>
        <v/>
      </c>
      <c r="C38" s="764">
        <f>COUNTIF('Final Calculation Sheet'!$G$4:$G$1000,C$3)-COUNTIFS('Final Calculation Sheet'!$G$4:$G$1000,C$3,'Final Calculation Sheet'!$AE$4:$AE$1000,"")</f>
        <v/>
      </c>
      <c r="D38" s="765">
        <f>COUNTIF('Final Calculation Sheet'!$G$4:$G$1000,D$3)-COUNTIFS('Final Calculation Sheet'!$G$4:$G$1000,D$3,'Final Calculation Sheet'!$AE$4:$AE$1000,"")</f>
        <v/>
      </c>
      <c r="E38" s="766">
        <f>COUNTIF('Final Calculation Sheet'!$G$4:$G$1000,E$3)-COUNTIFS('Final Calculation Sheet'!$G$4:$G$1000,E$3,'Final Calculation Sheet'!$AE$4:$AE$1000,"")</f>
        <v/>
      </c>
      <c r="F38" s="767">
        <f>COUNTIF('Final Calculation Sheet'!$G$4:$G$1000,F$3)-COUNTIFS('Final Calculation Sheet'!$G$4:$G$1000,F$3,'Final Calculation Sheet'!$AE$4:$AE$1000,"")</f>
        <v/>
      </c>
      <c r="G38" s="768">
        <f>COUNTIF('Final Calculation Sheet'!$G$4:$G$1000,G$3)-COUNTIFS('Final Calculation Sheet'!$G$4:$G$1000,G$3,'Final Calculation Sheet'!$AE$4:$AE$1000,"")</f>
        <v/>
      </c>
      <c r="H38" s="769">
        <f>COUNTIF('Final Calculation Sheet'!$G$4:$G$1000,H$3)-COUNTIFS('Final Calculation Sheet'!$G$4:$G$1000,H$3,'Final Calculation Sheet'!$AE$4:$AE$1000,"")</f>
        <v/>
      </c>
      <c r="I38" s="770">
        <f>COUNTIF('Final Calculation Sheet'!$G$4:$G$1000,I$3)-COUNTIFS('Final Calculation Sheet'!$G$4:$G$1000,I$3,'Final Calculation Sheet'!$AE$4:$AE$1000,"")</f>
        <v/>
      </c>
      <c r="J38" s="763">
        <f>COUNTIF('Final Calculation Sheet'!$G$4:$G$1000,J$3)-COUNTIFS('Final Calculation Sheet'!$G$4:$G$1000,J$3,'Final Calculation Sheet'!$AE$4:$AE$1000,"")</f>
        <v/>
      </c>
      <c r="K38" s="764">
        <f>COUNTIF('Final Calculation Sheet'!$G$4:$G$1000,K$3)-COUNTIFS('Final Calculation Sheet'!$G$4:$G$1000,K$3,'Final Calculation Sheet'!$AE$4:$AE$1000,"")</f>
        <v/>
      </c>
      <c r="L38" s="765">
        <f>COUNTIF('Final Calculation Sheet'!$G$4:$G$1000,L$3)-COUNTIFS('Final Calculation Sheet'!$G$4:$G$1000,L$3,'Final Calculation Sheet'!$AE$4:$AE$1000,"")</f>
        <v/>
      </c>
      <c r="M38" s="766">
        <f>COUNTIF('Final Calculation Sheet'!$G$4:$G$1000,M$3)-COUNTIFS('Final Calculation Sheet'!$G$4:$G$1000,M$3,'Final Calculation Sheet'!$AE$4:$AE$1000,"")</f>
        <v/>
      </c>
      <c r="N38" s="767">
        <f>COUNTIF('Final Calculation Sheet'!$G$4:$G$1000,N$3)-COUNTIFS('Final Calculation Sheet'!$G$4:$G$1000,N$3,'Final Calculation Sheet'!$AE$4:$AE$1000,"")</f>
        <v/>
      </c>
      <c r="O38" s="688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763">
        <f>COUNTIF('Final Calculation Sheet'!$G$4:$G$1000,B$3)-COUNTIFS('Final Calculation Sheet'!$G$4:$G$1000,B$3,'Final Calculation Sheet'!$AF$4:$AF$1000,"")</f>
        <v/>
      </c>
      <c r="C39" s="764">
        <f>COUNTIF('Final Calculation Sheet'!$G$4:$G$1000,C$3)-COUNTIFS('Final Calculation Sheet'!$G$4:$G$1000,C$3,'Final Calculation Sheet'!$AF$4:$AF$1000,"")</f>
        <v/>
      </c>
      <c r="D39" s="765">
        <f>COUNTIF('Final Calculation Sheet'!$G$4:$G$1000,D$3)-COUNTIFS('Final Calculation Sheet'!$G$4:$G$1000,D$3,'Final Calculation Sheet'!$AF$4:$AF$1000,"")</f>
        <v/>
      </c>
      <c r="E39" s="766">
        <f>COUNTIF('Final Calculation Sheet'!$G$4:$G$1000,E$3)-COUNTIFS('Final Calculation Sheet'!$G$4:$G$1000,E$3,'Final Calculation Sheet'!$AF$4:$AF$1000,"")</f>
        <v/>
      </c>
      <c r="F39" s="767">
        <f>COUNTIF('Final Calculation Sheet'!$G$4:$G$1000,F$3)-COUNTIFS('Final Calculation Sheet'!$G$4:$G$1000,F$3,'Final Calculation Sheet'!$AF$4:$AF$1000,"")</f>
        <v/>
      </c>
      <c r="G39" s="768">
        <f>COUNTIF('Final Calculation Sheet'!$G$4:$G$1000,G$3)-COUNTIFS('Final Calculation Sheet'!$G$4:$G$1000,G$3,'Final Calculation Sheet'!$AF$4:$AF$1000,"")</f>
        <v/>
      </c>
      <c r="H39" s="769">
        <f>COUNTIF('Final Calculation Sheet'!$G$4:$G$1000,H$3)-COUNTIFS('Final Calculation Sheet'!$G$4:$G$1000,H$3,'Final Calculation Sheet'!$AF$4:$AF$1000,"")</f>
        <v/>
      </c>
      <c r="I39" s="770">
        <f>COUNTIF('Final Calculation Sheet'!$G$4:$G$1000,I$3)-COUNTIFS('Final Calculation Sheet'!$G$4:$G$1000,I$3,'Final Calculation Sheet'!$AF$4:$AF$1000,"")</f>
        <v/>
      </c>
      <c r="J39" s="763">
        <f>COUNTIF('Final Calculation Sheet'!$G$4:$G$1000,J$3)-COUNTIFS('Final Calculation Sheet'!$G$4:$G$1000,J$3,'Final Calculation Sheet'!$AF$4:$AF$1000,"")</f>
        <v/>
      </c>
      <c r="K39" s="764">
        <f>COUNTIF('Final Calculation Sheet'!$G$4:$G$1000,K$3)-COUNTIFS('Final Calculation Sheet'!$G$4:$G$1000,K$3,'Final Calculation Sheet'!$AF$4:$AF$1000,"")</f>
        <v/>
      </c>
      <c r="L39" s="765">
        <f>COUNTIF('Final Calculation Sheet'!$G$4:$G$1000,L$3)-COUNTIFS('Final Calculation Sheet'!$G$4:$G$1000,L$3,'Final Calculation Sheet'!$AF$4:$AF$1000,"")</f>
        <v/>
      </c>
      <c r="M39" s="766">
        <f>COUNTIF('Final Calculation Sheet'!$G$4:$G$1000,M$3)-COUNTIFS('Final Calculation Sheet'!$G$4:$G$1000,M$3,'Final Calculation Sheet'!$AF$4:$AF$1000,"")</f>
        <v/>
      </c>
      <c r="N39" s="767">
        <f>COUNTIF('Final Calculation Sheet'!$G$4:$G$1000,N$3)-COUNTIFS('Final Calculation Sheet'!$G$4:$G$1000,N$3,'Final Calculation Sheet'!$AF$4:$AF$1000,"")</f>
        <v/>
      </c>
      <c r="O39" s="688">
        <f>SUM(B39:N39)</f>
        <v/>
      </c>
    </row>
    <row r="40" ht="17" customHeight="1">
      <c r="A40" s="823" t="inlineStr">
        <is>
          <t xml:space="preserve">  ▸ RECOVERY</t>
        </is>
      </c>
      <c r="B40" s="824" t="n"/>
      <c r="C40" s="824" t="n"/>
      <c r="D40" s="824" t="n"/>
      <c r="E40" s="824" t="n"/>
      <c r="F40" s="824" t="n"/>
      <c r="G40" s="824" t="n"/>
      <c r="H40" s="824" t="n"/>
      <c r="I40" s="824" t="n"/>
      <c r="J40" s="824" t="n"/>
      <c r="K40" s="824" t="n"/>
      <c r="L40" s="824" t="n"/>
      <c r="M40" s="824" t="n"/>
      <c r="N40" s="824" t="n"/>
      <c r="O40" s="824" t="n"/>
    </row>
    <row r="41" outlineLevel="1" ht="15" customHeight="1">
      <c r="A41" s="69" t="inlineStr">
        <is>
          <t xml:space="preserve">      Collection %</t>
        </is>
      </c>
      <c r="B41" s="825">
        <f>IFERROR(SUMIF('Final Calculation Sheet'!$G$4:$G$1000,B$3,'Final Calculation Sheet'!$AC$4:$AC$1000)/SUMIF('Final Calculation Sheet'!$G$4:$G$1000,B$3,'Final Calculation Sheet'!$S$4:$S$1000),"")</f>
        <v/>
      </c>
      <c r="C41" s="826">
        <f>IFERROR(SUMIF('Final Calculation Sheet'!$G$4:$G$1000,C$3,'Final Calculation Sheet'!$AC$4:$AC$1000)/SUMIF('Final Calculation Sheet'!$G$4:$G$1000,C$3,'Final Calculation Sheet'!$S$4:$S$1000),"")</f>
        <v/>
      </c>
      <c r="D41" s="827">
        <f>IFERROR(SUMIF('Final Calculation Sheet'!$G$4:$G$1000,D$3,'Final Calculation Sheet'!$AC$4:$AC$1000)/SUMIF('Final Calculation Sheet'!$G$4:$G$1000,D$3,'Final Calculation Sheet'!$S$4:$S$1000),"")</f>
        <v/>
      </c>
      <c r="E41" s="828">
        <f>IFERROR(SUMIF('Final Calculation Sheet'!$G$4:$G$1000,E$3,'Final Calculation Sheet'!$AC$4:$AC$1000)/SUMIF('Final Calculation Sheet'!$G$4:$G$1000,E$3,'Final Calculation Sheet'!$S$4:$S$1000),"")</f>
        <v/>
      </c>
      <c r="F41" s="829">
        <f>IFERROR(SUMIF('Final Calculation Sheet'!$G$4:$G$1000,F$3,'Final Calculation Sheet'!$AC$4:$AC$1000)/SUMIF('Final Calculation Sheet'!$G$4:$G$1000,F$3,'Final Calculation Sheet'!$S$4:$S$1000),"")</f>
        <v/>
      </c>
      <c r="G41" s="830">
        <f>IFERROR(SUMIF('Final Calculation Sheet'!$G$4:$G$1000,G$3,'Final Calculation Sheet'!$AC$4:$AC$1000)/SUMIF('Final Calculation Sheet'!$G$4:$G$1000,G$3,'Final Calculation Sheet'!$S$4:$S$1000),"")</f>
        <v/>
      </c>
      <c r="H41" s="831">
        <f>IFERROR(SUMIF('Final Calculation Sheet'!$G$4:$G$1000,H$3,'Final Calculation Sheet'!$AC$4:$AC$1000)/SUMIF('Final Calculation Sheet'!$G$4:$G$1000,H$3,'Final Calculation Sheet'!$S$4:$S$1000),"")</f>
        <v/>
      </c>
      <c r="I41" s="832">
        <f>IFERROR(SUMIF('Final Calculation Sheet'!$G$4:$G$1000,I$3,'Final Calculation Sheet'!$AC$4:$AC$1000)/SUMIF('Final Calculation Sheet'!$G$4:$G$1000,I$3,'Final Calculation Sheet'!$S$4:$S$1000),"")</f>
        <v/>
      </c>
      <c r="J41" s="825">
        <f>IFERROR(SUMIF('Final Calculation Sheet'!$G$4:$G$1000,J$3,'Final Calculation Sheet'!$AC$4:$AC$1000)/SUMIF('Final Calculation Sheet'!$G$4:$G$1000,J$3,'Final Calculation Sheet'!$S$4:$S$1000),"")</f>
        <v/>
      </c>
      <c r="K41" s="826">
        <f>IFERROR(SUMIF('Final Calculation Sheet'!$G$4:$G$1000,K$3,'Final Calculation Sheet'!$AC$4:$AC$1000)/SUMIF('Final Calculation Sheet'!$G$4:$G$1000,K$3,'Final Calculation Sheet'!$S$4:$S$1000),"")</f>
        <v/>
      </c>
      <c r="L41" s="827">
        <f>IFERROR(SUMIF('Final Calculation Sheet'!$G$4:$G$1000,L$3,'Final Calculation Sheet'!$AC$4:$AC$1000)/SUMIF('Final Calculation Sheet'!$G$4:$G$1000,L$3,'Final Calculation Sheet'!$S$4:$S$1000),"")</f>
        <v/>
      </c>
      <c r="M41" s="828">
        <f>IFERROR(SUMIF('Final Calculation Sheet'!$G$4:$G$1000,M$3,'Final Calculation Sheet'!$AC$4:$AC$1000)/SUMIF('Final Calculation Sheet'!$G$4:$G$1000,M$3,'Final Calculation Sheet'!$S$4:$S$1000),"")</f>
        <v/>
      </c>
      <c r="N41" s="829">
        <f>IFERROR(SUMIF('Final Calculation Sheet'!$G$4:$G$1000,N$3,'Final Calculation Sheet'!$AC$4:$AC$1000)/SUMIF('Final Calculation Sheet'!$G$4:$G$1000,N$3,'Final Calculation Sheet'!$S$4:$S$1000),"")</f>
        <v/>
      </c>
      <c r="O41" s="833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22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23">
      <formula>0</formula>
    </cfRule>
  </conditionalFormatting>
  <conditionalFormatting sqref="B9:O9">
    <cfRule type="cellIs" priority="4" operator="equal" dxfId="21">
      <formula>"SETTLED"</formula>
    </cfRule>
    <cfRule type="cellIs" priority="5" operator="equal" dxfId="22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9E480E"/>
    <outlinePr summaryBelow="0" summaryRight="1"/>
    <pageSetUpPr fitToPage="1"/>
  </sheetPr>
  <dimension ref="A1:A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</cols>
  <sheetData>
    <row r="1" ht="30" customHeight="1">
      <c r="A1" s="658" t="inlineStr">
        <is>
          <t>MSTC LIMITED  •  BUYER LIST   (one row per buyer  |  every detail → columns)</t>
        </is>
      </c>
    </row>
    <row r="2" ht="40" customHeight="1">
      <c r="A2" s="659" t="inlineStr">
        <is>
          <t>HOW TO USE  ▶  one row per buyer - click the ▼ on the BUYER column and tick the buyers you want; every other row hides   •   every other column has its own ▼ too, so you can also filter on Payment Status, Outstanding, Collection % ...   •   the ∑ TOTAL row uses SUBTOTAL, so it adds up only the buyers the filter leaves visible   •   every figure is a live SUMIF / COUNTIF against 'Final Calculation Sheet' driven by the buyer name in column A - rename a cell and its whole row follows</t>
        </is>
      </c>
    </row>
    <row r="3" ht="16" customHeight="1">
      <c r="A3" s="689" t="inlineStr">
        <is>
          <t>DETAIL BAND  →</t>
        </is>
      </c>
      <c r="B3" s="690" t="inlineStr">
        <is>
          <t>BUYER OVERVIEW</t>
        </is>
      </c>
      <c r="C3" s="691" t="n"/>
      <c r="D3" s="691" t="n"/>
      <c r="E3" s="691" t="n"/>
      <c r="F3" s="691" t="n"/>
      <c r="G3" s="692" t="inlineStr">
        <is>
          <t>LOT INFORMATION</t>
        </is>
      </c>
      <c r="H3" s="693" t="n"/>
      <c r="I3" s="693" t="n"/>
      <c r="J3" s="694" t="inlineStr">
        <is>
          <t>FINANCIALS</t>
        </is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6" t="inlineStr">
        <is>
          <t>SECURITY DEPOSIT</t>
        </is>
      </c>
      <c r="V3" s="697" t="n"/>
      <c r="W3" s="697" t="n"/>
      <c r="X3" s="834" t="inlineStr">
        <is>
          <t>FINAL PAYMENT</t>
        </is>
      </c>
      <c r="Y3" s="819" t="n"/>
      <c r="Z3" s="819" t="n"/>
      <c r="AA3" s="835" t="inlineStr">
        <is>
          <t>LPP</t>
        </is>
      </c>
      <c r="AB3" s="703" t="n"/>
      <c r="AC3" s="836" t="inlineStr">
        <is>
          <t>DOCUMENT</t>
        </is>
      </c>
      <c r="AD3" s="822" t="n"/>
      <c r="AE3" s="837" t="inlineStr">
        <is>
          <t>RECOVERY</t>
        </is>
      </c>
    </row>
    <row r="4" ht="108" customHeight="1">
      <c r="A4" s="669" t="inlineStr">
        <is>
          <t>BUYER  ▸  |  FIELD →</t>
        </is>
      </c>
      <c r="B4" s="838" t="inlineStr">
        <is>
          <t>Lots</t>
        </is>
      </c>
      <c r="C4" s="838" t="inlineStr">
        <is>
          <t>Mat. Value (₹)</t>
        </is>
      </c>
      <c r="D4" s="838" t="inlineStr">
        <is>
          <t>Total Received (₹)</t>
        </is>
      </c>
      <c r="E4" s="838" t="inlineStr">
        <is>
          <t>Outstanding (₹)</t>
        </is>
      </c>
      <c r="F4" s="838" t="inlineStr">
        <is>
          <t>Payment Status</t>
        </is>
      </c>
      <c r="G4" s="838" t="inlineStr">
        <is>
          <t>Quantity (total)</t>
        </is>
      </c>
      <c r="H4" s="838" t="inlineStr">
        <is>
          <t>Avg Rate (₹)</t>
        </is>
      </c>
      <c r="I4" s="838" t="inlineStr">
        <is>
          <t>Lots pending invoice</t>
        </is>
      </c>
      <c r="J4" s="838" t="inlineStr">
        <is>
          <t>GST @ 18% (₹)</t>
        </is>
      </c>
      <c r="K4" s="838" t="inlineStr">
        <is>
          <t>Mat. Value + GST (₹)</t>
        </is>
      </c>
      <c r="L4" s="838" t="inlineStr">
        <is>
          <t>TCS @ 2% (₹)</t>
        </is>
      </c>
      <c r="M4" s="838" t="inlineStr">
        <is>
          <t>TDS u/s 194(O) (₹)</t>
        </is>
      </c>
      <c r="N4" s="838" t="inlineStr">
        <is>
          <t>Service Charge gross (₹)</t>
        </is>
      </c>
      <c r="O4" s="838" t="inlineStr">
        <is>
          <t>TDS u/s 194(H) (₹)</t>
        </is>
      </c>
      <c r="P4" s="838" t="inlineStr">
        <is>
          <t>Net Service Charge (₹)</t>
        </is>
      </c>
      <c r="Q4" s="838" t="inlineStr">
        <is>
          <t>Svc Charge to MSTC (₹)</t>
        </is>
      </c>
      <c r="R4" s="838" t="inlineStr">
        <is>
          <t>GST TDS (₹)</t>
        </is>
      </c>
      <c r="S4" s="838" t="inlineStr">
        <is>
          <t>GST TDS % (effective)</t>
        </is>
      </c>
      <c r="T4" s="838" t="inlineStr">
        <is>
          <t>Total Receivables (₹)</t>
        </is>
      </c>
      <c r="U4" s="838" t="inlineStr">
        <is>
          <t>SD Expected (₹)</t>
        </is>
      </c>
      <c r="V4" s="838" t="inlineStr">
        <is>
          <t>SD Received (₹)</t>
        </is>
      </c>
      <c r="W4" s="838" t="inlineStr">
        <is>
          <t>SD Outstanding (₹)</t>
        </is>
      </c>
      <c r="X4" s="838" t="inlineStr">
        <is>
          <t>FP Expected (₹)</t>
        </is>
      </c>
      <c r="Y4" s="838" t="inlineStr">
        <is>
          <t>FP Received (₹)</t>
        </is>
      </c>
      <c r="Z4" s="838" t="inlineStr">
        <is>
          <t>FP Outstanding (₹)</t>
        </is>
      </c>
      <c r="AA4" s="838" t="inlineStr">
        <is>
          <t>LPP Expected (₹)</t>
        </is>
      </c>
      <c r="AB4" s="838" t="inlineStr">
        <is>
          <t>LPP Received (₹)</t>
        </is>
      </c>
      <c r="AC4" s="838" t="inlineStr">
        <is>
          <t>Invoices raised</t>
        </is>
      </c>
      <c r="AD4" s="838" t="inlineStr">
        <is>
          <t>SAP Docs posted</t>
        </is>
      </c>
      <c r="AE4" s="838" t="inlineStr">
        <is>
          <t>Collection %</t>
        </is>
      </c>
    </row>
    <row r="5" ht="16" customHeight="1">
      <c r="A5" s="839" t="inlineStr">
        <is>
          <t>AL HAMD TRADE CORPORATION</t>
        </is>
      </c>
      <c r="B5" s="763">
        <f>COUNTIF('Final Calculation Sheet'!$G$4:$G$1000,$A5)</f>
        <v/>
      </c>
      <c r="C5" s="771">
        <f>SUMIF('Final Calculation Sheet'!$G$4:$G$1000,$A5,'Final Calculation Sheet'!$H$4:$H$1000)</f>
        <v/>
      </c>
      <c r="D5" s="771">
        <f>SUMIF('Final Calculation Sheet'!$G$4:$G$1000,$A5,'Final Calculation Sheet'!$AC$4:$AC$1000)</f>
        <v/>
      </c>
      <c r="E5" s="771">
        <f>SUMIF('Final Calculation Sheet'!$G$4:$G$1000,$A5,'Final Calculation Sheet'!$AD$4:$AD$1000)</f>
        <v/>
      </c>
      <c r="F5" s="779">
        <f>IF(SUMIF('Final Calculation Sheet'!$G$4:$G$1000,$A5,'Final Calculation Sheet'!$AD$4:$AD$1000)&lt;=0,"SETTLED","OUTSTANDING")</f>
        <v/>
      </c>
      <c r="G5" s="789">
        <f>SUMIF('Final Calculation Sheet'!$G$4:$G$1000,$A5,'Final Calculation Sheet'!$A$4:$A$1000)</f>
        <v/>
      </c>
      <c r="H5" s="771">
        <f>IFERROR(SUMIF('Final Calculation Sheet'!$G$4:$G$1000,$A5,'Final Calculation Sheet'!$H$4:$H$1000)/SUMIF('Final Calculation Sheet'!$G$4:$G$1000,$A5,'Final Calculation Sheet'!$A$4:$A$1000),"")</f>
        <v/>
      </c>
      <c r="I5" s="763">
        <f>COUNTIFS('Final Calculation Sheet'!$G$4:$G$1000,$A5,'Final Calculation Sheet'!$AE$4:$AE$1000,"")</f>
        <v/>
      </c>
      <c r="J5" s="771">
        <f>SUMIF('Final Calculation Sheet'!$G$4:$G$1000,$A5,'Final Calculation Sheet'!$I$4:$I$1000)</f>
        <v/>
      </c>
      <c r="K5" s="771">
        <f>SUMIF('Final Calculation Sheet'!$G$4:$G$1000,$A5,'Final Calculation Sheet'!$J$4:$J$1000)</f>
        <v/>
      </c>
      <c r="L5" s="771">
        <f>SUMIF('Final Calculation Sheet'!$G$4:$G$1000,$A5,'Final Calculation Sheet'!$K$4:$K$1000)</f>
        <v/>
      </c>
      <c r="M5" s="799">
        <f>SUMIF('Final Calculation Sheet'!$G$4:$G$1000,$A5,'Final Calculation Sheet'!$L$4:$L$1000)</f>
        <v/>
      </c>
      <c r="N5" s="799">
        <f>SUMIF('Final Calculation Sheet'!$G$4:$G$1000,$A5,'Final Calculation Sheet'!$M$4:$M$1000)</f>
        <v/>
      </c>
      <c r="O5" s="799">
        <f>SUMIF('Final Calculation Sheet'!$G$4:$G$1000,$A5,'Final Calculation Sheet'!$N$4:$N$1000)</f>
        <v/>
      </c>
      <c r="P5" s="799">
        <f>SUMIF('Final Calculation Sheet'!$G$4:$G$1000,$A5,'Final Calculation Sheet'!$O$4:$O$1000)</f>
        <v/>
      </c>
      <c r="Q5" s="771">
        <f>SUMIF('Final Calculation Sheet'!$G$4:$G$1000,$A5,'Final Calculation Sheet'!$P$4:$P$1000)</f>
        <v/>
      </c>
      <c r="R5" s="771">
        <f>SUMIF('Final Calculation Sheet'!$G$4:$G$1000,$A5,'Final Calculation Sheet'!$R$4:$R$1000)</f>
        <v/>
      </c>
      <c r="S5" s="808">
        <f>IFERROR(SUMIF('Final Calculation Sheet'!$G$4:$G$1000,$A5,'Final Calculation Sheet'!$R$4:$R$1000)/SUMIF('Final Calculation Sheet'!$G$4:$G$1000,$A5,'Final Calculation Sheet'!$H$4:$H$1000),"")</f>
        <v/>
      </c>
      <c r="T5" s="771">
        <f>SUMIF('Final Calculation Sheet'!$G$4:$G$1000,$A5,'Final Calculation Sheet'!$S$4:$S$1000)</f>
        <v/>
      </c>
      <c r="U5" s="771">
        <f>SUMIF('Final Calculation Sheet'!$G$4:$G$1000,$A5,'Final Calculation Sheet'!$T$4:$T$1000)</f>
        <v/>
      </c>
      <c r="V5" s="771">
        <f>SUMIF('Final Calculation Sheet'!$G$4:$G$1000,$A5,'Final Calculation Sheet'!$U$4:$U$1000)</f>
        <v/>
      </c>
      <c r="W5" s="771">
        <f>SUMIF('Final Calculation Sheet'!$G$4:$G$1000,$A5,'Final Calculation Sheet'!$T$4:$T$1000)-SUMIF('Final Calculation Sheet'!$G$4:$G$1000,$A5,'Final Calculation Sheet'!$U$4:$U$1000)</f>
        <v/>
      </c>
      <c r="X5" s="771">
        <f>SUMIF('Final Calculation Sheet'!$G$4:$G$1000,$A5,'Final Calculation Sheet'!$W$4:$W$1000)</f>
        <v/>
      </c>
      <c r="Y5" s="771">
        <f>SUMIF('Final Calculation Sheet'!$G$4:$G$1000,$A5,'Final Calculation Sheet'!$X$4:$X$1000)</f>
        <v/>
      </c>
      <c r="Z5" s="771">
        <f>SUMIF('Final Calculation Sheet'!$G$4:$G$1000,$A5,'Final Calculation Sheet'!$W$4:$W$1000)-SUMIF('Final Calculation Sheet'!$G$4:$G$1000,$A5,'Final Calculation Sheet'!$X$4:$X$1000)</f>
        <v/>
      </c>
      <c r="AA5" s="771">
        <f>SUMIF('Final Calculation Sheet'!$G$4:$G$1000,$A5,'Final Calculation Sheet'!$Z$4:$Z$1000)</f>
        <v/>
      </c>
      <c r="AB5" s="771">
        <f>SUMIF('Final Calculation Sheet'!$G$4:$G$1000,$A5,'Final Calculation Sheet'!$AA$4:$AA$1000)</f>
        <v/>
      </c>
      <c r="AC5" s="763">
        <f>COUNTIF('Final Calculation Sheet'!$G$4:$G$1000,$A5)-COUNTIFS('Final Calculation Sheet'!$G$4:$G$1000,$A5,'Final Calculation Sheet'!$AE$4:$AE$1000,"")</f>
        <v/>
      </c>
      <c r="AD5" s="763">
        <f>COUNTIF('Final Calculation Sheet'!$G$4:$G$1000,$A5)-COUNTIFS('Final Calculation Sheet'!$G$4:$G$1000,$A5,'Final Calculation Sheet'!$AF$4:$AF$1000,"")</f>
        <v/>
      </c>
      <c r="AE5" s="825">
        <f>IFERROR(SUMIF('Final Calculation Sheet'!$G$4:$G$1000,$A5,'Final Calculation Sheet'!$AC$4:$AC$1000)/SUMIF('Final Calculation Sheet'!$G$4:$G$1000,$A5,'Final Calculation Sheet'!$S$4:$S$1000),"")</f>
        <v/>
      </c>
    </row>
    <row r="6" ht="16" customHeight="1">
      <c r="A6" s="840" t="inlineStr">
        <is>
          <t>F R KHANS ENTERPRISES</t>
        </is>
      </c>
      <c r="B6" s="764">
        <f>COUNTIF('Final Calculation Sheet'!$G$4:$G$1000,$A6)</f>
        <v/>
      </c>
      <c r="C6" s="772">
        <f>SUMIF('Final Calculation Sheet'!$G$4:$G$1000,$A6,'Final Calculation Sheet'!$H$4:$H$1000)</f>
        <v/>
      </c>
      <c r="D6" s="772">
        <f>SUMIF('Final Calculation Sheet'!$G$4:$G$1000,$A6,'Final Calculation Sheet'!$AC$4:$AC$1000)</f>
        <v/>
      </c>
      <c r="E6" s="772">
        <f>SUMIF('Final Calculation Sheet'!$G$4:$G$1000,$A6,'Final Calculation Sheet'!$AD$4:$AD$1000)</f>
        <v/>
      </c>
      <c r="F6" s="780">
        <f>IF(SUMIF('Final Calculation Sheet'!$G$4:$G$1000,$A6,'Final Calculation Sheet'!$AD$4:$AD$1000)&lt;=0,"SETTLED","OUTSTANDING")</f>
        <v/>
      </c>
      <c r="G6" s="790">
        <f>SUMIF('Final Calculation Sheet'!$G$4:$G$1000,$A6,'Final Calculation Sheet'!$A$4:$A$1000)</f>
        <v/>
      </c>
      <c r="H6" s="772">
        <f>IFERROR(SUMIF('Final Calculation Sheet'!$G$4:$G$1000,$A6,'Final Calculation Sheet'!$H$4:$H$1000)/SUMIF('Final Calculation Sheet'!$G$4:$G$1000,$A6,'Final Calculation Sheet'!$A$4:$A$1000),"")</f>
        <v/>
      </c>
      <c r="I6" s="764">
        <f>COUNTIFS('Final Calculation Sheet'!$G$4:$G$1000,$A6,'Final Calculation Sheet'!$AE$4:$AE$1000,"")</f>
        <v/>
      </c>
      <c r="J6" s="772">
        <f>SUMIF('Final Calculation Sheet'!$G$4:$G$1000,$A6,'Final Calculation Sheet'!$I$4:$I$1000)</f>
        <v/>
      </c>
      <c r="K6" s="772">
        <f>SUMIF('Final Calculation Sheet'!$G$4:$G$1000,$A6,'Final Calculation Sheet'!$J$4:$J$1000)</f>
        <v/>
      </c>
      <c r="L6" s="772">
        <f>SUMIF('Final Calculation Sheet'!$G$4:$G$1000,$A6,'Final Calculation Sheet'!$K$4:$K$1000)</f>
        <v/>
      </c>
      <c r="M6" s="800">
        <f>SUMIF('Final Calculation Sheet'!$G$4:$G$1000,$A6,'Final Calculation Sheet'!$L$4:$L$1000)</f>
        <v/>
      </c>
      <c r="N6" s="800">
        <f>SUMIF('Final Calculation Sheet'!$G$4:$G$1000,$A6,'Final Calculation Sheet'!$M$4:$M$1000)</f>
        <v/>
      </c>
      <c r="O6" s="800">
        <f>SUMIF('Final Calculation Sheet'!$G$4:$G$1000,$A6,'Final Calculation Sheet'!$N$4:$N$1000)</f>
        <v/>
      </c>
      <c r="P6" s="800">
        <f>SUMIF('Final Calculation Sheet'!$G$4:$G$1000,$A6,'Final Calculation Sheet'!$O$4:$O$1000)</f>
        <v/>
      </c>
      <c r="Q6" s="772">
        <f>SUMIF('Final Calculation Sheet'!$G$4:$G$1000,$A6,'Final Calculation Sheet'!$P$4:$P$1000)</f>
        <v/>
      </c>
      <c r="R6" s="772">
        <f>SUMIF('Final Calculation Sheet'!$G$4:$G$1000,$A6,'Final Calculation Sheet'!$R$4:$R$1000)</f>
        <v/>
      </c>
      <c r="S6" s="809">
        <f>IFERROR(SUMIF('Final Calculation Sheet'!$G$4:$G$1000,$A6,'Final Calculation Sheet'!$R$4:$R$1000)/SUMIF('Final Calculation Sheet'!$G$4:$G$1000,$A6,'Final Calculation Sheet'!$H$4:$H$1000),"")</f>
        <v/>
      </c>
      <c r="T6" s="772">
        <f>SUMIF('Final Calculation Sheet'!$G$4:$G$1000,$A6,'Final Calculation Sheet'!$S$4:$S$1000)</f>
        <v/>
      </c>
      <c r="U6" s="772">
        <f>SUMIF('Final Calculation Sheet'!$G$4:$G$1000,$A6,'Final Calculation Sheet'!$T$4:$T$1000)</f>
        <v/>
      </c>
      <c r="V6" s="772">
        <f>SUMIF('Final Calculation Sheet'!$G$4:$G$1000,$A6,'Final Calculation Sheet'!$U$4:$U$1000)</f>
        <v/>
      </c>
      <c r="W6" s="772">
        <f>SUMIF('Final Calculation Sheet'!$G$4:$G$1000,$A6,'Final Calculation Sheet'!$T$4:$T$1000)-SUMIF('Final Calculation Sheet'!$G$4:$G$1000,$A6,'Final Calculation Sheet'!$U$4:$U$1000)</f>
        <v/>
      </c>
      <c r="X6" s="772">
        <f>SUMIF('Final Calculation Sheet'!$G$4:$G$1000,$A6,'Final Calculation Sheet'!$W$4:$W$1000)</f>
        <v/>
      </c>
      <c r="Y6" s="772">
        <f>SUMIF('Final Calculation Sheet'!$G$4:$G$1000,$A6,'Final Calculation Sheet'!$X$4:$X$1000)</f>
        <v/>
      </c>
      <c r="Z6" s="772">
        <f>SUMIF('Final Calculation Sheet'!$G$4:$G$1000,$A6,'Final Calculation Sheet'!$W$4:$W$1000)-SUMIF('Final Calculation Sheet'!$G$4:$G$1000,$A6,'Final Calculation Sheet'!$X$4:$X$1000)</f>
        <v/>
      </c>
      <c r="AA6" s="772">
        <f>SUMIF('Final Calculation Sheet'!$G$4:$G$1000,$A6,'Final Calculation Sheet'!$Z$4:$Z$1000)</f>
        <v/>
      </c>
      <c r="AB6" s="772">
        <f>SUMIF('Final Calculation Sheet'!$G$4:$G$1000,$A6,'Final Calculation Sheet'!$AA$4:$AA$1000)</f>
        <v/>
      </c>
      <c r="AC6" s="764">
        <f>COUNTIF('Final Calculation Sheet'!$G$4:$G$1000,$A6)-COUNTIFS('Final Calculation Sheet'!$G$4:$G$1000,$A6,'Final Calculation Sheet'!$AE$4:$AE$1000,"")</f>
        <v/>
      </c>
      <c r="AD6" s="764">
        <f>COUNTIF('Final Calculation Sheet'!$G$4:$G$1000,$A6)-COUNTIFS('Final Calculation Sheet'!$G$4:$G$1000,$A6,'Final Calculation Sheet'!$AF$4:$AF$1000,"")</f>
        <v/>
      </c>
      <c r="AE6" s="826">
        <f>IFERROR(SUMIF('Final Calculation Sheet'!$G$4:$G$1000,$A6,'Final Calculation Sheet'!$AC$4:$AC$1000)/SUMIF('Final Calculation Sheet'!$G$4:$G$1000,$A6,'Final Calculation Sheet'!$S$4:$S$1000),"")</f>
        <v/>
      </c>
    </row>
    <row r="7" ht="16" customHeight="1">
      <c r="A7" s="841" t="inlineStr">
        <is>
          <t>HIND TRADERS</t>
        </is>
      </c>
      <c r="B7" s="765">
        <f>COUNTIF('Final Calculation Sheet'!$G$4:$G$1000,$A7)</f>
        <v/>
      </c>
      <c r="C7" s="773">
        <f>SUMIF('Final Calculation Sheet'!$G$4:$G$1000,$A7,'Final Calculation Sheet'!$H$4:$H$1000)</f>
        <v/>
      </c>
      <c r="D7" s="773">
        <f>SUMIF('Final Calculation Sheet'!$G$4:$G$1000,$A7,'Final Calculation Sheet'!$AC$4:$AC$1000)</f>
        <v/>
      </c>
      <c r="E7" s="773">
        <f>SUMIF('Final Calculation Sheet'!$G$4:$G$1000,$A7,'Final Calculation Sheet'!$AD$4:$AD$1000)</f>
        <v/>
      </c>
      <c r="F7" s="781">
        <f>IF(SUMIF('Final Calculation Sheet'!$G$4:$G$1000,$A7,'Final Calculation Sheet'!$AD$4:$AD$1000)&lt;=0,"SETTLED","OUTSTANDING")</f>
        <v/>
      </c>
      <c r="G7" s="791">
        <f>SUMIF('Final Calculation Sheet'!$G$4:$G$1000,$A7,'Final Calculation Sheet'!$A$4:$A$1000)</f>
        <v/>
      </c>
      <c r="H7" s="773">
        <f>IFERROR(SUMIF('Final Calculation Sheet'!$G$4:$G$1000,$A7,'Final Calculation Sheet'!$H$4:$H$1000)/SUMIF('Final Calculation Sheet'!$G$4:$G$1000,$A7,'Final Calculation Sheet'!$A$4:$A$1000),"")</f>
        <v/>
      </c>
      <c r="I7" s="765">
        <f>COUNTIFS('Final Calculation Sheet'!$G$4:$G$1000,$A7,'Final Calculation Sheet'!$AE$4:$AE$1000,"")</f>
        <v/>
      </c>
      <c r="J7" s="773">
        <f>SUMIF('Final Calculation Sheet'!$G$4:$G$1000,$A7,'Final Calculation Sheet'!$I$4:$I$1000)</f>
        <v/>
      </c>
      <c r="K7" s="773">
        <f>SUMIF('Final Calculation Sheet'!$G$4:$G$1000,$A7,'Final Calculation Sheet'!$J$4:$J$1000)</f>
        <v/>
      </c>
      <c r="L7" s="773">
        <f>SUMIF('Final Calculation Sheet'!$G$4:$G$1000,$A7,'Final Calculation Sheet'!$K$4:$K$1000)</f>
        <v/>
      </c>
      <c r="M7" s="801">
        <f>SUMIF('Final Calculation Sheet'!$G$4:$G$1000,$A7,'Final Calculation Sheet'!$L$4:$L$1000)</f>
        <v/>
      </c>
      <c r="N7" s="801">
        <f>SUMIF('Final Calculation Sheet'!$G$4:$G$1000,$A7,'Final Calculation Sheet'!$M$4:$M$1000)</f>
        <v/>
      </c>
      <c r="O7" s="801">
        <f>SUMIF('Final Calculation Sheet'!$G$4:$G$1000,$A7,'Final Calculation Sheet'!$N$4:$N$1000)</f>
        <v/>
      </c>
      <c r="P7" s="801">
        <f>SUMIF('Final Calculation Sheet'!$G$4:$G$1000,$A7,'Final Calculation Sheet'!$O$4:$O$1000)</f>
        <v/>
      </c>
      <c r="Q7" s="773">
        <f>SUMIF('Final Calculation Sheet'!$G$4:$G$1000,$A7,'Final Calculation Sheet'!$P$4:$P$1000)</f>
        <v/>
      </c>
      <c r="R7" s="773">
        <f>SUMIF('Final Calculation Sheet'!$G$4:$G$1000,$A7,'Final Calculation Sheet'!$R$4:$R$1000)</f>
        <v/>
      </c>
      <c r="S7" s="810">
        <f>IFERROR(SUMIF('Final Calculation Sheet'!$G$4:$G$1000,$A7,'Final Calculation Sheet'!$R$4:$R$1000)/SUMIF('Final Calculation Sheet'!$G$4:$G$1000,$A7,'Final Calculation Sheet'!$H$4:$H$1000),"")</f>
        <v/>
      </c>
      <c r="T7" s="773">
        <f>SUMIF('Final Calculation Sheet'!$G$4:$G$1000,$A7,'Final Calculation Sheet'!$S$4:$S$1000)</f>
        <v/>
      </c>
      <c r="U7" s="773">
        <f>SUMIF('Final Calculation Sheet'!$G$4:$G$1000,$A7,'Final Calculation Sheet'!$T$4:$T$1000)</f>
        <v/>
      </c>
      <c r="V7" s="773">
        <f>SUMIF('Final Calculation Sheet'!$G$4:$G$1000,$A7,'Final Calculation Sheet'!$U$4:$U$1000)</f>
        <v/>
      </c>
      <c r="W7" s="773">
        <f>SUMIF('Final Calculation Sheet'!$G$4:$G$1000,$A7,'Final Calculation Sheet'!$T$4:$T$1000)-SUMIF('Final Calculation Sheet'!$G$4:$G$1000,$A7,'Final Calculation Sheet'!$U$4:$U$1000)</f>
        <v/>
      </c>
      <c r="X7" s="773">
        <f>SUMIF('Final Calculation Sheet'!$G$4:$G$1000,$A7,'Final Calculation Sheet'!$W$4:$W$1000)</f>
        <v/>
      </c>
      <c r="Y7" s="773">
        <f>SUMIF('Final Calculation Sheet'!$G$4:$G$1000,$A7,'Final Calculation Sheet'!$X$4:$X$1000)</f>
        <v/>
      </c>
      <c r="Z7" s="773">
        <f>SUMIF('Final Calculation Sheet'!$G$4:$G$1000,$A7,'Final Calculation Sheet'!$W$4:$W$1000)-SUMIF('Final Calculation Sheet'!$G$4:$G$1000,$A7,'Final Calculation Sheet'!$X$4:$X$1000)</f>
        <v/>
      </c>
      <c r="AA7" s="773">
        <f>SUMIF('Final Calculation Sheet'!$G$4:$G$1000,$A7,'Final Calculation Sheet'!$Z$4:$Z$1000)</f>
        <v/>
      </c>
      <c r="AB7" s="773">
        <f>SUMIF('Final Calculation Sheet'!$G$4:$G$1000,$A7,'Final Calculation Sheet'!$AA$4:$AA$1000)</f>
        <v/>
      </c>
      <c r="AC7" s="765">
        <f>COUNTIF('Final Calculation Sheet'!$G$4:$G$1000,$A7)-COUNTIFS('Final Calculation Sheet'!$G$4:$G$1000,$A7,'Final Calculation Sheet'!$AE$4:$AE$1000,"")</f>
        <v/>
      </c>
      <c r="AD7" s="765">
        <f>COUNTIF('Final Calculation Sheet'!$G$4:$G$1000,$A7)-COUNTIFS('Final Calculation Sheet'!$G$4:$G$1000,$A7,'Final Calculation Sheet'!$AF$4:$AF$1000,"")</f>
        <v/>
      </c>
      <c r="AE7" s="827">
        <f>IFERROR(SUMIF('Final Calculation Sheet'!$G$4:$G$1000,$A7,'Final Calculation Sheet'!$AC$4:$AC$1000)/SUMIF('Final Calculation Sheet'!$G$4:$G$1000,$A7,'Final Calculation Sheet'!$S$4:$S$1000),"")</f>
        <v/>
      </c>
    </row>
    <row r="8" ht="16" customHeight="1">
      <c r="A8" s="842" t="inlineStr">
        <is>
          <t>KASHYAP TRADING CO</t>
        </is>
      </c>
      <c r="B8" s="766">
        <f>COUNTIF('Final Calculation Sheet'!$G$4:$G$1000,$A8)</f>
        <v/>
      </c>
      <c r="C8" s="774">
        <f>SUMIF('Final Calculation Sheet'!$G$4:$G$1000,$A8,'Final Calculation Sheet'!$H$4:$H$1000)</f>
        <v/>
      </c>
      <c r="D8" s="774">
        <f>SUMIF('Final Calculation Sheet'!$G$4:$G$1000,$A8,'Final Calculation Sheet'!$AC$4:$AC$1000)</f>
        <v/>
      </c>
      <c r="E8" s="774">
        <f>SUMIF('Final Calculation Sheet'!$G$4:$G$1000,$A8,'Final Calculation Sheet'!$AD$4:$AD$1000)</f>
        <v/>
      </c>
      <c r="F8" s="782">
        <f>IF(SUMIF('Final Calculation Sheet'!$G$4:$G$1000,$A8,'Final Calculation Sheet'!$AD$4:$AD$1000)&lt;=0,"SETTLED","OUTSTANDING")</f>
        <v/>
      </c>
      <c r="G8" s="792">
        <f>SUMIF('Final Calculation Sheet'!$G$4:$G$1000,$A8,'Final Calculation Sheet'!$A$4:$A$1000)</f>
        <v/>
      </c>
      <c r="H8" s="774">
        <f>IFERROR(SUMIF('Final Calculation Sheet'!$G$4:$G$1000,$A8,'Final Calculation Sheet'!$H$4:$H$1000)/SUMIF('Final Calculation Sheet'!$G$4:$G$1000,$A8,'Final Calculation Sheet'!$A$4:$A$1000),"")</f>
        <v/>
      </c>
      <c r="I8" s="766">
        <f>COUNTIFS('Final Calculation Sheet'!$G$4:$G$1000,$A8,'Final Calculation Sheet'!$AE$4:$AE$1000,"")</f>
        <v/>
      </c>
      <c r="J8" s="774">
        <f>SUMIF('Final Calculation Sheet'!$G$4:$G$1000,$A8,'Final Calculation Sheet'!$I$4:$I$1000)</f>
        <v/>
      </c>
      <c r="K8" s="774">
        <f>SUMIF('Final Calculation Sheet'!$G$4:$G$1000,$A8,'Final Calculation Sheet'!$J$4:$J$1000)</f>
        <v/>
      </c>
      <c r="L8" s="774">
        <f>SUMIF('Final Calculation Sheet'!$G$4:$G$1000,$A8,'Final Calculation Sheet'!$K$4:$K$1000)</f>
        <v/>
      </c>
      <c r="M8" s="802">
        <f>SUMIF('Final Calculation Sheet'!$G$4:$G$1000,$A8,'Final Calculation Sheet'!$L$4:$L$1000)</f>
        <v/>
      </c>
      <c r="N8" s="802">
        <f>SUMIF('Final Calculation Sheet'!$G$4:$G$1000,$A8,'Final Calculation Sheet'!$M$4:$M$1000)</f>
        <v/>
      </c>
      <c r="O8" s="802">
        <f>SUMIF('Final Calculation Sheet'!$G$4:$G$1000,$A8,'Final Calculation Sheet'!$N$4:$N$1000)</f>
        <v/>
      </c>
      <c r="P8" s="802">
        <f>SUMIF('Final Calculation Sheet'!$G$4:$G$1000,$A8,'Final Calculation Sheet'!$O$4:$O$1000)</f>
        <v/>
      </c>
      <c r="Q8" s="774">
        <f>SUMIF('Final Calculation Sheet'!$G$4:$G$1000,$A8,'Final Calculation Sheet'!$P$4:$P$1000)</f>
        <v/>
      </c>
      <c r="R8" s="774">
        <f>SUMIF('Final Calculation Sheet'!$G$4:$G$1000,$A8,'Final Calculation Sheet'!$R$4:$R$1000)</f>
        <v/>
      </c>
      <c r="S8" s="811">
        <f>IFERROR(SUMIF('Final Calculation Sheet'!$G$4:$G$1000,$A8,'Final Calculation Sheet'!$R$4:$R$1000)/SUMIF('Final Calculation Sheet'!$G$4:$G$1000,$A8,'Final Calculation Sheet'!$H$4:$H$1000),"")</f>
        <v/>
      </c>
      <c r="T8" s="774">
        <f>SUMIF('Final Calculation Sheet'!$G$4:$G$1000,$A8,'Final Calculation Sheet'!$S$4:$S$1000)</f>
        <v/>
      </c>
      <c r="U8" s="774">
        <f>SUMIF('Final Calculation Sheet'!$G$4:$G$1000,$A8,'Final Calculation Sheet'!$T$4:$T$1000)</f>
        <v/>
      </c>
      <c r="V8" s="774">
        <f>SUMIF('Final Calculation Sheet'!$G$4:$G$1000,$A8,'Final Calculation Sheet'!$U$4:$U$1000)</f>
        <v/>
      </c>
      <c r="W8" s="774">
        <f>SUMIF('Final Calculation Sheet'!$G$4:$G$1000,$A8,'Final Calculation Sheet'!$T$4:$T$1000)-SUMIF('Final Calculation Sheet'!$G$4:$G$1000,$A8,'Final Calculation Sheet'!$U$4:$U$1000)</f>
        <v/>
      </c>
      <c r="X8" s="774">
        <f>SUMIF('Final Calculation Sheet'!$G$4:$G$1000,$A8,'Final Calculation Sheet'!$W$4:$W$1000)</f>
        <v/>
      </c>
      <c r="Y8" s="774">
        <f>SUMIF('Final Calculation Sheet'!$G$4:$G$1000,$A8,'Final Calculation Sheet'!$X$4:$X$1000)</f>
        <v/>
      </c>
      <c r="Z8" s="774">
        <f>SUMIF('Final Calculation Sheet'!$G$4:$G$1000,$A8,'Final Calculation Sheet'!$W$4:$W$1000)-SUMIF('Final Calculation Sheet'!$G$4:$G$1000,$A8,'Final Calculation Sheet'!$X$4:$X$1000)</f>
        <v/>
      </c>
      <c r="AA8" s="774">
        <f>SUMIF('Final Calculation Sheet'!$G$4:$G$1000,$A8,'Final Calculation Sheet'!$Z$4:$Z$1000)</f>
        <v/>
      </c>
      <c r="AB8" s="774">
        <f>SUMIF('Final Calculation Sheet'!$G$4:$G$1000,$A8,'Final Calculation Sheet'!$AA$4:$AA$1000)</f>
        <v/>
      </c>
      <c r="AC8" s="766">
        <f>COUNTIF('Final Calculation Sheet'!$G$4:$G$1000,$A8)-COUNTIFS('Final Calculation Sheet'!$G$4:$G$1000,$A8,'Final Calculation Sheet'!$AE$4:$AE$1000,"")</f>
        <v/>
      </c>
      <c r="AD8" s="766">
        <f>COUNTIF('Final Calculation Sheet'!$G$4:$G$1000,$A8)-COUNTIFS('Final Calculation Sheet'!$G$4:$G$1000,$A8,'Final Calculation Sheet'!$AF$4:$AF$1000,"")</f>
        <v/>
      </c>
      <c r="AE8" s="828">
        <f>IFERROR(SUMIF('Final Calculation Sheet'!$G$4:$G$1000,$A8,'Final Calculation Sheet'!$AC$4:$AC$1000)/SUMIF('Final Calculation Sheet'!$G$4:$G$1000,$A8,'Final Calculation Sheet'!$S$4:$S$1000),"")</f>
        <v/>
      </c>
    </row>
    <row r="9" ht="16" customHeight="1">
      <c r="A9" s="843" t="inlineStr">
        <is>
          <t>M I SCRAP TRADERS</t>
        </is>
      </c>
      <c r="B9" s="767">
        <f>COUNTIF('Final Calculation Sheet'!$G$4:$G$1000,$A9)</f>
        <v/>
      </c>
      <c r="C9" s="775">
        <f>SUMIF('Final Calculation Sheet'!$G$4:$G$1000,$A9,'Final Calculation Sheet'!$H$4:$H$1000)</f>
        <v/>
      </c>
      <c r="D9" s="775">
        <f>SUMIF('Final Calculation Sheet'!$G$4:$G$1000,$A9,'Final Calculation Sheet'!$AC$4:$AC$1000)</f>
        <v/>
      </c>
      <c r="E9" s="775">
        <f>SUMIF('Final Calculation Sheet'!$G$4:$G$1000,$A9,'Final Calculation Sheet'!$AD$4:$AD$1000)</f>
        <v/>
      </c>
      <c r="F9" s="783">
        <f>IF(SUMIF('Final Calculation Sheet'!$G$4:$G$1000,$A9,'Final Calculation Sheet'!$AD$4:$AD$1000)&lt;=0,"SETTLED","OUTSTANDING")</f>
        <v/>
      </c>
      <c r="G9" s="793">
        <f>SUMIF('Final Calculation Sheet'!$G$4:$G$1000,$A9,'Final Calculation Sheet'!$A$4:$A$1000)</f>
        <v/>
      </c>
      <c r="H9" s="775">
        <f>IFERROR(SUMIF('Final Calculation Sheet'!$G$4:$G$1000,$A9,'Final Calculation Sheet'!$H$4:$H$1000)/SUMIF('Final Calculation Sheet'!$G$4:$G$1000,$A9,'Final Calculation Sheet'!$A$4:$A$1000),"")</f>
        <v/>
      </c>
      <c r="I9" s="767">
        <f>COUNTIFS('Final Calculation Sheet'!$G$4:$G$1000,$A9,'Final Calculation Sheet'!$AE$4:$AE$1000,"")</f>
        <v/>
      </c>
      <c r="J9" s="775">
        <f>SUMIF('Final Calculation Sheet'!$G$4:$G$1000,$A9,'Final Calculation Sheet'!$I$4:$I$1000)</f>
        <v/>
      </c>
      <c r="K9" s="775">
        <f>SUMIF('Final Calculation Sheet'!$G$4:$G$1000,$A9,'Final Calculation Sheet'!$J$4:$J$1000)</f>
        <v/>
      </c>
      <c r="L9" s="775">
        <f>SUMIF('Final Calculation Sheet'!$G$4:$G$1000,$A9,'Final Calculation Sheet'!$K$4:$K$1000)</f>
        <v/>
      </c>
      <c r="M9" s="803">
        <f>SUMIF('Final Calculation Sheet'!$G$4:$G$1000,$A9,'Final Calculation Sheet'!$L$4:$L$1000)</f>
        <v/>
      </c>
      <c r="N9" s="803">
        <f>SUMIF('Final Calculation Sheet'!$G$4:$G$1000,$A9,'Final Calculation Sheet'!$M$4:$M$1000)</f>
        <v/>
      </c>
      <c r="O9" s="803">
        <f>SUMIF('Final Calculation Sheet'!$G$4:$G$1000,$A9,'Final Calculation Sheet'!$N$4:$N$1000)</f>
        <v/>
      </c>
      <c r="P9" s="803">
        <f>SUMIF('Final Calculation Sheet'!$G$4:$G$1000,$A9,'Final Calculation Sheet'!$O$4:$O$1000)</f>
        <v/>
      </c>
      <c r="Q9" s="775">
        <f>SUMIF('Final Calculation Sheet'!$G$4:$G$1000,$A9,'Final Calculation Sheet'!$P$4:$P$1000)</f>
        <v/>
      </c>
      <c r="R9" s="775">
        <f>SUMIF('Final Calculation Sheet'!$G$4:$G$1000,$A9,'Final Calculation Sheet'!$R$4:$R$1000)</f>
        <v/>
      </c>
      <c r="S9" s="812">
        <f>IFERROR(SUMIF('Final Calculation Sheet'!$G$4:$G$1000,$A9,'Final Calculation Sheet'!$R$4:$R$1000)/SUMIF('Final Calculation Sheet'!$G$4:$G$1000,$A9,'Final Calculation Sheet'!$H$4:$H$1000),"")</f>
        <v/>
      </c>
      <c r="T9" s="775">
        <f>SUMIF('Final Calculation Sheet'!$G$4:$G$1000,$A9,'Final Calculation Sheet'!$S$4:$S$1000)</f>
        <v/>
      </c>
      <c r="U9" s="775">
        <f>SUMIF('Final Calculation Sheet'!$G$4:$G$1000,$A9,'Final Calculation Sheet'!$T$4:$T$1000)</f>
        <v/>
      </c>
      <c r="V9" s="775">
        <f>SUMIF('Final Calculation Sheet'!$G$4:$G$1000,$A9,'Final Calculation Sheet'!$U$4:$U$1000)</f>
        <v/>
      </c>
      <c r="W9" s="775">
        <f>SUMIF('Final Calculation Sheet'!$G$4:$G$1000,$A9,'Final Calculation Sheet'!$T$4:$T$1000)-SUMIF('Final Calculation Sheet'!$G$4:$G$1000,$A9,'Final Calculation Sheet'!$U$4:$U$1000)</f>
        <v/>
      </c>
      <c r="X9" s="775">
        <f>SUMIF('Final Calculation Sheet'!$G$4:$G$1000,$A9,'Final Calculation Sheet'!$W$4:$W$1000)</f>
        <v/>
      </c>
      <c r="Y9" s="775">
        <f>SUMIF('Final Calculation Sheet'!$G$4:$G$1000,$A9,'Final Calculation Sheet'!$X$4:$X$1000)</f>
        <v/>
      </c>
      <c r="Z9" s="775">
        <f>SUMIF('Final Calculation Sheet'!$G$4:$G$1000,$A9,'Final Calculation Sheet'!$W$4:$W$1000)-SUMIF('Final Calculation Sheet'!$G$4:$G$1000,$A9,'Final Calculation Sheet'!$X$4:$X$1000)</f>
        <v/>
      </c>
      <c r="AA9" s="775">
        <f>SUMIF('Final Calculation Sheet'!$G$4:$G$1000,$A9,'Final Calculation Sheet'!$Z$4:$Z$1000)</f>
        <v/>
      </c>
      <c r="AB9" s="775">
        <f>SUMIF('Final Calculation Sheet'!$G$4:$G$1000,$A9,'Final Calculation Sheet'!$AA$4:$AA$1000)</f>
        <v/>
      </c>
      <c r="AC9" s="767">
        <f>COUNTIF('Final Calculation Sheet'!$G$4:$G$1000,$A9)-COUNTIFS('Final Calculation Sheet'!$G$4:$G$1000,$A9,'Final Calculation Sheet'!$AE$4:$AE$1000,"")</f>
        <v/>
      </c>
      <c r="AD9" s="767">
        <f>COUNTIF('Final Calculation Sheet'!$G$4:$G$1000,$A9)-COUNTIFS('Final Calculation Sheet'!$G$4:$G$1000,$A9,'Final Calculation Sheet'!$AF$4:$AF$1000,"")</f>
        <v/>
      </c>
      <c r="AE9" s="829">
        <f>IFERROR(SUMIF('Final Calculation Sheet'!$G$4:$G$1000,$A9,'Final Calculation Sheet'!$AC$4:$AC$1000)/SUMIF('Final Calculation Sheet'!$G$4:$G$1000,$A9,'Final Calculation Sheet'!$S$4:$S$1000),"")</f>
        <v/>
      </c>
    </row>
    <row r="10" ht="16" customHeight="1">
      <c r="A10" s="844" t="inlineStr">
        <is>
          <t>NATIONAL ENTERPRISES</t>
        </is>
      </c>
      <c r="B10" s="768">
        <f>COUNTIF('Final Calculation Sheet'!$G$4:$G$1000,$A10)</f>
        <v/>
      </c>
      <c r="C10" s="776">
        <f>SUMIF('Final Calculation Sheet'!$G$4:$G$1000,$A10,'Final Calculation Sheet'!$H$4:$H$1000)</f>
        <v/>
      </c>
      <c r="D10" s="776">
        <f>SUMIF('Final Calculation Sheet'!$G$4:$G$1000,$A10,'Final Calculation Sheet'!$AC$4:$AC$1000)</f>
        <v/>
      </c>
      <c r="E10" s="776">
        <f>SUMIF('Final Calculation Sheet'!$G$4:$G$1000,$A10,'Final Calculation Sheet'!$AD$4:$AD$1000)</f>
        <v/>
      </c>
      <c r="F10" s="784">
        <f>IF(SUMIF('Final Calculation Sheet'!$G$4:$G$1000,$A10,'Final Calculation Sheet'!$AD$4:$AD$1000)&lt;=0,"SETTLED","OUTSTANDING")</f>
        <v/>
      </c>
      <c r="G10" s="794">
        <f>SUMIF('Final Calculation Sheet'!$G$4:$G$1000,$A10,'Final Calculation Sheet'!$A$4:$A$1000)</f>
        <v/>
      </c>
      <c r="H10" s="776">
        <f>IFERROR(SUMIF('Final Calculation Sheet'!$G$4:$G$1000,$A10,'Final Calculation Sheet'!$H$4:$H$1000)/SUMIF('Final Calculation Sheet'!$G$4:$G$1000,$A10,'Final Calculation Sheet'!$A$4:$A$1000),"")</f>
        <v/>
      </c>
      <c r="I10" s="768">
        <f>COUNTIFS('Final Calculation Sheet'!$G$4:$G$1000,$A10,'Final Calculation Sheet'!$AE$4:$AE$1000,"")</f>
        <v/>
      </c>
      <c r="J10" s="776">
        <f>SUMIF('Final Calculation Sheet'!$G$4:$G$1000,$A10,'Final Calculation Sheet'!$I$4:$I$1000)</f>
        <v/>
      </c>
      <c r="K10" s="776">
        <f>SUMIF('Final Calculation Sheet'!$G$4:$G$1000,$A10,'Final Calculation Sheet'!$J$4:$J$1000)</f>
        <v/>
      </c>
      <c r="L10" s="776">
        <f>SUMIF('Final Calculation Sheet'!$G$4:$G$1000,$A10,'Final Calculation Sheet'!$K$4:$K$1000)</f>
        <v/>
      </c>
      <c r="M10" s="804">
        <f>SUMIF('Final Calculation Sheet'!$G$4:$G$1000,$A10,'Final Calculation Sheet'!$L$4:$L$1000)</f>
        <v/>
      </c>
      <c r="N10" s="804">
        <f>SUMIF('Final Calculation Sheet'!$G$4:$G$1000,$A10,'Final Calculation Sheet'!$M$4:$M$1000)</f>
        <v/>
      </c>
      <c r="O10" s="804">
        <f>SUMIF('Final Calculation Sheet'!$G$4:$G$1000,$A10,'Final Calculation Sheet'!$N$4:$N$1000)</f>
        <v/>
      </c>
      <c r="P10" s="804">
        <f>SUMIF('Final Calculation Sheet'!$G$4:$G$1000,$A10,'Final Calculation Sheet'!$O$4:$O$1000)</f>
        <v/>
      </c>
      <c r="Q10" s="776">
        <f>SUMIF('Final Calculation Sheet'!$G$4:$G$1000,$A10,'Final Calculation Sheet'!$P$4:$P$1000)</f>
        <v/>
      </c>
      <c r="R10" s="776">
        <f>SUMIF('Final Calculation Sheet'!$G$4:$G$1000,$A10,'Final Calculation Sheet'!$R$4:$R$1000)</f>
        <v/>
      </c>
      <c r="S10" s="813">
        <f>IFERROR(SUMIF('Final Calculation Sheet'!$G$4:$G$1000,$A10,'Final Calculation Sheet'!$R$4:$R$1000)/SUMIF('Final Calculation Sheet'!$G$4:$G$1000,$A10,'Final Calculation Sheet'!$H$4:$H$1000),"")</f>
        <v/>
      </c>
      <c r="T10" s="776">
        <f>SUMIF('Final Calculation Sheet'!$G$4:$G$1000,$A10,'Final Calculation Sheet'!$S$4:$S$1000)</f>
        <v/>
      </c>
      <c r="U10" s="776">
        <f>SUMIF('Final Calculation Sheet'!$G$4:$G$1000,$A10,'Final Calculation Sheet'!$T$4:$T$1000)</f>
        <v/>
      </c>
      <c r="V10" s="776">
        <f>SUMIF('Final Calculation Sheet'!$G$4:$G$1000,$A10,'Final Calculation Sheet'!$U$4:$U$1000)</f>
        <v/>
      </c>
      <c r="W10" s="776">
        <f>SUMIF('Final Calculation Sheet'!$G$4:$G$1000,$A10,'Final Calculation Sheet'!$T$4:$T$1000)-SUMIF('Final Calculation Sheet'!$G$4:$G$1000,$A10,'Final Calculation Sheet'!$U$4:$U$1000)</f>
        <v/>
      </c>
      <c r="X10" s="776">
        <f>SUMIF('Final Calculation Sheet'!$G$4:$G$1000,$A10,'Final Calculation Sheet'!$W$4:$W$1000)</f>
        <v/>
      </c>
      <c r="Y10" s="776">
        <f>SUMIF('Final Calculation Sheet'!$G$4:$G$1000,$A10,'Final Calculation Sheet'!$X$4:$X$1000)</f>
        <v/>
      </c>
      <c r="Z10" s="776">
        <f>SUMIF('Final Calculation Sheet'!$G$4:$G$1000,$A10,'Final Calculation Sheet'!$W$4:$W$1000)-SUMIF('Final Calculation Sheet'!$G$4:$G$1000,$A10,'Final Calculation Sheet'!$X$4:$X$1000)</f>
        <v/>
      </c>
      <c r="AA10" s="776">
        <f>SUMIF('Final Calculation Sheet'!$G$4:$G$1000,$A10,'Final Calculation Sheet'!$Z$4:$Z$1000)</f>
        <v/>
      </c>
      <c r="AB10" s="776">
        <f>SUMIF('Final Calculation Sheet'!$G$4:$G$1000,$A10,'Final Calculation Sheet'!$AA$4:$AA$1000)</f>
        <v/>
      </c>
      <c r="AC10" s="768">
        <f>COUNTIF('Final Calculation Sheet'!$G$4:$G$1000,$A10)-COUNTIFS('Final Calculation Sheet'!$G$4:$G$1000,$A10,'Final Calculation Sheet'!$AE$4:$AE$1000,"")</f>
        <v/>
      </c>
      <c r="AD10" s="768">
        <f>COUNTIF('Final Calculation Sheet'!$G$4:$G$1000,$A10)-COUNTIFS('Final Calculation Sheet'!$G$4:$G$1000,$A10,'Final Calculation Sheet'!$AF$4:$AF$1000,"")</f>
        <v/>
      </c>
      <c r="AE10" s="830">
        <f>IFERROR(SUMIF('Final Calculation Sheet'!$G$4:$G$1000,$A10,'Final Calculation Sheet'!$AC$4:$AC$1000)/SUMIF('Final Calculation Sheet'!$G$4:$G$1000,$A10,'Final Calculation Sheet'!$S$4:$S$1000),"")</f>
        <v/>
      </c>
    </row>
    <row r="11" ht="16" customHeight="1">
      <c r="A11" s="845" t="inlineStr">
        <is>
          <t>NATIONAL SCRAP AND BUILDING MATERIAL SUPPLIER</t>
        </is>
      </c>
      <c r="B11" s="769">
        <f>COUNTIF('Final Calculation Sheet'!$G$4:$G$1000,$A11)</f>
        <v/>
      </c>
      <c r="C11" s="777">
        <f>SUMIF('Final Calculation Sheet'!$G$4:$G$1000,$A11,'Final Calculation Sheet'!$H$4:$H$1000)</f>
        <v/>
      </c>
      <c r="D11" s="777">
        <f>SUMIF('Final Calculation Sheet'!$G$4:$G$1000,$A11,'Final Calculation Sheet'!$AC$4:$AC$1000)</f>
        <v/>
      </c>
      <c r="E11" s="777">
        <f>SUMIF('Final Calculation Sheet'!$G$4:$G$1000,$A11,'Final Calculation Sheet'!$AD$4:$AD$1000)</f>
        <v/>
      </c>
      <c r="F11" s="785">
        <f>IF(SUMIF('Final Calculation Sheet'!$G$4:$G$1000,$A11,'Final Calculation Sheet'!$AD$4:$AD$1000)&lt;=0,"SETTLED","OUTSTANDING")</f>
        <v/>
      </c>
      <c r="G11" s="795">
        <f>SUMIF('Final Calculation Sheet'!$G$4:$G$1000,$A11,'Final Calculation Sheet'!$A$4:$A$1000)</f>
        <v/>
      </c>
      <c r="H11" s="777">
        <f>IFERROR(SUMIF('Final Calculation Sheet'!$G$4:$G$1000,$A11,'Final Calculation Sheet'!$H$4:$H$1000)/SUMIF('Final Calculation Sheet'!$G$4:$G$1000,$A11,'Final Calculation Sheet'!$A$4:$A$1000),"")</f>
        <v/>
      </c>
      <c r="I11" s="769">
        <f>COUNTIFS('Final Calculation Sheet'!$G$4:$G$1000,$A11,'Final Calculation Sheet'!$AE$4:$AE$1000,"")</f>
        <v/>
      </c>
      <c r="J11" s="777">
        <f>SUMIF('Final Calculation Sheet'!$G$4:$G$1000,$A11,'Final Calculation Sheet'!$I$4:$I$1000)</f>
        <v/>
      </c>
      <c r="K11" s="777">
        <f>SUMIF('Final Calculation Sheet'!$G$4:$G$1000,$A11,'Final Calculation Sheet'!$J$4:$J$1000)</f>
        <v/>
      </c>
      <c r="L11" s="777">
        <f>SUMIF('Final Calculation Sheet'!$G$4:$G$1000,$A11,'Final Calculation Sheet'!$K$4:$K$1000)</f>
        <v/>
      </c>
      <c r="M11" s="805">
        <f>SUMIF('Final Calculation Sheet'!$G$4:$G$1000,$A11,'Final Calculation Sheet'!$L$4:$L$1000)</f>
        <v/>
      </c>
      <c r="N11" s="805">
        <f>SUMIF('Final Calculation Sheet'!$G$4:$G$1000,$A11,'Final Calculation Sheet'!$M$4:$M$1000)</f>
        <v/>
      </c>
      <c r="O11" s="805">
        <f>SUMIF('Final Calculation Sheet'!$G$4:$G$1000,$A11,'Final Calculation Sheet'!$N$4:$N$1000)</f>
        <v/>
      </c>
      <c r="P11" s="805">
        <f>SUMIF('Final Calculation Sheet'!$G$4:$G$1000,$A11,'Final Calculation Sheet'!$O$4:$O$1000)</f>
        <v/>
      </c>
      <c r="Q11" s="777">
        <f>SUMIF('Final Calculation Sheet'!$G$4:$G$1000,$A11,'Final Calculation Sheet'!$P$4:$P$1000)</f>
        <v/>
      </c>
      <c r="R11" s="777">
        <f>SUMIF('Final Calculation Sheet'!$G$4:$G$1000,$A11,'Final Calculation Sheet'!$R$4:$R$1000)</f>
        <v/>
      </c>
      <c r="S11" s="814">
        <f>IFERROR(SUMIF('Final Calculation Sheet'!$G$4:$G$1000,$A11,'Final Calculation Sheet'!$R$4:$R$1000)/SUMIF('Final Calculation Sheet'!$G$4:$G$1000,$A11,'Final Calculation Sheet'!$H$4:$H$1000),"")</f>
        <v/>
      </c>
      <c r="T11" s="777">
        <f>SUMIF('Final Calculation Sheet'!$G$4:$G$1000,$A11,'Final Calculation Sheet'!$S$4:$S$1000)</f>
        <v/>
      </c>
      <c r="U11" s="777">
        <f>SUMIF('Final Calculation Sheet'!$G$4:$G$1000,$A11,'Final Calculation Sheet'!$T$4:$T$1000)</f>
        <v/>
      </c>
      <c r="V11" s="777">
        <f>SUMIF('Final Calculation Sheet'!$G$4:$G$1000,$A11,'Final Calculation Sheet'!$U$4:$U$1000)</f>
        <v/>
      </c>
      <c r="W11" s="777">
        <f>SUMIF('Final Calculation Sheet'!$G$4:$G$1000,$A11,'Final Calculation Sheet'!$T$4:$T$1000)-SUMIF('Final Calculation Sheet'!$G$4:$G$1000,$A11,'Final Calculation Sheet'!$U$4:$U$1000)</f>
        <v/>
      </c>
      <c r="X11" s="777">
        <f>SUMIF('Final Calculation Sheet'!$G$4:$G$1000,$A11,'Final Calculation Sheet'!$W$4:$W$1000)</f>
        <v/>
      </c>
      <c r="Y11" s="777">
        <f>SUMIF('Final Calculation Sheet'!$G$4:$G$1000,$A11,'Final Calculation Sheet'!$X$4:$X$1000)</f>
        <v/>
      </c>
      <c r="Z11" s="777">
        <f>SUMIF('Final Calculation Sheet'!$G$4:$G$1000,$A11,'Final Calculation Sheet'!$W$4:$W$1000)-SUMIF('Final Calculation Sheet'!$G$4:$G$1000,$A11,'Final Calculation Sheet'!$X$4:$X$1000)</f>
        <v/>
      </c>
      <c r="AA11" s="777">
        <f>SUMIF('Final Calculation Sheet'!$G$4:$G$1000,$A11,'Final Calculation Sheet'!$Z$4:$Z$1000)</f>
        <v/>
      </c>
      <c r="AB11" s="777">
        <f>SUMIF('Final Calculation Sheet'!$G$4:$G$1000,$A11,'Final Calculation Sheet'!$AA$4:$AA$1000)</f>
        <v/>
      </c>
      <c r="AC11" s="769">
        <f>COUNTIF('Final Calculation Sheet'!$G$4:$G$1000,$A11)-COUNTIFS('Final Calculation Sheet'!$G$4:$G$1000,$A11,'Final Calculation Sheet'!$AE$4:$AE$1000,"")</f>
        <v/>
      </c>
      <c r="AD11" s="769">
        <f>COUNTIF('Final Calculation Sheet'!$G$4:$G$1000,$A11)-COUNTIFS('Final Calculation Sheet'!$G$4:$G$1000,$A11,'Final Calculation Sheet'!$AF$4:$AF$1000,"")</f>
        <v/>
      </c>
      <c r="AE11" s="831">
        <f>IFERROR(SUMIF('Final Calculation Sheet'!$G$4:$G$1000,$A11,'Final Calculation Sheet'!$AC$4:$AC$1000)/SUMIF('Final Calculation Sheet'!$G$4:$G$1000,$A11,'Final Calculation Sheet'!$S$4:$S$1000),"")</f>
        <v/>
      </c>
    </row>
    <row r="12" ht="16" customHeight="1">
      <c r="A12" s="846" t="inlineStr">
        <is>
          <t>OMKAR STEELS</t>
        </is>
      </c>
      <c r="B12" s="770">
        <f>COUNTIF('Final Calculation Sheet'!$G$4:$G$1000,$A12)</f>
        <v/>
      </c>
      <c r="C12" s="778">
        <f>SUMIF('Final Calculation Sheet'!$G$4:$G$1000,$A12,'Final Calculation Sheet'!$H$4:$H$1000)</f>
        <v/>
      </c>
      <c r="D12" s="778">
        <f>SUMIF('Final Calculation Sheet'!$G$4:$G$1000,$A12,'Final Calculation Sheet'!$AC$4:$AC$1000)</f>
        <v/>
      </c>
      <c r="E12" s="778">
        <f>SUMIF('Final Calculation Sheet'!$G$4:$G$1000,$A12,'Final Calculation Sheet'!$AD$4:$AD$1000)</f>
        <v/>
      </c>
      <c r="F12" s="786">
        <f>IF(SUMIF('Final Calculation Sheet'!$G$4:$G$1000,$A12,'Final Calculation Sheet'!$AD$4:$AD$1000)&lt;=0,"SETTLED","OUTSTANDING")</f>
        <v/>
      </c>
      <c r="G12" s="796">
        <f>SUMIF('Final Calculation Sheet'!$G$4:$G$1000,$A12,'Final Calculation Sheet'!$A$4:$A$1000)</f>
        <v/>
      </c>
      <c r="H12" s="778">
        <f>IFERROR(SUMIF('Final Calculation Sheet'!$G$4:$G$1000,$A12,'Final Calculation Sheet'!$H$4:$H$1000)/SUMIF('Final Calculation Sheet'!$G$4:$G$1000,$A12,'Final Calculation Sheet'!$A$4:$A$1000),"")</f>
        <v/>
      </c>
      <c r="I12" s="770">
        <f>COUNTIFS('Final Calculation Sheet'!$G$4:$G$1000,$A12,'Final Calculation Sheet'!$AE$4:$AE$1000,"")</f>
        <v/>
      </c>
      <c r="J12" s="778">
        <f>SUMIF('Final Calculation Sheet'!$G$4:$G$1000,$A12,'Final Calculation Sheet'!$I$4:$I$1000)</f>
        <v/>
      </c>
      <c r="K12" s="778">
        <f>SUMIF('Final Calculation Sheet'!$G$4:$G$1000,$A12,'Final Calculation Sheet'!$J$4:$J$1000)</f>
        <v/>
      </c>
      <c r="L12" s="778">
        <f>SUMIF('Final Calculation Sheet'!$G$4:$G$1000,$A12,'Final Calculation Sheet'!$K$4:$K$1000)</f>
        <v/>
      </c>
      <c r="M12" s="806">
        <f>SUMIF('Final Calculation Sheet'!$G$4:$G$1000,$A12,'Final Calculation Sheet'!$L$4:$L$1000)</f>
        <v/>
      </c>
      <c r="N12" s="806">
        <f>SUMIF('Final Calculation Sheet'!$G$4:$G$1000,$A12,'Final Calculation Sheet'!$M$4:$M$1000)</f>
        <v/>
      </c>
      <c r="O12" s="806">
        <f>SUMIF('Final Calculation Sheet'!$G$4:$G$1000,$A12,'Final Calculation Sheet'!$N$4:$N$1000)</f>
        <v/>
      </c>
      <c r="P12" s="806">
        <f>SUMIF('Final Calculation Sheet'!$G$4:$G$1000,$A12,'Final Calculation Sheet'!$O$4:$O$1000)</f>
        <v/>
      </c>
      <c r="Q12" s="778">
        <f>SUMIF('Final Calculation Sheet'!$G$4:$G$1000,$A12,'Final Calculation Sheet'!$P$4:$P$1000)</f>
        <v/>
      </c>
      <c r="R12" s="778">
        <f>SUMIF('Final Calculation Sheet'!$G$4:$G$1000,$A12,'Final Calculation Sheet'!$R$4:$R$1000)</f>
        <v/>
      </c>
      <c r="S12" s="815">
        <f>IFERROR(SUMIF('Final Calculation Sheet'!$G$4:$G$1000,$A12,'Final Calculation Sheet'!$R$4:$R$1000)/SUMIF('Final Calculation Sheet'!$G$4:$G$1000,$A12,'Final Calculation Sheet'!$H$4:$H$1000),"")</f>
        <v/>
      </c>
      <c r="T12" s="778">
        <f>SUMIF('Final Calculation Sheet'!$G$4:$G$1000,$A12,'Final Calculation Sheet'!$S$4:$S$1000)</f>
        <v/>
      </c>
      <c r="U12" s="778">
        <f>SUMIF('Final Calculation Sheet'!$G$4:$G$1000,$A12,'Final Calculation Sheet'!$T$4:$T$1000)</f>
        <v/>
      </c>
      <c r="V12" s="778">
        <f>SUMIF('Final Calculation Sheet'!$G$4:$G$1000,$A12,'Final Calculation Sheet'!$U$4:$U$1000)</f>
        <v/>
      </c>
      <c r="W12" s="778">
        <f>SUMIF('Final Calculation Sheet'!$G$4:$G$1000,$A12,'Final Calculation Sheet'!$T$4:$T$1000)-SUMIF('Final Calculation Sheet'!$G$4:$G$1000,$A12,'Final Calculation Sheet'!$U$4:$U$1000)</f>
        <v/>
      </c>
      <c r="X12" s="778">
        <f>SUMIF('Final Calculation Sheet'!$G$4:$G$1000,$A12,'Final Calculation Sheet'!$W$4:$W$1000)</f>
        <v/>
      </c>
      <c r="Y12" s="778">
        <f>SUMIF('Final Calculation Sheet'!$G$4:$G$1000,$A12,'Final Calculation Sheet'!$X$4:$X$1000)</f>
        <v/>
      </c>
      <c r="Z12" s="778">
        <f>SUMIF('Final Calculation Sheet'!$G$4:$G$1000,$A12,'Final Calculation Sheet'!$W$4:$W$1000)-SUMIF('Final Calculation Sheet'!$G$4:$G$1000,$A12,'Final Calculation Sheet'!$X$4:$X$1000)</f>
        <v/>
      </c>
      <c r="AA12" s="778">
        <f>SUMIF('Final Calculation Sheet'!$G$4:$G$1000,$A12,'Final Calculation Sheet'!$Z$4:$Z$1000)</f>
        <v/>
      </c>
      <c r="AB12" s="778">
        <f>SUMIF('Final Calculation Sheet'!$G$4:$G$1000,$A12,'Final Calculation Sheet'!$AA$4:$AA$1000)</f>
        <v/>
      </c>
      <c r="AC12" s="770">
        <f>COUNTIF('Final Calculation Sheet'!$G$4:$G$1000,$A12)-COUNTIFS('Final Calculation Sheet'!$G$4:$G$1000,$A12,'Final Calculation Sheet'!$AE$4:$AE$1000,"")</f>
        <v/>
      </c>
      <c r="AD12" s="770">
        <f>COUNTIF('Final Calculation Sheet'!$G$4:$G$1000,$A12)-COUNTIFS('Final Calculation Sheet'!$G$4:$G$1000,$A12,'Final Calculation Sheet'!$AF$4:$AF$1000,"")</f>
        <v/>
      </c>
      <c r="AE12" s="832">
        <f>IFERROR(SUMIF('Final Calculation Sheet'!$G$4:$G$1000,$A12,'Final Calculation Sheet'!$AC$4:$AC$1000)/SUMIF('Final Calculation Sheet'!$G$4:$G$1000,$A12,'Final Calculation Sheet'!$S$4:$S$1000),"")</f>
        <v/>
      </c>
    </row>
    <row r="13" ht="16" customHeight="1">
      <c r="A13" s="839" t="inlineStr">
        <is>
          <t>S M ENTERPRISES</t>
        </is>
      </c>
      <c r="B13" s="763">
        <f>COUNTIF('Final Calculation Sheet'!$G$4:$G$1000,$A13)</f>
        <v/>
      </c>
      <c r="C13" s="771">
        <f>SUMIF('Final Calculation Sheet'!$G$4:$G$1000,$A13,'Final Calculation Sheet'!$H$4:$H$1000)</f>
        <v/>
      </c>
      <c r="D13" s="771">
        <f>SUMIF('Final Calculation Sheet'!$G$4:$G$1000,$A13,'Final Calculation Sheet'!$AC$4:$AC$1000)</f>
        <v/>
      </c>
      <c r="E13" s="771">
        <f>SUMIF('Final Calculation Sheet'!$G$4:$G$1000,$A13,'Final Calculation Sheet'!$AD$4:$AD$1000)</f>
        <v/>
      </c>
      <c r="F13" s="779">
        <f>IF(SUMIF('Final Calculation Sheet'!$G$4:$G$1000,$A13,'Final Calculation Sheet'!$AD$4:$AD$1000)&lt;=0,"SETTLED","OUTSTANDING")</f>
        <v/>
      </c>
      <c r="G13" s="789">
        <f>SUMIF('Final Calculation Sheet'!$G$4:$G$1000,$A13,'Final Calculation Sheet'!$A$4:$A$1000)</f>
        <v/>
      </c>
      <c r="H13" s="771">
        <f>IFERROR(SUMIF('Final Calculation Sheet'!$G$4:$G$1000,$A13,'Final Calculation Sheet'!$H$4:$H$1000)/SUMIF('Final Calculation Sheet'!$G$4:$G$1000,$A13,'Final Calculation Sheet'!$A$4:$A$1000),"")</f>
        <v/>
      </c>
      <c r="I13" s="763">
        <f>COUNTIFS('Final Calculation Sheet'!$G$4:$G$1000,$A13,'Final Calculation Sheet'!$AE$4:$AE$1000,"")</f>
        <v/>
      </c>
      <c r="J13" s="771">
        <f>SUMIF('Final Calculation Sheet'!$G$4:$G$1000,$A13,'Final Calculation Sheet'!$I$4:$I$1000)</f>
        <v/>
      </c>
      <c r="K13" s="771">
        <f>SUMIF('Final Calculation Sheet'!$G$4:$G$1000,$A13,'Final Calculation Sheet'!$J$4:$J$1000)</f>
        <v/>
      </c>
      <c r="L13" s="771">
        <f>SUMIF('Final Calculation Sheet'!$G$4:$G$1000,$A13,'Final Calculation Sheet'!$K$4:$K$1000)</f>
        <v/>
      </c>
      <c r="M13" s="799">
        <f>SUMIF('Final Calculation Sheet'!$G$4:$G$1000,$A13,'Final Calculation Sheet'!$L$4:$L$1000)</f>
        <v/>
      </c>
      <c r="N13" s="799">
        <f>SUMIF('Final Calculation Sheet'!$G$4:$G$1000,$A13,'Final Calculation Sheet'!$M$4:$M$1000)</f>
        <v/>
      </c>
      <c r="O13" s="799">
        <f>SUMIF('Final Calculation Sheet'!$G$4:$G$1000,$A13,'Final Calculation Sheet'!$N$4:$N$1000)</f>
        <v/>
      </c>
      <c r="P13" s="799">
        <f>SUMIF('Final Calculation Sheet'!$G$4:$G$1000,$A13,'Final Calculation Sheet'!$O$4:$O$1000)</f>
        <v/>
      </c>
      <c r="Q13" s="771">
        <f>SUMIF('Final Calculation Sheet'!$G$4:$G$1000,$A13,'Final Calculation Sheet'!$P$4:$P$1000)</f>
        <v/>
      </c>
      <c r="R13" s="771">
        <f>SUMIF('Final Calculation Sheet'!$G$4:$G$1000,$A13,'Final Calculation Sheet'!$R$4:$R$1000)</f>
        <v/>
      </c>
      <c r="S13" s="808">
        <f>IFERROR(SUMIF('Final Calculation Sheet'!$G$4:$G$1000,$A13,'Final Calculation Sheet'!$R$4:$R$1000)/SUMIF('Final Calculation Sheet'!$G$4:$G$1000,$A13,'Final Calculation Sheet'!$H$4:$H$1000),"")</f>
        <v/>
      </c>
      <c r="T13" s="771">
        <f>SUMIF('Final Calculation Sheet'!$G$4:$G$1000,$A13,'Final Calculation Sheet'!$S$4:$S$1000)</f>
        <v/>
      </c>
      <c r="U13" s="771">
        <f>SUMIF('Final Calculation Sheet'!$G$4:$G$1000,$A13,'Final Calculation Sheet'!$T$4:$T$1000)</f>
        <v/>
      </c>
      <c r="V13" s="771">
        <f>SUMIF('Final Calculation Sheet'!$G$4:$G$1000,$A13,'Final Calculation Sheet'!$U$4:$U$1000)</f>
        <v/>
      </c>
      <c r="W13" s="771">
        <f>SUMIF('Final Calculation Sheet'!$G$4:$G$1000,$A13,'Final Calculation Sheet'!$T$4:$T$1000)-SUMIF('Final Calculation Sheet'!$G$4:$G$1000,$A13,'Final Calculation Sheet'!$U$4:$U$1000)</f>
        <v/>
      </c>
      <c r="X13" s="771">
        <f>SUMIF('Final Calculation Sheet'!$G$4:$G$1000,$A13,'Final Calculation Sheet'!$W$4:$W$1000)</f>
        <v/>
      </c>
      <c r="Y13" s="771">
        <f>SUMIF('Final Calculation Sheet'!$G$4:$G$1000,$A13,'Final Calculation Sheet'!$X$4:$X$1000)</f>
        <v/>
      </c>
      <c r="Z13" s="771">
        <f>SUMIF('Final Calculation Sheet'!$G$4:$G$1000,$A13,'Final Calculation Sheet'!$W$4:$W$1000)-SUMIF('Final Calculation Sheet'!$G$4:$G$1000,$A13,'Final Calculation Sheet'!$X$4:$X$1000)</f>
        <v/>
      </c>
      <c r="AA13" s="771">
        <f>SUMIF('Final Calculation Sheet'!$G$4:$G$1000,$A13,'Final Calculation Sheet'!$Z$4:$Z$1000)</f>
        <v/>
      </c>
      <c r="AB13" s="771">
        <f>SUMIF('Final Calculation Sheet'!$G$4:$G$1000,$A13,'Final Calculation Sheet'!$AA$4:$AA$1000)</f>
        <v/>
      </c>
      <c r="AC13" s="763">
        <f>COUNTIF('Final Calculation Sheet'!$G$4:$G$1000,$A13)-COUNTIFS('Final Calculation Sheet'!$G$4:$G$1000,$A13,'Final Calculation Sheet'!$AE$4:$AE$1000,"")</f>
        <v/>
      </c>
      <c r="AD13" s="763">
        <f>COUNTIF('Final Calculation Sheet'!$G$4:$G$1000,$A13)-COUNTIFS('Final Calculation Sheet'!$G$4:$G$1000,$A13,'Final Calculation Sheet'!$AF$4:$AF$1000,"")</f>
        <v/>
      </c>
      <c r="AE13" s="825">
        <f>IFERROR(SUMIF('Final Calculation Sheet'!$G$4:$G$1000,$A13,'Final Calculation Sheet'!$AC$4:$AC$1000)/SUMIF('Final Calculation Sheet'!$G$4:$G$1000,$A13,'Final Calculation Sheet'!$S$4:$S$1000),"")</f>
        <v/>
      </c>
    </row>
    <row r="14" ht="16" customHeight="1">
      <c r="A14" s="840" t="inlineStr">
        <is>
          <t>SAHARA ENTERPRISES</t>
        </is>
      </c>
      <c r="B14" s="764">
        <f>COUNTIF('Final Calculation Sheet'!$G$4:$G$1000,$A14)</f>
        <v/>
      </c>
      <c r="C14" s="772">
        <f>SUMIF('Final Calculation Sheet'!$G$4:$G$1000,$A14,'Final Calculation Sheet'!$H$4:$H$1000)</f>
        <v/>
      </c>
      <c r="D14" s="772">
        <f>SUMIF('Final Calculation Sheet'!$G$4:$G$1000,$A14,'Final Calculation Sheet'!$AC$4:$AC$1000)</f>
        <v/>
      </c>
      <c r="E14" s="772">
        <f>SUMIF('Final Calculation Sheet'!$G$4:$G$1000,$A14,'Final Calculation Sheet'!$AD$4:$AD$1000)</f>
        <v/>
      </c>
      <c r="F14" s="780">
        <f>IF(SUMIF('Final Calculation Sheet'!$G$4:$G$1000,$A14,'Final Calculation Sheet'!$AD$4:$AD$1000)&lt;=0,"SETTLED","OUTSTANDING")</f>
        <v/>
      </c>
      <c r="G14" s="790">
        <f>SUMIF('Final Calculation Sheet'!$G$4:$G$1000,$A14,'Final Calculation Sheet'!$A$4:$A$1000)</f>
        <v/>
      </c>
      <c r="H14" s="772">
        <f>IFERROR(SUMIF('Final Calculation Sheet'!$G$4:$G$1000,$A14,'Final Calculation Sheet'!$H$4:$H$1000)/SUMIF('Final Calculation Sheet'!$G$4:$G$1000,$A14,'Final Calculation Sheet'!$A$4:$A$1000),"")</f>
        <v/>
      </c>
      <c r="I14" s="764">
        <f>COUNTIFS('Final Calculation Sheet'!$G$4:$G$1000,$A14,'Final Calculation Sheet'!$AE$4:$AE$1000,"")</f>
        <v/>
      </c>
      <c r="J14" s="772">
        <f>SUMIF('Final Calculation Sheet'!$G$4:$G$1000,$A14,'Final Calculation Sheet'!$I$4:$I$1000)</f>
        <v/>
      </c>
      <c r="K14" s="772">
        <f>SUMIF('Final Calculation Sheet'!$G$4:$G$1000,$A14,'Final Calculation Sheet'!$J$4:$J$1000)</f>
        <v/>
      </c>
      <c r="L14" s="772">
        <f>SUMIF('Final Calculation Sheet'!$G$4:$G$1000,$A14,'Final Calculation Sheet'!$K$4:$K$1000)</f>
        <v/>
      </c>
      <c r="M14" s="800">
        <f>SUMIF('Final Calculation Sheet'!$G$4:$G$1000,$A14,'Final Calculation Sheet'!$L$4:$L$1000)</f>
        <v/>
      </c>
      <c r="N14" s="800">
        <f>SUMIF('Final Calculation Sheet'!$G$4:$G$1000,$A14,'Final Calculation Sheet'!$M$4:$M$1000)</f>
        <v/>
      </c>
      <c r="O14" s="800">
        <f>SUMIF('Final Calculation Sheet'!$G$4:$G$1000,$A14,'Final Calculation Sheet'!$N$4:$N$1000)</f>
        <v/>
      </c>
      <c r="P14" s="800">
        <f>SUMIF('Final Calculation Sheet'!$G$4:$G$1000,$A14,'Final Calculation Sheet'!$O$4:$O$1000)</f>
        <v/>
      </c>
      <c r="Q14" s="772">
        <f>SUMIF('Final Calculation Sheet'!$G$4:$G$1000,$A14,'Final Calculation Sheet'!$P$4:$P$1000)</f>
        <v/>
      </c>
      <c r="R14" s="772">
        <f>SUMIF('Final Calculation Sheet'!$G$4:$G$1000,$A14,'Final Calculation Sheet'!$R$4:$R$1000)</f>
        <v/>
      </c>
      <c r="S14" s="809">
        <f>IFERROR(SUMIF('Final Calculation Sheet'!$G$4:$G$1000,$A14,'Final Calculation Sheet'!$R$4:$R$1000)/SUMIF('Final Calculation Sheet'!$G$4:$G$1000,$A14,'Final Calculation Sheet'!$H$4:$H$1000),"")</f>
        <v/>
      </c>
      <c r="T14" s="772">
        <f>SUMIF('Final Calculation Sheet'!$G$4:$G$1000,$A14,'Final Calculation Sheet'!$S$4:$S$1000)</f>
        <v/>
      </c>
      <c r="U14" s="772">
        <f>SUMIF('Final Calculation Sheet'!$G$4:$G$1000,$A14,'Final Calculation Sheet'!$T$4:$T$1000)</f>
        <v/>
      </c>
      <c r="V14" s="772">
        <f>SUMIF('Final Calculation Sheet'!$G$4:$G$1000,$A14,'Final Calculation Sheet'!$U$4:$U$1000)</f>
        <v/>
      </c>
      <c r="W14" s="772">
        <f>SUMIF('Final Calculation Sheet'!$G$4:$G$1000,$A14,'Final Calculation Sheet'!$T$4:$T$1000)-SUMIF('Final Calculation Sheet'!$G$4:$G$1000,$A14,'Final Calculation Sheet'!$U$4:$U$1000)</f>
        <v/>
      </c>
      <c r="X14" s="772">
        <f>SUMIF('Final Calculation Sheet'!$G$4:$G$1000,$A14,'Final Calculation Sheet'!$W$4:$W$1000)</f>
        <v/>
      </c>
      <c r="Y14" s="772">
        <f>SUMIF('Final Calculation Sheet'!$G$4:$G$1000,$A14,'Final Calculation Sheet'!$X$4:$X$1000)</f>
        <v/>
      </c>
      <c r="Z14" s="772">
        <f>SUMIF('Final Calculation Sheet'!$G$4:$G$1000,$A14,'Final Calculation Sheet'!$W$4:$W$1000)-SUMIF('Final Calculation Sheet'!$G$4:$G$1000,$A14,'Final Calculation Sheet'!$X$4:$X$1000)</f>
        <v/>
      </c>
      <c r="AA14" s="772">
        <f>SUMIF('Final Calculation Sheet'!$G$4:$G$1000,$A14,'Final Calculation Sheet'!$Z$4:$Z$1000)</f>
        <v/>
      </c>
      <c r="AB14" s="772">
        <f>SUMIF('Final Calculation Sheet'!$G$4:$G$1000,$A14,'Final Calculation Sheet'!$AA$4:$AA$1000)</f>
        <v/>
      </c>
      <c r="AC14" s="764">
        <f>COUNTIF('Final Calculation Sheet'!$G$4:$G$1000,$A14)-COUNTIFS('Final Calculation Sheet'!$G$4:$G$1000,$A14,'Final Calculation Sheet'!$AE$4:$AE$1000,"")</f>
        <v/>
      </c>
      <c r="AD14" s="764">
        <f>COUNTIF('Final Calculation Sheet'!$G$4:$G$1000,$A14)-COUNTIFS('Final Calculation Sheet'!$G$4:$G$1000,$A14,'Final Calculation Sheet'!$AF$4:$AF$1000,"")</f>
        <v/>
      </c>
      <c r="AE14" s="826">
        <f>IFERROR(SUMIF('Final Calculation Sheet'!$G$4:$G$1000,$A14,'Final Calculation Sheet'!$AC$4:$AC$1000)/SUMIF('Final Calculation Sheet'!$G$4:$G$1000,$A14,'Final Calculation Sheet'!$S$4:$S$1000),"")</f>
        <v/>
      </c>
    </row>
    <row r="15" ht="16" customHeight="1">
      <c r="A15" s="841" t="inlineStr">
        <is>
          <t>SHAR JAHAN TRADERS</t>
        </is>
      </c>
      <c r="B15" s="765">
        <f>COUNTIF('Final Calculation Sheet'!$G$4:$G$1000,$A15)</f>
        <v/>
      </c>
      <c r="C15" s="773">
        <f>SUMIF('Final Calculation Sheet'!$G$4:$G$1000,$A15,'Final Calculation Sheet'!$H$4:$H$1000)</f>
        <v/>
      </c>
      <c r="D15" s="773">
        <f>SUMIF('Final Calculation Sheet'!$G$4:$G$1000,$A15,'Final Calculation Sheet'!$AC$4:$AC$1000)</f>
        <v/>
      </c>
      <c r="E15" s="773">
        <f>SUMIF('Final Calculation Sheet'!$G$4:$G$1000,$A15,'Final Calculation Sheet'!$AD$4:$AD$1000)</f>
        <v/>
      </c>
      <c r="F15" s="781">
        <f>IF(SUMIF('Final Calculation Sheet'!$G$4:$G$1000,$A15,'Final Calculation Sheet'!$AD$4:$AD$1000)&lt;=0,"SETTLED","OUTSTANDING")</f>
        <v/>
      </c>
      <c r="G15" s="791">
        <f>SUMIF('Final Calculation Sheet'!$G$4:$G$1000,$A15,'Final Calculation Sheet'!$A$4:$A$1000)</f>
        <v/>
      </c>
      <c r="H15" s="773">
        <f>IFERROR(SUMIF('Final Calculation Sheet'!$G$4:$G$1000,$A15,'Final Calculation Sheet'!$H$4:$H$1000)/SUMIF('Final Calculation Sheet'!$G$4:$G$1000,$A15,'Final Calculation Sheet'!$A$4:$A$1000),"")</f>
        <v/>
      </c>
      <c r="I15" s="765">
        <f>COUNTIFS('Final Calculation Sheet'!$G$4:$G$1000,$A15,'Final Calculation Sheet'!$AE$4:$AE$1000,"")</f>
        <v/>
      </c>
      <c r="J15" s="773">
        <f>SUMIF('Final Calculation Sheet'!$G$4:$G$1000,$A15,'Final Calculation Sheet'!$I$4:$I$1000)</f>
        <v/>
      </c>
      <c r="K15" s="773">
        <f>SUMIF('Final Calculation Sheet'!$G$4:$G$1000,$A15,'Final Calculation Sheet'!$J$4:$J$1000)</f>
        <v/>
      </c>
      <c r="L15" s="773">
        <f>SUMIF('Final Calculation Sheet'!$G$4:$G$1000,$A15,'Final Calculation Sheet'!$K$4:$K$1000)</f>
        <v/>
      </c>
      <c r="M15" s="801">
        <f>SUMIF('Final Calculation Sheet'!$G$4:$G$1000,$A15,'Final Calculation Sheet'!$L$4:$L$1000)</f>
        <v/>
      </c>
      <c r="N15" s="801">
        <f>SUMIF('Final Calculation Sheet'!$G$4:$G$1000,$A15,'Final Calculation Sheet'!$M$4:$M$1000)</f>
        <v/>
      </c>
      <c r="O15" s="801">
        <f>SUMIF('Final Calculation Sheet'!$G$4:$G$1000,$A15,'Final Calculation Sheet'!$N$4:$N$1000)</f>
        <v/>
      </c>
      <c r="P15" s="801">
        <f>SUMIF('Final Calculation Sheet'!$G$4:$G$1000,$A15,'Final Calculation Sheet'!$O$4:$O$1000)</f>
        <v/>
      </c>
      <c r="Q15" s="773">
        <f>SUMIF('Final Calculation Sheet'!$G$4:$G$1000,$A15,'Final Calculation Sheet'!$P$4:$P$1000)</f>
        <v/>
      </c>
      <c r="R15" s="773">
        <f>SUMIF('Final Calculation Sheet'!$G$4:$G$1000,$A15,'Final Calculation Sheet'!$R$4:$R$1000)</f>
        <v/>
      </c>
      <c r="S15" s="810">
        <f>IFERROR(SUMIF('Final Calculation Sheet'!$G$4:$G$1000,$A15,'Final Calculation Sheet'!$R$4:$R$1000)/SUMIF('Final Calculation Sheet'!$G$4:$G$1000,$A15,'Final Calculation Sheet'!$H$4:$H$1000),"")</f>
        <v/>
      </c>
      <c r="T15" s="773">
        <f>SUMIF('Final Calculation Sheet'!$G$4:$G$1000,$A15,'Final Calculation Sheet'!$S$4:$S$1000)</f>
        <v/>
      </c>
      <c r="U15" s="773">
        <f>SUMIF('Final Calculation Sheet'!$G$4:$G$1000,$A15,'Final Calculation Sheet'!$T$4:$T$1000)</f>
        <v/>
      </c>
      <c r="V15" s="773">
        <f>SUMIF('Final Calculation Sheet'!$G$4:$G$1000,$A15,'Final Calculation Sheet'!$U$4:$U$1000)</f>
        <v/>
      </c>
      <c r="W15" s="773">
        <f>SUMIF('Final Calculation Sheet'!$G$4:$G$1000,$A15,'Final Calculation Sheet'!$T$4:$T$1000)-SUMIF('Final Calculation Sheet'!$G$4:$G$1000,$A15,'Final Calculation Sheet'!$U$4:$U$1000)</f>
        <v/>
      </c>
      <c r="X15" s="773">
        <f>SUMIF('Final Calculation Sheet'!$G$4:$G$1000,$A15,'Final Calculation Sheet'!$W$4:$W$1000)</f>
        <v/>
      </c>
      <c r="Y15" s="773">
        <f>SUMIF('Final Calculation Sheet'!$G$4:$G$1000,$A15,'Final Calculation Sheet'!$X$4:$X$1000)</f>
        <v/>
      </c>
      <c r="Z15" s="773">
        <f>SUMIF('Final Calculation Sheet'!$G$4:$G$1000,$A15,'Final Calculation Sheet'!$W$4:$W$1000)-SUMIF('Final Calculation Sheet'!$G$4:$G$1000,$A15,'Final Calculation Sheet'!$X$4:$X$1000)</f>
        <v/>
      </c>
      <c r="AA15" s="773">
        <f>SUMIF('Final Calculation Sheet'!$G$4:$G$1000,$A15,'Final Calculation Sheet'!$Z$4:$Z$1000)</f>
        <v/>
      </c>
      <c r="AB15" s="773">
        <f>SUMIF('Final Calculation Sheet'!$G$4:$G$1000,$A15,'Final Calculation Sheet'!$AA$4:$AA$1000)</f>
        <v/>
      </c>
      <c r="AC15" s="765">
        <f>COUNTIF('Final Calculation Sheet'!$G$4:$G$1000,$A15)-COUNTIFS('Final Calculation Sheet'!$G$4:$G$1000,$A15,'Final Calculation Sheet'!$AE$4:$AE$1000,"")</f>
        <v/>
      </c>
      <c r="AD15" s="765">
        <f>COUNTIF('Final Calculation Sheet'!$G$4:$G$1000,$A15)-COUNTIFS('Final Calculation Sheet'!$G$4:$G$1000,$A15,'Final Calculation Sheet'!$AF$4:$AF$1000,"")</f>
        <v/>
      </c>
      <c r="AE15" s="827">
        <f>IFERROR(SUMIF('Final Calculation Sheet'!$G$4:$G$1000,$A15,'Final Calculation Sheet'!$AC$4:$AC$1000)/SUMIF('Final Calculation Sheet'!$G$4:$G$1000,$A15,'Final Calculation Sheet'!$S$4:$S$1000),"")</f>
        <v/>
      </c>
    </row>
    <row r="16" ht="16" customHeight="1">
      <c r="A16" s="842" t="inlineStr">
        <is>
          <t>STERLING ENTERPRISES</t>
        </is>
      </c>
      <c r="B16" s="766">
        <f>COUNTIF('Final Calculation Sheet'!$G$4:$G$1000,$A16)</f>
        <v/>
      </c>
      <c r="C16" s="774">
        <f>SUMIF('Final Calculation Sheet'!$G$4:$G$1000,$A16,'Final Calculation Sheet'!$H$4:$H$1000)</f>
        <v/>
      </c>
      <c r="D16" s="774">
        <f>SUMIF('Final Calculation Sheet'!$G$4:$G$1000,$A16,'Final Calculation Sheet'!$AC$4:$AC$1000)</f>
        <v/>
      </c>
      <c r="E16" s="774">
        <f>SUMIF('Final Calculation Sheet'!$G$4:$G$1000,$A16,'Final Calculation Sheet'!$AD$4:$AD$1000)</f>
        <v/>
      </c>
      <c r="F16" s="782">
        <f>IF(SUMIF('Final Calculation Sheet'!$G$4:$G$1000,$A16,'Final Calculation Sheet'!$AD$4:$AD$1000)&lt;=0,"SETTLED","OUTSTANDING")</f>
        <v/>
      </c>
      <c r="G16" s="792">
        <f>SUMIF('Final Calculation Sheet'!$G$4:$G$1000,$A16,'Final Calculation Sheet'!$A$4:$A$1000)</f>
        <v/>
      </c>
      <c r="H16" s="774">
        <f>IFERROR(SUMIF('Final Calculation Sheet'!$G$4:$G$1000,$A16,'Final Calculation Sheet'!$H$4:$H$1000)/SUMIF('Final Calculation Sheet'!$G$4:$G$1000,$A16,'Final Calculation Sheet'!$A$4:$A$1000),"")</f>
        <v/>
      </c>
      <c r="I16" s="766">
        <f>COUNTIFS('Final Calculation Sheet'!$G$4:$G$1000,$A16,'Final Calculation Sheet'!$AE$4:$AE$1000,"")</f>
        <v/>
      </c>
      <c r="J16" s="774">
        <f>SUMIF('Final Calculation Sheet'!$G$4:$G$1000,$A16,'Final Calculation Sheet'!$I$4:$I$1000)</f>
        <v/>
      </c>
      <c r="K16" s="774">
        <f>SUMIF('Final Calculation Sheet'!$G$4:$G$1000,$A16,'Final Calculation Sheet'!$J$4:$J$1000)</f>
        <v/>
      </c>
      <c r="L16" s="774">
        <f>SUMIF('Final Calculation Sheet'!$G$4:$G$1000,$A16,'Final Calculation Sheet'!$K$4:$K$1000)</f>
        <v/>
      </c>
      <c r="M16" s="802">
        <f>SUMIF('Final Calculation Sheet'!$G$4:$G$1000,$A16,'Final Calculation Sheet'!$L$4:$L$1000)</f>
        <v/>
      </c>
      <c r="N16" s="802">
        <f>SUMIF('Final Calculation Sheet'!$G$4:$G$1000,$A16,'Final Calculation Sheet'!$M$4:$M$1000)</f>
        <v/>
      </c>
      <c r="O16" s="802">
        <f>SUMIF('Final Calculation Sheet'!$G$4:$G$1000,$A16,'Final Calculation Sheet'!$N$4:$N$1000)</f>
        <v/>
      </c>
      <c r="P16" s="802">
        <f>SUMIF('Final Calculation Sheet'!$G$4:$G$1000,$A16,'Final Calculation Sheet'!$O$4:$O$1000)</f>
        <v/>
      </c>
      <c r="Q16" s="774">
        <f>SUMIF('Final Calculation Sheet'!$G$4:$G$1000,$A16,'Final Calculation Sheet'!$P$4:$P$1000)</f>
        <v/>
      </c>
      <c r="R16" s="774">
        <f>SUMIF('Final Calculation Sheet'!$G$4:$G$1000,$A16,'Final Calculation Sheet'!$R$4:$R$1000)</f>
        <v/>
      </c>
      <c r="S16" s="811">
        <f>IFERROR(SUMIF('Final Calculation Sheet'!$G$4:$G$1000,$A16,'Final Calculation Sheet'!$R$4:$R$1000)/SUMIF('Final Calculation Sheet'!$G$4:$G$1000,$A16,'Final Calculation Sheet'!$H$4:$H$1000),"")</f>
        <v/>
      </c>
      <c r="T16" s="774">
        <f>SUMIF('Final Calculation Sheet'!$G$4:$G$1000,$A16,'Final Calculation Sheet'!$S$4:$S$1000)</f>
        <v/>
      </c>
      <c r="U16" s="774">
        <f>SUMIF('Final Calculation Sheet'!$G$4:$G$1000,$A16,'Final Calculation Sheet'!$T$4:$T$1000)</f>
        <v/>
      </c>
      <c r="V16" s="774">
        <f>SUMIF('Final Calculation Sheet'!$G$4:$G$1000,$A16,'Final Calculation Sheet'!$U$4:$U$1000)</f>
        <v/>
      </c>
      <c r="W16" s="774">
        <f>SUMIF('Final Calculation Sheet'!$G$4:$G$1000,$A16,'Final Calculation Sheet'!$T$4:$T$1000)-SUMIF('Final Calculation Sheet'!$G$4:$G$1000,$A16,'Final Calculation Sheet'!$U$4:$U$1000)</f>
        <v/>
      </c>
      <c r="X16" s="774">
        <f>SUMIF('Final Calculation Sheet'!$G$4:$G$1000,$A16,'Final Calculation Sheet'!$W$4:$W$1000)</f>
        <v/>
      </c>
      <c r="Y16" s="774">
        <f>SUMIF('Final Calculation Sheet'!$G$4:$G$1000,$A16,'Final Calculation Sheet'!$X$4:$X$1000)</f>
        <v/>
      </c>
      <c r="Z16" s="774">
        <f>SUMIF('Final Calculation Sheet'!$G$4:$G$1000,$A16,'Final Calculation Sheet'!$W$4:$W$1000)-SUMIF('Final Calculation Sheet'!$G$4:$G$1000,$A16,'Final Calculation Sheet'!$X$4:$X$1000)</f>
        <v/>
      </c>
      <c r="AA16" s="774">
        <f>SUMIF('Final Calculation Sheet'!$G$4:$G$1000,$A16,'Final Calculation Sheet'!$Z$4:$Z$1000)</f>
        <v/>
      </c>
      <c r="AB16" s="774">
        <f>SUMIF('Final Calculation Sheet'!$G$4:$G$1000,$A16,'Final Calculation Sheet'!$AA$4:$AA$1000)</f>
        <v/>
      </c>
      <c r="AC16" s="766">
        <f>COUNTIF('Final Calculation Sheet'!$G$4:$G$1000,$A16)-COUNTIFS('Final Calculation Sheet'!$G$4:$G$1000,$A16,'Final Calculation Sheet'!$AE$4:$AE$1000,"")</f>
        <v/>
      </c>
      <c r="AD16" s="766">
        <f>COUNTIF('Final Calculation Sheet'!$G$4:$G$1000,$A16)-COUNTIFS('Final Calculation Sheet'!$G$4:$G$1000,$A16,'Final Calculation Sheet'!$AF$4:$AF$1000,"")</f>
        <v/>
      </c>
      <c r="AE16" s="828">
        <f>IFERROR(SUMIF('Final Calculation Sheet'!$G$4:$G$1000,$A16,'Final Calculation Sheet'!$AC$4:$AC$1000)/SUMIF('Final Calculation Sheet'!$G$4:$G$1000,$A16,'Final Calculation Sheet'!$S$4:$S$1000),"")</f>
        <v/>
      </c>
    </row>
    <row r="17" ht="16" customHeight="1">
      <c r="A17" s="843" t="inlineStr">
        <is>
          <t>WATAN SCRAP TRADERS</t>
        </is>
      </c>
      <c r="B17" s="767">
        <f>COUNTIF('Final Calculation Sheet'!$G$4:$G$1000,$A17)</f>
        <v/>
      </c>
      <c r="C17" s="775">
        <f>SUMIF('Final Calculation Sheet'!$G$4:$G$1000,$A17,'Final Calculation Sheet'!$H$4:$H$1000)</f>
        <v/>
      </c>
      <c r="D17" s="775">
        <f>SUMIF('Final Calculation Sheet'!$G$4:$G$1000,$A17,'Final Calculation Sheet'!$AC$4:$AC$1000)</f>
        <v/>
      </c>
      <c r="E17" s="775">
        <f>SUMIF('Final Calculation Sheet'!$G$4:$G$1000,$A17,'Final Calculation Sheet'!$AD$4:$AD$1000)</f>
        <v/>
      </c>
      <c r="F17" s="783">
        <f>IF(SUMIF('Final Calculation Sheet'!$G$4:$G$1000,$A17,'Final Calculation Sheet'!$AD$4:$AD$1000)&lt;=0,"SETTLED","OUTSTANDING")</f>
        <v/>
      </c>
      <c r="G17" s="793">
        <f>SUMIF('Final Calculation Sheet'!$G$4:$G$1000,$A17,'Final Calculation Sheet'!$A$4:$A$1000)</f>
        <v/>
      </c>
      <c r="H17" s="775">
        <f>IFERROR(SUMIF('Final Calculation Sheet'!$G$4:$G$1000,$A17,'Final Calculation Sheet'!$H$4:$H$1000)/SUMIF('Final Calculation Sheet'!$G$4:$G$1000,$A17,'Final Calculation Sheet'!$A$4:$A$1000),"")</f>
        <v/>
      </c>
      <c r="I17" s="767">
        <f>COUNTIFS('Final Calculation Sheet'!$G$4:$G$1000,$A17,'Final Calculation Sheet'!$AE$4:$AE$1000,"")</f>
        <v/>
      </c>
      <c r="J17" s="775">
        <f>SUMIF('Final Calculation Sheet'!$G$4:$G$1000,$A17,'Final Calculation Sheet'!$I$4:$I$1000)</f>
        <v/>
      </c>
      <c r="K17" s="775">
        <f>SUMIF('Final Calculation Sheet'!$G$4:$G$1000,$A17,'Final Calculation Sheet'!$J$4:$J$1000)</f>
        <v/>
      </c>
      <c r="L17" s="775">
        <f>SUMIF('Final Calculation Sheet'!$G$4:$G$1000,$A17,'Final Calculation Sheet'!$K$4:$K$1000)</f>
        <v/>
      </c>
      <c r="M17" s="803">
        <f>SUMIF('Final Calculation Sheet'!$G$4:$G$1000,$A17,'Final Calculation Sheet'!$L$4:$L$1000)</f>
        <v/>
      </c>
      <c r="N17" s="803">
        <f>SUMIF('Final Calculation Sheet'!$G$4:$G$1000,$A17,'Final Calculation Sheet'!$M$4:$M$1000)</f>
        <v/>
      </c>
      <c r="O17" s="803">
        <f>SUMIF('Final Calculation Sheet'!$G$4:$G$1000,$A17,'Final Calculation Sheet'!$N$4:$N$1000)</f>
        <v/>
      </c>
      <c r="P17" s="803">
        <f>SUMIF('Final Calculation Sheet'!$G$4:$G$1000,$A17,'Final Calculation Sheet'!$O$4:$O$1000)</f>
        <v/>
      </c>
      <c r="Q17" s="775">
        <f>SUMIF('Final Calculation Sheet'!$G$4:$G$1000,$A17,'Final Calculation Sheet'!$P$4:$P$1000)</f>
        <v/>
      </c>
      <c r="R17" s="775">
        <f>SUMIF('Final Calculation Sheet'!$G$4:$G$1000,$A17,'Final Calculation Sheet'!$R$4:$R$1000)</f>
        <v/>
      </c>
      <c r="S17" s="812">
        <f>IFERROR(SUMIF('Final Calculation Sheet'!$G$4:$G$1000,$A17,'Final Calculation Sheet'!$R$4:$R$1000)/SUMIF('Final Calculation Sheet'!$G$4:$G$1000,$A17,'Final Calculation Sheet'!$H$4:$H$1000),"")</f>
        <v/>
      </c>
      <c r="T17" s="775">
        <f>SUMIF('Final Calculation Sheet'!$G$4:$G$1000,$A17,'Final Calculation Sheet'!$S$4:$S$1000)</f>
        <v/>
      </c>
      <c r="U17" s="775">
        <f>SUMIF('Final Calculation Sheet'!$G$4:$G$1000,$A17,'Final Calculation Sheet'!$T$4:$T$1000)</f>
        <v/>
      </c>
      <c r="V17" s="775">
        <f>SUMIF('Final Calculation Sheet'!$G$4:$G$1000,$A17,'Final Calculation Sheet'!$U$4:$U$1000)</f>
        <v/>
      </c>
      <c r="W17" s="775">
        <f>SUMIF('Final Calculation Sheet'!$G$4:$G$1000,$A17,'Final Calculation Sheet'!$T$4:$T$1000)-SUMIF('Final Calculation Sheet'!$G$4:$G$1000,$A17,'Final Calculation Sheet'!$U$4:$U$1000)</f>
        <v/>
      </c>
      <c r="X17" s="775">
        <f>SUMIF('Final Calculation Sheet'!$G$4:$G$1000,$A17,'Final Calculation Sheet'!$W$4:$W$1000)</f>
        <v/>
      </c>
      <c r="Y17" s="775">
        <f>SUMIF('Final Calculation Sheet'!$G$4:$G$1000,$A17,'Final Calculation Sheet'!$X$4:$X$1000)</f>
        <v/>
      </c>
      <c r="Z17" s="775">
        <f>SUMIF('Final Calculation Sheet'!$G$4:$G$1000,$A17,'Final Calculation Sheet'!$W$4:$W$1000)-SUMIF('Final Calculation Sheet'!$G$4:$G$1000,$A17,'Final Calculation Sheet'!$X$4:$X$1000)</f>
        <v/>
      </c>
      <c r="AA17" s="775">
        <f>SUMIF('Final Calculation Sheet'!$G$4:$G$1000,$A17,'Final Calculation Sheet'!$Z$4:$Z$1000)</f>
        <v/>
      </c>
      <c r="AB17" s="775">
        <f>SUMIF('Final Calculation Sheet'!$G$4:$G$1000,$A17,'Final Calculation Sheet'!$AA$4:$AA$1000)</f>
        <v/>
      </c>
      <c r="AC17" s="767">
        <f>COUNTIF('Final Calculation Sheet'!$G$4:$G$1000,$A17)-COUNTIFS('Final Calculation Sheet'!$G$4:$G$1000,$A17,'Final Calculation Sheet'!$AE$4:$AE$1000,"")</f>
        <v/>
      </c>
      <c r="AD17" s="767">
        <f>COUNTIF('Final Calculation Sheet'!$G$4:$G$1000,$A17)-COUNTIFS('Final Calculation Sheet'!$G$4:$G$1000,$A17,'Final Calculation Sheet'!$AF$4:$AF$1000,"")</f>
        <v/>
      </c>
      <c r="AE17" s="829">
        <f>IFERROR(SUMIF('Final Calculation Sheet'!$G$4:$G$1000,$A17,'Final Calculation Sheet'!$AC$4:$AC$1000)/SUMIF('Final Calculation Sheet'!$G$4:$G$1000,$A17,'Final Calculation Sheet'!$S$4:$S$1000),"")</f>
        <v/>
      </c>
    </row>
    <row r="18" ht="18" customHeight="1">
      <c r="A18" s="847" t="inlineStr">
        <is>
          <t>∑  TOTAL — visible buyers</t>
        </is>
      </c>
      <c r="B18" s="848">
        <f>SUBTOTAL(109,B5:B17)</f>
        <v/>
      </c>
      <c r="C18" s="849">
        <f>SUBTOTAL(109,C5:C17)</f>
        <v/>
      </c>
      <c r="D18" s="849">
        <f>SUBTOTAL(109,D5:D17)</f>
        <v/>
      </c>
      <c r="E18" s="849">
        <f>SUBTOTAL(109,E5:E17)</f>
        <v/>
      </c>
      <c r="F18" s="850">
        <f>IF(E18&lt;=0,"SETTLED","OUTSTANDING")</f>
        <v/>
      </c>
      <c r="G18" s="851">
        <f>SUBTOTAL(109,G5:G17)</f>
        <v/>
      </c>
      <c r="H18" s="849">
        <f>IFERROR(C18/G18,"")</f>
        <v/>
      </c>
      <c r="I18" s="848">
        <f>SUBTOTAL(109,I5:I17)</f>
        <v/>
      </c>
      <c r="J18" s="849">
        <f>SUBTOTAL(109,J5:J17)</f>
        <v/>
      </c>
      <c r="K18" s="849">
        <f>SUBTOTAL(109,K5:K17)</f>
        <v/>
      </c>
      <c r="L18" s="849">
        <f>SUBTOTAL(109,L5:L17)</f>
        <v/>
      </c>
      <c r="M18" s="852">
        <f>SUBTOTAL(109,M5:M17)</f>
        <v/>
      </c>
      <c r="N18" s="852">
        <f>SUBTOTAL(109,N5:N17)</f>
        <v/>
      </c>
      <c r="O18" s="852">
        <f>SUBTOTAL(109,O5:O17)</f>
        <v/>
      </c>
      <c r="P18" s="852">
        <f>SUBTOTAL(109,P5:P17)</f>
        <v/>
      </c>
      <c r="Q18" s="849">
        <f>SUBTOTAL(109,Q5:Q17)</f>
        <v/>
      </c>
      <c r="R18" s="849">
        <f>SUBTOTAL(109,R5:R17)</f>
        <v/>
      </c>
      <c r="S18" s="853">
        <f>IFERROR(R18/C18,"")</f>
        <v/>
      </c>
      <c r="T18" s="849">
        <f>SUBTOTAL(109,T5:T17)</f>
        <v/>
      </c>
      <c r="U18" s="849">
        <f>SUBTOTAL(109,U5:U17)</f>
        <v/>
      </c>
      <c r="V18" s="849">
        <f>SUBTOTAL(109,V5:V17)</f>
        <v/>
      </c>
      <c r="W18" s="849">
        <f>U18-V18</f>
        <v/>
      </c>
      <c r="X18" s="849">
        <f>SUBTOTAL(109,X5:X17)</f>
        <v/>
      </c>
      <c r="Y18" s="849">
        <f>SUBTOTAL(109,Y5:Y17)</f>
        <v/>
      </c>
      <c r="Z18" s="849">
        <f>X18-Y18</f>
        <v/>
      </c>
      <c r="AA18" s="849">
        <f>SUBTOTAL(109,AA5:AA17)</f>
        <v/>
      </c>
      <c r="AB18" s="849">
        <f>SUBTOTAL(109,AB5:AB17)</f>
        <v/>
      </c>
      <c r="AC18" s="848">
        <f>SUBTOTAL(109,AC5:AC17)</f>
        <v/>
      </c>
      <c r="AD18" s="848">
        <f>SUBTOTAL(109,AD5:AD17)</f>
        <v/>
      </c>
      <c r="AE18" s="854">
        <f>IFERROR(D18/T18,"")</f>
        <v/>
      </c>
    </row>
  </sheetData>
  <autoFilter ref="A4:AE17"/>
  <mergeCells count="9">
    <mergeCell ref="AC3:AD3"/>
    <mergeCell ref="AA3:AB3"/>
    <mergeCell ref="A2:AE2"/>
    <mergeCell ref="J3:T3"/>
    <mergeCell ref="B3:F3"/>
    <mergeCell ref="A1:AE1"/>
    <mergeCell ref="G3:I3"/>
    <mergeCell ref="X3:Z3"/>
    <mergeCell ref="U3:W3"/>
  </mergeCells>
  <conditionalFormatting sqref="E5:E18">
    <cfRule type="cellIs" priority="1" operator="greaterThan" dxfId="22">
      <formula>0</formula>
    </cfRule>
    <cfRule type="cellIs" priority="2" operator="lessThanOrEqual" dxfId="4">
      <formula>0</formula>
    </cfRule>
  </conditionalFormatting>
  <conditionalFormatting sqref="F5:F18">
    <cfRule type="cellIs" priority="3" operator="equal" dxfId="21">
      <formula>"SETTLED"</formula>
    </cfRule>
    <cfRule type="cellIs" priority="4" operator="equal" dxfId="22">
      <formula>"OUTSTANDING"</formula>
    </cfRule>
  </conditionalFormatting>
  <conditionalFormatting sqref="AE5:AE18">
    <cfRule type="colorScale" priority="5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658" t="inlineStr">
        <is>
          <t>MSTC LIMITED  •  BUYER ▸ LOT ▸ FIELD  —  VERTICAL DETAIL (everything reads downwards)</t>
        </is>
      </c>
    </row>
    <row r="2" ht="44" customHeight="1">
      <c r="A2" s="659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669" t="inlineStr">
        <is>
          <t>FIELD  ▸  BUYER  /  LOT  /  DETAIL</t>
        </is>
      </c>
      <c r="B4" s="855" t="inlineStr">
        <is>
          <t>VALUE</t>
        </is>
      </c>
    </row>
    <row r="5" ht="24" customHeight="1">
      <c r="A5" s="856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857" t="n"/>
    </row>
    <row r="6" outlineLevel="1" ht="20" customHeight="1">
      <c r="A6" s="858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859" t="n"/>
    </row>
    <row r="7" outlineLevel="2" ht="16" customHeight="1">
      <c r="A7" s="860" t="inlineStr">
        <is>
          <t xml:space="preserve">      ▸ LOT INFORMATION</t>
        </is>
      </c>
      <c r="B7" s="861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860" t="inlineStr">
        <is>
          <t xml:space="preserve">      ▸ FINANCIALS</t>
        </is>
      </c>
      <c r="B14" s="861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860" t="inlineStr">
        <is>
          <t xml:space="preserve">      ▸ SECURITY DEPOSIT</t>
        </is>
      </c>
      <c r="B27" s="861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860" t="inlineStr">
        <is>
          <t xml:space="preserve">      ▸ FINAL PAYMENT</t>
        </is>
      </c>
      <c r="B31" s="861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860" t="inlineStr">
        <is>
          <t xml:space="preserve">      ▸ LPP</t>
        </is>
      </c>
      <c r="B35" s="861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860" t="inlineStr">
        <is>
          <t xml:space="preserve">      ▸ SUMMARY</t>
        </is>
      </c>
      <c r="B39" s="861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860" t="inlineStr">
        <is>
          <t xml:space="preserve">      ▸ DOCUMENT</t>
        </is>
      </c>
      <c r="B43" s="861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862" t="inlineStr">
        <is>
          <t xml:space="preserve">   ∑  AL HAMD TRADE CORPORATION — TOTALS (all its lots)</t>
        </is>
      </c>
      <c r="B47" s="857" t="n"/>
    </row>
    <row r="48" outlineLevel="2" ht="15" customHeight="1">
      <c r="A48" s="708" t="inlineStr">
        <is>
          <t xml:space="preserve">         Quantity</t>
        </is>
      </c>
      <c r="B48" s="863">
        <f>SUMIF('Final Calculation Sheet'!$G$4:$G$1000,"AL HAMD TRADE CORPORATION",'Final Calculation Sheet'!$A$4:$A$1000)</f>
        <v/>
      </c>
    </row>
    <row r="49" outlineLevel="2" ht="15" customHeight="1">
      <c r="A49" s="708" t="inlineStr">
        <is>
          <t xml:space="preserve">         Mat. Value (₹)</t>
        </is>
      </c>
      <c r="B49" s="864">
        <f>SUMIF('Final Calculation Sheet'!$G$4:$G$1000,"AL HAMD TRADE CORPORATION",'Final Calculation Sheet'!$H$4:$H$1000)</f>
        <v/>
      </c>
    </row>
    <row r="50" outlineLevel="2" ht="15" customHeight="1">
      <c r="A50" s="708" t="inlineStr">
        <is>
          <t xml:space="preserve">         GST @ 18% (₹)</t>
        </is>
      </c>
      <c r="B50" s="864">
        <f>SUMIF('Final Calculation Sheet'!$G$4:$G$1000,"AL HAMD TRADE CORPORATION",'Final Calculation Sheet'!$I$4:$I$1000)</f>
        <v/>
      </c>
    </row>
    <row r="51" outlineLevel="2" ht="15" customHeight="1">
      <c r="A51" s="708" t="inlineStr">
        <is>
          <t xml:space="preserve">         Mat. Value + GST (₹)</t>
        </is>
      </c>
      <c r="B51" s="864">
        <f>SUMIF('Final Calculation Sheet'!$G$4:$G$1000,"AL HAMD TRADE CORPORATION",'Final Calculation Sheet'!$J$4:$J$1000)</f>
        <v/>
      </c>
    </row>
    <row r="52" outlineLevel="2" ht="15" customHeight="1">
      <c r="A52" s="708" t="inlineStr">
        <is>
          <t xml:space="preserve">         TCS @ 2% (₹)</t>
        </is>
      </c>
      <c r="B52" s="864">
        <f>SUMIF('Final Calculation Sheet'!$G$4:$G$1000,"AL HAMD TRADE CORPORATION",'Final Calculation Sheet'!$K$4:$K$1000)</f>
        <v/>
      </c>
    </row>
    <row r="53" outlineLevel="2" ht="15" customHeight="1">
      <c r="A53" s="708" t="inlineStr">
        <is>
          <t xml:space="preserve">         TDS u/s 194(O) (₹)</t>
        </is>
      </c>
      <c r="B53" s="865">
        <f>SUMIF('Final Calculation Sheet'!$G$4:$G$1000,"AL HAMD TRADE CORPORATION",'Final Calculation Sheet'!$L$4:$L$1000)</f>
        <v/>
      </c>
    </row>
    <row r="54" outlineLevel="2" ht="15" customHeight="1">
      <c r="A54" s="708" t="inlineStr">
        <is>
          <t xml:space="preserve">         Service Charge gross (₹)</t>
        </is>
      </c>
      <c r="B54" s="865">
        <f>SUMIF('Final Calculation Sheet'!$G$4:$G$1000,"AL HAMD TRADE CORPORATION",'Final Calculation Sheet'!$M$4:$M$1000)</f>
        <v/>
      </c>
    </row>
    <row r="55" outlineLevel="2" ht="15" customHeight="1">
      <c r="A55" s="708" t="inlineStr">
        <is>
          <t xml:space="preserve">         TDS u/s 194(H) (₹)</t>
        </is>
      </c>
      <c r="B55" s="865">
        <f>SUMIF('Final Calculation Sheet'!$G$4:$G$1000,"AL HAMD TRADE CORPORATION",'Final Calculation Sheet'!$N$4:$N$1000)</f>
        <v/>
      </c>
    </row>
    <row r="56" outlineLevel="2" ht="15" customHeight="1">
      <c r="A56" s="708" t="inlineStr">
        <is>
          <t xml:space="preserve">         Net Service Charge (₹)</t>
        </is>
      </c>
      <c r="B56" s="865">
        <f>SUMIF('Final Calculation Sheet'!$G$4:$G$1000,"AL HAMD TRADE CORPORATION",'Final Calculation Sheet'!$O$4:$O$1000)</f>
        <v/>
      </c>
    </row>
    <row r="57" outlineLevel="2" ht="15" customHeight="1">
      <c r="A57" s="708" t="inlineStr">
        <is>
          <t xml:space="preserve">         Svc Charge to MSTC (₹)</t>
        </is>
      </c>
      <c r="B57" s="864">
        <f>SUMIF('Final Calculation Sheet'!$G$4:$G$1000,"AL HAMD TRADE CORPORATION",'Final Calculation Sheet'!$P$4:$P$1000)</f>
        <v/>
      </c>
    </row>
    <row r="58" outlineLevel="2" ht="15" customHeight="1">
      <c r="A58" s="708" t="inlineStr">
        <is>
          <t xml:space="preserve">         GST TDS (₹)</t>
        </is>
      </c>
      <c r="B58" s="864">
        <f>SUMIF('Final Calculation Sheet'!$G$4:$G$1000,"AL HAMD TRADE CORPORATION",'Final Calculation Sheet'!$R$4:$R$1000)</f>
        <v/>
      </c>
    </row>
    <row r="59" outlineLevel="2" ht="15" customHeight="1">
      <c r="A59" s="708" t="inlineStr">
        <is>
          <t xml:space="preserve">         Total Receivables (₹)</t>
        </is>
      </c>
      <c r="B59" s="864">
        <f>SUMIF('Final Calculation Sheet'!$G$4:$G$1000,"AL HAMD TRADE CORPORATION",'Final Calculation Sheet'!$S$4:$S$1000)</f>
        <v/>
      </c>
    </row>
    <row r="60" outlineLevel="2" ht="15" customHeight="1">
      <c r="A60" s="708" t="inlineStr">
        <is>
          <t xml:space="preserve">         SD Expected (₹)</t>
        </is>
      </c>
      <c r="B60" s="864">
        <f>SUMIF('Final Calculation Sheet'!$G$4:$G$1000,"AL HAMD TRADE CORPORATION",'Final Calculation Sheet'!$T$4:$T$1000)</f>
        <v/>
      </c>
    </row>
    <row r="61" outlineLevel="2" ht="15" customHeight="1">
      <c r="A61" s="708" t="inlineStr">
        <is>
          <t xml:space="preserve">         SD Received (₹)</t>
        </is>
      </c>
      <c r="B61" s="864">
        <f>SUMIF('Final Calculation Sheet'!$G$4:$G$1000,"AL HAMD TRADE CORPORATION",'Final Calculation Sheet'!$U$4:$U$1000)</f>
        <v/>
      </c>
    </row>
    <row r="62" outlineLevel="2" ht="15" customHeight="1">
      <c r="A62" s="708" t="inlineStr">
        <is>
          <t xml:space="preserve">         FP Expected (₹)</t>
        </is>
      </c>
      <c r="B62" s="864">
        <f>SUMIF('Final Calculation Sheet'!$G$4:$G$1000,"AL HAMD TRADE CORPORATION",'Final Calculation Sheet'!$W$4:$W$1000)</f>
        <v/>
      </c>
    </row>
    <row r="63" outlineLevel="2" ht="15" customHeight="1">
      <c r="A63" s="708" t="inlineStr">
        <is>
          <t xml:space="preserve">         FP Received (₹)</t>
        </is>
      </c>
      <c r="B63" s="864">
        <f>SUMIF('Final Calculation Sheet'!$G$4:$G$1000,"AL HAMD TRADE CORPORATION",'Final Calculation Sheet'!$X$4:$X$1000)</f>
        <v/>
      </c>
    </row>
    <row r="64" outlineLevel="2" ht="15" customHeight="1">
      <c r="A64" s="708" t="inlineStr">
        <is>
          <t xml:space="preserve">         LPP Expected (₹)</t>
        </is>
      </c>
      <c r="B64" s="864">
        <f>SUMIF('Final Calculation Sheet'!$G$4:$G$1000,"AL HAMD TRADE CORPORATION",'Final Calculation Sheet'!$Z$4:$Z$1000)</f>
        <v/>
      </c>
    </row>
    <row r="65" outlineLevel="2" ht="15" customHeight="1">
      <c r="A65" s="708" t="inlineStr">
        <is>
          <t xml:space="preserve">         LPP Received (₹)</t>
        </is>
      </c>
      <c r="B65" s="864">
        <f>SUMIF('Final Calculation Sheet'!$G$4:$G$1000,"AL HAMD TRADE CORPORATION",'Final Calculation Sheet'!$AA$4:$AA$1000)</f>
        <v/>
      </c>
    </row>
    <row r="66" outlineLevel="2" ht="15" customHeight="1">
      <c r="A66" s="708" t="inlineStr">
        <is>
          <t xml:space="preserve">         Total Received (₹)</t>
        </is>
      </c>
      <c r="B66" s="864">
        <f>SUMIF('Final Calculation Sheet'!$G$4:$G$1000,"AL HAMD TRADE CORPORATION",'Final Calculation Sheet'!$AC$4:$AC$1000)</f>
        <v/>
      </c>
    </row>
    <row r="67" outlineLevel="2" ht="15" customHeight="1">
      <c r="A67" s="708" t="inlineStr">
        <is>
          <t xml:space="preserve">         Outstanding (₹)</t>
        </is>
      </c>
      <c r="B67" s="864">
        <f>SUMIF('Final Calculation Sheet'!$G$4:$G$1000,"AL HAMD TRADE CORPORATION",'Final Calculation Sheet'!$AD$4:$AD$1000)</f>
        <v/>
      </c>
    </row>
    <row r="68" ht="7" customHeight="1">
      <c r="A68" s="866" t="n"/>
      <c r="B68" s="866" t="n"/>
    </row>
    <row r="69" ht="24" customHeight="1">
      <c r="A69" s="867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868" t="n"/>
    </row>
    <row r="70" outlineLevel="1" ht="20" customHeight="1">
      <c r="A70" s="869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70" t="n"/>
    </row>
    <row r="71" outlineLevel="2" ht="16" customHeight="1">
      <c r="A71" s="871" t="inlineStr">
        <is>
          <t xml:space="preserve">      ▸ LOT INFORMATION</t>
        </is>
      </c>
      <c r="B71" s="872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871" t="inlineStr">
        <is>
          <t xml:space="preserve">      ▸ FINANCIALS</t>
        </is>
      </c>
      <c r="B78" s="872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871" t="inlineStr">
        <is>
          <t xml:space="preserve">      ▸ SECURITY DEPOSIT</t>
        </is>
      </c>
      <c r="B91" s="872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871" t="inlineStr">
        <is>
          <t xml:space="preserve">      ▸ FINAL PAYMENT</t>
        </is>
      </c>
      <c r="B95" s="872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871" t="inlineStr">
        <is>
          <t xml:space="preserve">      ▸ LPP</t>
        </is>
      </c>
      <c r="B99" s="872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871" t="inlineStr">
        <is>
          <t xml:space="preserve">      ▸ SUMMARY</t>
        </is>
      </c>
      <c r="B103" s="872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871" t="inlineStr">
        <is>
          <t xml:space="preserve">      ▸ DOCUMENT</t>
        </is>
      </c>
      <c r="B107" s="872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869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70" t="n"/>
    </row>
    <row r="112" outlineLevel="2" ht="16" customHeight="1">
      <c r="A112" s="871" t="inlineStr">
        <is>
          <t xml:space="preserve">      ▸ LOT INFORMATION</t>
        </is>
      </c>
      <c r="B112" s="872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871" t="inlineStr">
        <is>
          <t xml:space="preserve">      ▸ FINANCIALS</t>
        </is>
      </c>
      <c r="B119" s="872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871" t="inlineStr">
        <is>
          <t xml:space="preserve">      ▸ SECURITY DEPOSIT</t>
        </is>
      </c>
      <c r="B132" s="872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871" t="inlineStr">
        <is>
          <t xml:space="preserve">      ▸ FINAL PAYMENT</t>
        </is>
      </c>
      <c r="B136" s="872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871" t="inlineStr">
        <is>
          <t xml:space="preserve">      ▸ LPP</t>
        </is>
      </c>
      <c r="B140" s="872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871" t="inlineStr">
        <is>
          <t xml:space="preserve">      ▸ SUMMARY</t>
        </is>
      </c>
      <c r="B144" s="872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871" t="inlineStr">
        <is>
          <t xml:space="preserve">      ▸ DOCUMENT</t>
        </is>
      </c>
      <c r="B148" s="872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873" t="inlineStr">
        <is>
          <t xml:space="preserve">   ∑  F R KHANS ENTERPRISES — TOTALS (all its lots)</t>
        </is>
      </c>
      <c r="B152" s="868" t="n"/>
    </row>
    <row r="153" outlineLevel="2" ht="15" customHeight="1">
      <c r="A153" s="709" t="inlineStr">
        <is>
          <t xml:space="preserve">         Quantity</t>
        </is>
      </c>
      <c r="B153" s="874">
        <f>SUMIF('Final Calculation Sheet'!$G$4:$G$1000,"F R KHANS ENTERPRISES",'Final Calculation Sheet'!$A$4:$A$1000)</f>
        <v/>
      </c>
    </row>
    <row r="154" outlineLevel="2" ht="15" customHeight="1">
      <c r="A154" s="709" t="inlineStr">
        <is>
          <t xml:space="preserve">         Mat. Value (₹)</t>
        </is>
      </c>
      <c r="B154" s="875">
        <f>SUMIF('Final Calculation Sheet'!$G$4:$G$1000,"F R KHANS ENTERPRISES",'Final Calculation Sheet'!$H$4:$H$1000)</f>
        <v/>
      </c>
    </row>
    <row r="155" outlineLevel="2" ht="15" customHeight="1">
      <c r="A155" s="709" t="inlineStr">
        <is>
          <t xml:space="preserve">         GST @ 18% (₹)</t>
        </is>
      </c>
      <c r="B155" s="875">
        <f>SUMIF('Final Calculation Sheet'!$G$4:$G$1000,"F R KHANS ENTERPRISES",'Final Calculation Sheet'!$I$4:$I$1000)</f>
        <v/>
      </c>
    </row>
    <row r="156" outlineLevel="2" ht="15" customHeight="1">
      <c r="A156" s="709" t="inlineStr">
        <is>
          <t xml:space="preserve">         Mat. Value + GST (₹)</t>
        </is>
      </c>
      <c r="B156" s="875">
        <f>SUMIF('Final Calculation Sheet'!$G$4:$G$1000,"F R KHANS ENTERPRISES",'Final Calculation Sheet'!$J$4:$J$1000)</f>
        <v/>
      </c>
    </row>
    <row r="157" outlineLevel="2" ht="15" customHeight="1">
      <c r="A157" s="709" t="inlineStr">
        <is>
          <t xml:space="preserve">         TCS @ 2% (₹)</t>
        </is>
      </c>
      <c r="B157" s="875">
        <f>SUMIF('Final Calculation Sheet'!$G$4:$G$1000,"F R KHANS ENTERPRISES",'Final Calculation Sheet'!$K$4:$K$1000)</f>
        <v/>
      </c>
    </row>
    <row r="158" outlineLevel="2" ht="15" customHeight="1">
      <c r="A158" s="709" t="inlineStr">
        <is>
          <t xml:space="preserve">         TDS u/s 194(O) (₹)</t>
        </is>
      </c>
      <c r="B158" s="876">
        <f>SUMIF('Final Calculation Sheet'!$G$4:$G$1000,"F R KHANS ENTERPRISES",'Final Calculation Sheet'!$L$4:$L$1000)</f>
        <v/>
      </c>
    </row>
    <row r="159" outlineLevel="2" ht="15" customHeight="1">
      <c r="A159" s="709" t="inlineStr">
        <is>
          <t xml:space="preserve">         Service Charge gross (₹)</t>
        </is>
      </c>
      <c r="B159" s="876">
        <f>SUMIF('Final Calculation Sheet'!$G$4:$G$1000,"F R KHANS ENTERPRISES",'Final Calculation Sheet'!$M$4:$M$1000)</f>
        <v/>
      </c>
    </row>
    <row r="160" outlineLevel="2" ht="15" customHeight="1">
      <c r="A160" s="709" t="inlineStr">
        <is>
          <t xml:space="preserve">         TDS u/s 194(H) (₹)</t>
        </is>
      </c>
      <c r="B160" s="876">
        <f>SUMIF('Final Calculation Sheet'!$G$4:$G$1000,"F R KHANS ENTERPRISES",'Final Calculation Sheet'!$N$4:$N$1000)</f>
        <v/>
      </c>
    </row>
    <row r="161" outlineLevel="2" ht="15" customHeight="1">
      <c r="A161" s="709" t="inlineStr">
        <is>
          <t xml:space="preserve">         Net Service Charge (₹)</t>
        </is>
      </c>
      <c r="B161" s="876">
        <f>SUMIF('Final Calculation Sheet'!$G$4:$G$1000,"F R KHANS ENTERPRISES",'Final Calculation Sheet'!$O$4:$O$1000)</f>
        <v/>
      </c>
    </row>
    <row r="162" outlineLevel="2" ht="15" customHeight="1">
      <c r="A162" s="709" t="inlineStr">
        <is>
          <t xml:space="preserve">         Svc Charge to MSTC (₹)</t>
        </is>
      </c>
      <c r="B162" s="875">
        <f>SUMIF('Final Calculation Sheet'!$G$4:$G$1000,"F R KHANS ENTERPRISES",'Final Calculation Sheet'!$P$4:$P$1000)</f>
        <v/>
      </c>
    </row>
    <row r="163" outlineLevel="2" ht="15" customHeight="1">
      <c r="A163" s="709" t="inlineStr">
        <is>
          <t xml:space="preserve">         GST TDS (₹)</t>
        </is>
      </c>
      <c r="B163" s="875">
        <f>SUMIF('Final Calculation Sheet'!$G$4:$G$1000,"F R KHANS ENTERPRISES",'Final Calculation Sheet'!$R$4:$R$1000)</f>
        <v/>
      </c>
    </row>
    <row r="164" outlineLevel="2" ht="15" customHeight="1">
      <c r="A164" s="709" t="inlineStr">
        <is>
          <t xml:space="preserve">         Total Receivables (₹)</t>
        </is>
      </c>
      <c r="B164" s="875">
        <f>SUMIF('Final Calculation Sheet'!$G$4:$G$1000,"F R KHANS ENTERPRISES",'Final Calculation Sheet'!$S$4:$S$1000)</f>
        <v/>
      </c>
    </row>
    <row r="165" outlineLevel="2" ht="15" customHeight="1">
      <c r="A165" s="709" t="inlineStr">
        <is>
          <t xml:space="preserve">         SD Expected (₹)</t>
        </is>
      </c>
      <c r="B165" s="875">
        <f>SUMIF('Final Calculation Sheet'!$G$4:$G$1000,"F R KHANS ENTERPRISES",'Final Calculation Sheet'!$T$4:$T$1000)</f>
        <v/>
      </c>
    </row>
    <row r="166" outlineLevel="2" ht="15" customHeight="1">
      <c r="A166" s="709" t="inlineStr">
        <is>
          <t xml:space="preserve">         SD Received (₹)</t>
        </is>
      </c>
      <c r="B166" s="875">
        <f>SUMIF('Final Calculation Sheet'!$G$4:$G$1000,"F R KHANS ENTERPRISES",'Final Calculation Sheet'!$U$4:$U$1000)</f>
        <v/>
      </c>
    </row>
    <row r="167" outlineLevel="2" ht="15" customHeight="1">
      <c r="A167" s="709" t="inlineStr">
        <is>
          <t xml:space="preserve">         FP Expected (₹)</t>
        </is>
      </c>
      <c r="B167" s="875">
        <f>SUMIF('Final Calculation Sheet'!$G$4:$G$1000,"F R KHANS ENTERPRISES",'Final Calculation Sheet'!$W$4:$W$1000)</f>
        <v/>
      </c>
    </row>
    <row r="168" outlineLevel="2" ht="15" customHeight="1">
      <c r="A168" s="709" t="inlineStr">
        <is>
          <t xml:space="preserve">         FP Received (₹)</t>
        </is>
      </c>
      <c r="B168" s="875">
        <f>SUMIF('Final Calculation Sheet'!$G$4:$G$1000,"F R KHANS ENTERPRISES",'Final Calculation Sheet'!$X$4:$X$1000)</f>
        <v/>
      </c>
    </row>
    <row r="169" outlineLevel="2" ht="15" customHeight="1">
      <c r="A169" s="709" t="inlineStr">
        <is>
          <t xml:space="preserve">         LPP Expected (₹)</t>
        </is>
      </c>
      <c r="B169" s="875">
        <f>SUMIF('Final Calculation Sheet'!$G$4:$G$1000,"F R KHANS ENTERPRISES",'Final Calculation Sheet'!$Z$4:$Z$1000)</f>
        <v/>
      </c>
    </row>
    <row r="170" outlineLevel="2" ht="15" customHeight="1">
      <c r="A170" s="709" t="inlineStr">
        <is>
          <t xml:space="preserve">         LPP Received (₹)</t>
        </is>
      </c>
      <c r="B170" s="875">
        <f>SUMIF('Final Calculation Sheet'!$G$4:$G$1000,"F R KHANS ENTERPRISES",'Final Calculation Sheet'!$AA$4:$AA$1000)</f>
        <v/>
      </c>
    </row>
    <row r="171" outlineLevel="2" ht="15" customHeight="1">
      <c r="A171" s="709" t="inlineStr">
        <is>
          <t xml:space="preserve">         Total Received (₹)</t>
        </is>
      </c>
      <c r="B171" s="875">
        <f>SUMIF('Final Calculation Sheet'!$G$4:$G$1000,"F R KHANS ENTERPRISES",'Final Calculation Sheet'!$AC$4:$AC$1000)</f>
        <v/>
      </c>
    </row>
    <row r="172" outlineLevel="2" ht="15" customHeight="1">
      <c r="A172" s="709" t="inlineStr">
        <is>
          <t xml:space="preserve">         Outstanding (₹)</t>
        </is>
      </c>
      <c r="B172" s="875">
        <f>SUMIF('Final Calculation Sheet'!$G$4:$G$1000,"F R KHANS ENTERPRISES",'Final Calculation Sheet'!$AD$4:$AD$1000)</f>
        <v/>
      </c>
    </row>
    <row r="173" ht="7" customHeight="1">
      <c r="A173" s="866" t="n"/>
      <c r="B173" s="866" t="n"/>
    </row>
    <row r="174" ht="24" customHeight="1">
      <c r="A174" s="877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878" t="n"/>
    </row>
    <row r="175" outlineLevel="1" ht="20" customHeight="1">
      <c r="A175" s="879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880" t="n"/>
    </row>
    <row r="176" outlineLevel="2" ht="16" customHeight="1">
      <c r="A176" s="881" t="inlineStr">
        <is>
          <t xml:space="preserve">      ▸ LOT INFORMATION</t>
        </is>
      </c>
      <c r="B176" s="88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881" t="inlineStr">
        <is>
          <t xml:space="preserve">      ▸ FINANCIALS</t>
        </is>
      </c>
      <c r="B183" s="88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881" t="inlineStr">
        <is>
          <t xml:space="preserve">      ▸ SECURITY DEPOSIT</t>
        </is>
      </c>
      <c r="B196" s="88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881" t="inlineStr">
        <is>
          <t xml:space="preserve">      ▸ FINAL PAYMENT</t>
        </is>
      </c>
      <c r="B200" s="88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881" t="inlineStr">
        <is>
          <t xml:space="preserve">      ▸ LPP</t>
        </is>
      </c>
      <c r="B204" s="88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881" t="inlineStr">
        <is>
          <t xml:space="preserve">      ▸ SUMMARY</t>
        </is>
      </c>
      <c r="B208" s="88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881" t="inlineStr">
        <is>
          <t xml:space="preserve">      ▸ DOCUMENT</t>
        </is>
      </c>
      <c r="B212" s="88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883" t="inlineStr">
        <is>
          <t xml:space="preserve">   ∑  HIND TRADERS — TOTALS (all its lots)</t>
        </is>
      </c>
      <c r="B216" s="878" t="n"/>
    </row>
    <row r="217" outlineLevel="2" ht="15" customHeight="1">
      <c r="A217" s="710" t="inlineStr">
        <is>
          <t xml:space="preserve">         Quantity</t>
        </is>
      </c>
      <c r="B217" s="884">
        <f>SUMIF('Final Calculation Sheet'!$G$4:$G$1000,"HIND TRADERS",'Final Calculation Sheet'!$A$4:$A$1000)</f>
        <v/>
      </c>
    </row>
    <row r="218" outlineLevel="2" ht="15" customHeight="1">
      <c r="A218" s="710" t="inlineStr">
        <is>
          <t xml:space="preserve">         Mat. Value (₹)</t>
        </is>
      </c>
      <c r="B218" s="885">
        <f>SUMIF('Final Calculation Sheet'!$G$4:$G$1000,"HIND TRADERS",'Final Calculation Sheet'!$H$4:$H$1000)</f>
        <v/>
      </c>
    </row>
    <row r="219" outlineLevel="2" ht="15" customHeight="1">
      <c r="A219" s="710" t="inlineStr">
        <is>
          <t xml:space="preserve">         GST @ 18% (₹)</t>
        </is>
      </c>
      <c r="B219" s="885">
        <f>SUMIF('Final Calculation Sheet'!$G$4:$G$1000,"HIND TRADERS",'Final Calculation Sheet'!$I$4:$I$1000)</f>
        <v/>
      </c>
    </row>
    <row r="220" outlineLevel="2" ht="15" customHeight="1">
      <c r="A220" s="710" t="inlineStr">
        <is>
          <t xml:space="preserve">         Mat. Value + GST (₹)</t>
        </is>
      </c>
      <c r="B220" s="885">
        <f>SUMIF('Final Calculation Sheet'!$G$4:$G$1000,"HIND TRADERS",'Final Calculation Sheet'!$J$4:$J$1000)</f>
        <v/>
      </c>
    </row>
    <row r="221" outlineLevel="2" ht="15" customHeight="1">
      <c r="A221" s="710" t="inlineStr">
        <is>
          <t xml:space="preserve">         TCS @ 2% (₹)</t>
        </is>
      </c>
      <c r="B221" s="885">
        <f>SUMIF('Final Calculation Sheet'!$G$4:$G$1000,"HIND TRADERS",'Final Calculation Sheet'!$K$4:$K$1000)</f>
        <v/>
      </c>
    </row>
    <row r="222" outlineLevel="2" ht="15" customHeight="1">
      <c r="A222" s="710" t="inlineStr">
        <is>
          <t xml:space="preserve">         TDS u/s 194(O) (₹)</t>
        </is>
      </c>
      <c r="B222" s="886">
        <f>SUMIF('Final Calculation Sheet'!$G$4:$G$1000,"HIND TRADERS",'Final Calculation Sheet'!$L$4:$L$1000)</f>
        <v/>
      </c>
    </row>
    <row r="223" outlineLevel="2" ht="15" customHeight="1">
      <c r="A223" s="710" t="inlineStr">
        <is>
          <t xml:space="preserve">         Service Charge gross (₹)</t>
        </is>
      </c>
      <c r="B223" s="886">
        <f>SUMIF('Final Calculation Sheet'!$G$4:$G$1000,"HIND TRADERS",'Final Calculation Sheet'!$M$4:$M$1000)</f>
        <v/>
      </c>
    </row>
    <row r="224" outlineLevel="2" ht="15" customHeight="1">
      <c r="A224" s="710" t="inlineStr">
        <is>
          <t xml:space="preserve">         TDS u/s 194(H) (₹)</t>
        </is>
      </c>
      <c r="B224" s="886">
        <f>SUMIF('Final Calculation Sheet'!$G$4:$G$1000,"HIND TRADERS",'Final Calculation Sheet'!$N$4:$N$1000)</f>
        <v/>
      </c>
    </row>
    <row r="225" outlineLevel="2" ht="15" customHeight="1">
      <c r="A225" s="710" t="inlineStr">
        <is>
          <t xml:space="preserve">         Net Service Charge (₹)</t>
        </is>
      </c>
      <c r="B225" s="886">
        <f>SUMIF('Final Calculation Sheet'!$G$4:$G$1000,"HIND TRADERS",'Final Calculation Sheet'!$O$4:$O$1000)</f>
        <v/>
      </c>
    </row>
    <row r="226" outlineLevel="2" ht="15" customHeight="1">
      <c r="A226" s="710" t="inlineStr">
        <is>
          <t xml:space="preserve">         Svc Charge to MSTC (₹)</t>
        </is>
      </c>
      <c r="B226" s="885">
        <f>SUMIF('Final Calculation Sheet'!$G$4:$G$1000,"HIND TRADERS",'Final Calculation Sheet'!$P$4:$P$1000)</f>
        <v/>
      </c>
    </row>
    <row r="227" outlineLevel="2" ht="15" customHeight="1">
      <c r="A227" s="710" t="inlineStr">
        <is>
          <t xml:space="preserve">         GST TDS (₹)</t>
        </is>
      </c>
      <c r="B227" s="885">
        <f>SUMIF('Final Calculation Sheet'!$G$4:$G$1000,"HIND TRADERS",'Final Calculation Sheet'!$R$4:$R$1000)</f>
        <v/>
      </c>
    </row>
    <row r="228" outlineLevel="2" ht="15" customHeight="1">
      <c r="A228" s="710" t="inlineStr">
        <is>
          <t xml:space="preserve">         Total Receivables (₹)</t>
        </is>
      </c>
      <c r="B228" s="885">
        <f>SUMIF('Final Calculation Sheet'!$G$4:$G$1000,"HIND TRADERS",'Final Calculation Sheet'!$S$4:$S$1000)</f>
        <v/>
      </c>
    </row>
    <row r="229" outlineLevel="2" ht="15" customHeight="1">
      <c r="A229" s="710" t="inlineStr">
        <is>
          <t xml:space="preserve">         SD Expected (₹)</t>
        </is>
      </c>
      <c r="B229" s="885">
        <f>SUMIF('Final Calculation Sheet'!$G$4:$G$1000,"HIND TRADERS",'Final Calculation Sheet'!$T$4:$T$1000)</f>
        <v/>
      </c>
    </row>
    <row r="230" outlineLevel="2" ht="15" customHeight="1">
      <c r="A230" s="710" t="inlineStr">
        <is>
          <t xml:space="preserve">         SD Received (₹)</t>
        </is>
      </c>
      <c r="B230" s="885">
        <f>SUMIF('Final Calculation Sheet'!$G$4:$G$1000,"HIND TRADERS",'Final Calculation Sheet'!$U$4:$U$1000)</f>
        <v/>
      </c>
    </row>
    <row r="231" outlineLevel="2" ht="15" customHeight="1">
      <c r="A231" s="710" t="inlineStr">
        <is>
          <t xml:space="preserve">         FP Expected (₹)</t>
        </is>
      </c>
      <c r="B231" s="885">
        <f>SUMIF('Final Calculation Sheet'!$G$4:$G$1000,"HIND TRADERS",'Final Calculation Sheet'!$W$4:$W$1000)</f>
        <v/>
      </c>
    </row>
    <row r="232" outlineLevel="2" ht="15" customHeight="1">
      <c r="A232" s="710" t="inlineStr">
        <is>
          <t xml:space="preserve">         FP Received (₹)</t>
        </is>
      </c>
      <c r="B232" s="885">
        <f>SUMIF('Final Calculation Sheet'!$G$4:$G$1000,"HIND TRADERS",'Final Calculation Sheet'!$X$4:$X$1000)</f>
        <v/>
      </c>
    </row>
    <row r="233" outlineLevel="2" ht="15" customHeight="1">
      <c r="A233" s="710" t="inlineStr">
        <is>
          <t xml:space="preserve">         LPP Expected (₹)</t>
        </is>
      </c>
      <c r="B233" s="885">
        <f>SUMIF('Final Calculation Sheet'!$G$4:$G$1000,"HIND TRADERS",'Final Calculation Sheet'!$Z$4:$Z$1000)</f>
        <v/>
      </c>
    </row>
    <row r="234" outlineLevel="2" ht="15" customHeight="1">
      <c r="A234" s="710" t="inlineStr">
        <is>
          <t xml:space="preserve">         LPP Received (₹)</t>
        </is>
      </c>
      <c r="B234" s="885">
        <f>SUMIF('Final Calculation Sheet'!$G$4:$G$1000,"HIND TRADERS",'Final Calculation Sheet'!$AA$4:$AA$1000)</f>
        <v/>
      </c>
    </row>
    <row r="235" outlineLevel="2" ht="15" customHeight="1">
      <c r="A235" s="710" t="inlineStr">
        <is>
          <t xml:space="preserve">         Total Received (₹)</t>
        </is>
      </c>
      <c r="B235" s="885">
        <f>SUMIF('Final Calculation Sheet'!$G$4:$G$1000,"HIND TRADERS",'Final Calculation Sheet'!$AC$4:$AC$1000)</f>
        <v/>
      </c>
    </row>
    <row r="236" outlineLevel="2" ht="15" customHeight="1">
      <c r="A236" s="710" t="inlineStr">
        <is>
          <t xml:space="preserve">         Outstanding (₹)</t>
        </is>
      </c>
      <c r="B236" s="885">
        <f>SUMIF('Final Calculation Sheet'!$G$4:$G$1000,"HIND TRADERS",'Final Calculation Sheet'!$AD$4:$AD$1000)</f>
        <v/>
      </c>
    </row>
    <row r="237" ht="7" customHeight="1">
      <c r="A237" s="866" t="n"/>
      <c r="B237" s="866" t="n"/>
    </row>
    <row r="238" ht="24" customHeight="1">
      <c r="A238" s="887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888" t="n"/>
    </row>
    <row r="239" outlineLevel="1" ht="20" customHeight="1">
      <c r="A239" s="889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890" t="n"/>
    </row>
    <row r="240" outlineLevel="2" ht="16" customHeight="1">
      <c r="A240" s="891" t="inlineStr">
        <is>
          <t xml:space="preserve">      ▸ LOT INFORMATION</t>
        </is>
      </c>
      <c r="B240" s="892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891" t="inlineStr">
        <is>
          <t xml:space="preserve">      ▸ FINANCIALS</t>
        </is>
      </c>
      <c r="B247" s="892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891" t="inlineStr">
        <is>
          <t xml:space="preserve">      ▸ SECURITY DEPOSIT</t>
        </is>
      </c>
      <c r="B260" s="892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891" t="inlineStr">
        <is>
          <t xml:space="preserve">      ▸ FINAL PAYMENT</t>
        </is>
      </c>
      <c r="B264" s="892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891" t="inlineStr">
        <is>
          <t xml:space="preserve">      ▸ LPP</t>
        </is>
      </c>
      <c r="B268" s="892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891" t="inlineStr">
        <is>
          <t xml:space="preserve">      ▸ SUMMARY</t>
        </is>
      </c>
      <c r="B272" s="892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891" t="inlineStr">
        <is>
          <t xml:space="preserve">      ▸ DOCUMENT</t>
        </is>
      </c>
      <c r="B276" s="892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893" t="inlineStr">
        <is>
          <t xml:space="preserve">   ∑  KASHYAP TRADING CO — TOTALS (all its lots)</t>
        </is>
      </c>
      <c r="B280" s="888" t="n"/>
    </row>
    <row r="281" outlineLevel="2" ht="15" customHeight="1">
      <c r="A281" s="711" t="inlineStr">
        <is>
          <t xml:space="preserve">         Quantity</t>
        </is>
      </c>
      <c r="B281" s="894">
        <f>SUMIF('Final Calculation Sheet'!$G$4:$G$1000,"KASHYAP TRADING CO",'Final Calculation Sheet'!$A$4:$A$1000)</f>
        <v/>
      </c>
    </row>
    <row r="282" outlineLevel="2" ht="15" customHeight="1">
      <c r="A282" s="711" t="inlineStr">
        <is>
          <t xml:space="preserve">         Mat. Value (₹)</t>
        </is>
      </c>
      <c r="B282" s="895">
        <f>SUMIF('Final Calculation Sheet'!$G$4:$G$1000,"KASHYAP TRADING CO",'Final Calculation Sheet'!$H$4:$H$1000)</f>
        <v/>
      </c>
    </row>
    <row r="283" outlineLevel="2" ht="15" customHeight="1">
      <c r="A283" s="711" t="inlineStr">
        <is>
          <t xml:space="preserve">         GST @ 18% (₹)</t>
        </is>
      </c>
      <c r="B283" s="895">
        <f>SUMIF('Final Calculation Sheet'!$G$4:$G$1000,"KASHYAP TRADING CO",'Final Calculation Sheet'!$I$4:$I$1000)</f>
        <v/>
      </c>
    </row>
    <row r="284" outlineLevel="2" ht="15" customHeight="1">
      <c r="A284" s="711" t="inlineStr">
        <is>
          <t xml:space="preserve">         Mat. Value + GST (₹)</t>
        </is>
      </c>
      <c r="B284" s="895">
        <f>SUMIF('Final Calculation Sheet'!$G$4:$G$1000,"KASHYAP TRADING CO",'Final Calculation Sheet'!$J$4:$J$1000)</f>
        <v/>
      </c>
    </row>
    <row r="285" outlineLevel="2" ht="15" customHeight="1">
      <c r="A285" s="711" t="inlineStr">
        <is>
          <t xml:space="preserve">         TCS @ 2% (₹)</t>
        </is>
      </c>
      <c r="B285" s="895">
        <f>SUMIF('Final Calculation Sheet'!$G$4:$G$1000,"KASHYAP TRADING CO",'Final Calculation Sheet'!$K$4:$K$1000)</f>
        <v/>
      </c>
    </row>
    <row r="286" outlineLevel="2" ht="15" customHeight="1">
      <c r="A286" s="711" t="inlineStr">
        <is>
          <t xml:space="preserve">         TDS u/s 194(O) (₹)</t>
        </is>
      </c>
      <c r="B286" s="896">
        <f>SUMIF('Final Calculation Sheet'!$G$4:$G$1000,"KASHYAP TRADING CO",'Final Calculation Sheet'!$L$4:$L$1000)</f>
        <v/>
      </c>
    </row>
    <row r="287" outlineLevel="2" ht="15" customHeight="1">
      <c r="A287" s="711" t="inlineStr">
        <is>
          <t xml:space="preserve">         Service Charge gross (₹)</t>
        </is>
      </c>
      <c r="B287" s="896">
        <f>SUMIF('Final Calculation Sheet'!$G$4:$G$1000,"KASHYAP TRADING CO",'Final Calculation Sheet'!$M$4:$M$1000)</f>
        <v/>
      </c>
    </row>
    <row r="288" outlineLevel="2" ht="15" customHeight="1">
      <c r="A288" s="711" t="inlineStr">
        <is>
          <t xml:space="preserve">         TDS u/s 194(H) (₹)</t>
        </is>
      </c>
      <c r="B288" s="896">
        <f>SUMIF('Final Calculation Sheet'!$G$4:$G$1000,"KASHYAP TRADING CO",'Final Calculation Sheet'!$N$4:$N$1000)</f>
        <v/>
      </c>
    </row>
    <row r="289" outlineLevel="2" ht="15" customHeight="1">
      <c r="A289" s="711" t="inlineStr">
        <is>
          <t xml:space="preserve">         Net Service Charge (₹)</t>
        </is>
      </c>
      <c r="B289" s="896">
        <f>SUMIF('Final Calculation Sheet'!$G$4:$G$1000,"KASHYAP TRADING CO",'Final Calculation Sheet'!$O$4:$O$1000)</f>
        <v/>
      </c>
    </row>
    <row r="290" outlineLevel="2" ht="15" customHeight="1">
      <c r="A290" s="711" t="inlineStr">
        <is>
          <t xml:space="preserve">         Svc Charge to MSTC (₹)</t>
        </is>
      </c>
      <c r="B290" s="895">
        <f>SUMIF('Final Calculation Sheet'!$G$4:$G$1000,"KASHYAP TRADING CO",'Final Calculation Sheet'!$P$4:$P$1000)</f>
        <v/>
      </c>
    </row>
    <row r="291" outlineLevel="2" ht="15" customHeight="1">
      <c r="A291" s="711" t="inlineStr">
        <is>
          <t xml:space="preserve">         GST TDS (₹)</t>
        </is>
      </c>
      <c r="B291" s="895">
        <f>SUMIF('Final Calculation Sheet'!$G$4:$G$1000,"KASHYAP TRADING CO",'Final Calculation Sheet'!$R$4:$R$1000)</f>
        <v/>
      </c>
    </row>
    <row r="292" outlineLevel="2" ht="15" customHeight="1">
      <c r="A292" s="711" t="inlineStr">
        <is>
          <t xml:space="preserve">         Total Receivables (₹)</t>
        </is>
      </c>
      <c r="B292" s="895">
        <f>SUMIF('Final Calculation Sheet'!$G$4:$G$1000,"KASHYAP TRADING CO",'Final Calculation Sheet'!$S$4:$S$1000)</f>
        <v/>
      </c>
    </row>
    <row r="293" outlineLevel="2" ht="15" customHeight="1">
      <c r="A293" s="711" t="inlineStr">
        <is>
          <t xml:space="preserve">         SD Expected (₹)</t>
        </is>
      </c>
      <c r="B293" s="895">
        <f>SUMIF('Final Calculation Sheet'!$G$4:$G$1000,"KASHYAP TRADING CO",'Final Calculation Sheet'!$T$4:$T$1000)</f>
        <v/>
      </c>
    </row>
    <row r="294" outlineLevel="2" ht="15" customHeight="1">
      <c r="A294" s="711" t="inlineStr">
        <is>
          <t xml:space="preserve">         SD Received (₹)</t>
        </is>
      </c>
      <c r="B294" s="895">
        <f>SUMIF('Final Calculation Sheet'!$G$4:$G$1000,"KASHYAP TRADING CO",'Final Calculation Sheet'!$U$4:$U$1000)</f>
        <v/>
      </c>
    </row>
    <row r="295" outlineLevel="2" ht="15" customHeight="1">
      <c r="A295" s="711" t="inlineStr">
        <is>
          <t xml:space="preserve">         FP Expected (₹)</t>
        </is>
      </c>
      <c r="B295" s="895">
        <f>SUMIF('Final Calculation Sheet'!$G$4:$G$1000,"KASHYAP TRADING CO",'Final Calculation Sheet'!$W$4:$W$1000)</f>
        <v/>
      </c>
    </row>
    <row r="296" outlineLevel="2" ht="15" customHeight="1">
      <c r="A296" s="711" t="inlineStr">
        <is>
          <t xml:space="preserve">         FP Received (₹)</t>
        </is>
      </c>
      <c r="B296" s="895">
        <f>SUMIF('Final Calculation Sheet'!$G$4:$G$1000,"KASHYAP TRADING CO",'Final Calculation Sheet'!$X$4:$X$1000)</f>
        <v/>
      </c>
    </row>
    <row r="297" outlineLevel="2" ht="15" customHeight="1">
      <c r="A297" s="711" t="inlineStr">
        <is>
          <t xml:space="preserve">         LPP Expected (₹)</t>
        </is>
      </c>
      <c r="B297" s="895">
        <f>SUMIF('Final Calculation Sheet'!$G$4:$G$1000,"KASHYAP TRADING CO",'Final Calculation Sheet'!$Z$4:$Z$1000)</f>
        <v/>
      </c>
    </row>
    <row r="298" outlineLevel="2" ht="15" customHeight="1">
      <c r="A298" s="711" t="inlineStr">
        <is>
          <t xml:space="preserve">         LPP Received (₹)</t>
        </is>
      </c>
      <c r="B298" s="895">
        <f>SUMIF('Final Calculation Sheet'!$G$4:$G$1000,"KASHYAP TRADING CO",'Final Calculation Sheet'!$AA$4:$AA$1000)</f>
        <v/>
      </c>
    </row>
    <row r="299" outlineLevel="2" ht="15" customHeight="1">
      <c r="A299" s="711" t="inlineStr">
        <is>
          <t xml:space="preserve">         Total Received (₹)</t>
        </is>
      </c>
      <c r="B299" s="895">
        <f>SUMIF('Final Calculation Sheet'!$G$4:$G$1000,"KASHYAP TRADING CO",'Final Calculation Sheet'!$AC$4:$AC$1000)</f>
        <v/>
      </c>
    </row>
    <row r="300" outlineLevel="2" ht="15" customHeight="1">
      <c r="A300" s="711" t="inlineStr">
        <is>
          <t xml:space="preserve">         Outstanding (₹)</t>
        </is>
      </c>
      <c r="B300" s="895">
        <f>SUMIF('Final Calculation Sheet'!$G$4:$G$1000,"KASHYAP TRADING CO",'Final Calculation Sheet'!$AD$4:$AD$1000)</f>
        <v/>
      </c>
    </row>
    <row r="301" ht="7" customHeight="1">
      <c r="A301" s="866" t="n"/>
      <c r="B301" s="866" t="n"/>
    </row>
    <row r="302" ht="24" customHeight="1">
      <c r="A302" s="89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898" t="n"/>
    </row>
    <row r="303" outlineLevel="1" ht="20" customHeight="1">
      <c r="A303" s="899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900" t="n"/>
    </row>
    <row r="304" outlineLevel="2" ht="16" customHeight="1">
      <c r="A304" s="901" t="inlineStr">
        <is>
          <t xml:space="preserve">      ▸ LOT INFORMATION</t>
        </is>
      </c>
      <c r="B304" s="902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901" t="inlineStr">
        <is>
          <t xml:space="preserve">      ▸ FINANCIALS</t>
        </is>
      </c>
      <c r="B311" s="902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901" t="inlineStr">
        <is>
          <t xml:space="preserve">      ▸ SECURITY DEPOSIT</t>
        </is>
      </c>
      <c r="B324" s="902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901" t="inlineStr">
        <is>
          <t xml:space="preserve">      ▸ FINAL PAYMENT</t>
        </is>
      </c>
      <c r="B328" s="902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901" t="inlineStr">
        <is>
          <t xml:space="preserve">      ▸ LPP</t>
        </is>
      </c>
      <c r="B332" s="902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901" t="inlineStr">
        <is>
          <t xml:space="preserve">      ▸ SUMMARY</t>
        </is>
      </c>
      <c r="B336" s="902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901" t="inlineStr">
        <is>
          <t xml:space="preserve">      ▸ DOCUMENT</t>
        </is>
      </c>
      <c r="B340" s="902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903" t="inlineStr">
        <is>
          <t xml:space="preserve">   ∑  M I SCRAP TRADERS — TOTALS (all its lots)</t>
        </is>
      </c>
      <c r="B344" s="898" t="n"/>
    </row>
    <row r="345" outlineLevel="2" ht="15" customHeight="1">
      <c r="A345" s="712" t="inlineStr">
        <is>
          <t xml:space="preserve">         Quantity</t>
        </is>
      </c>
      <c r="B345" s="904">
        <f>SUMIF('Final Calculation Sheet'!$G$4:$G$1000,"M I SCRAP TRADERS",'Final Calculation Sheet'!$A$4:$A$1000)</f>
        <v/>
      </c>
    </row>
    <row r="346" outlineLevel="2" ht="15" customHeight="1">
      <c r="A346" s="712" t="inlineStr">
        <is>
          <t xml:space="preserve">         Mat. Value (₹)</t>
        </is>
      </c>
      <c r="B346" s="905">
        <f>SUMIF('Final Calculation Sheet'!$G$4:$G$1000,"M I SCRAP TRADERS",'Final Calculation Sheet'!$H$4:$H$1000)</f>
        <v/>
      </c>
    </row>
    <row r="347" outlineLevel="2" ht="15" customHeight="1">
      <c r="A347" s="712" t="inlineStr">
        <is>
          <t xml:space="preserve">         GST @ 18% (₹)</t>
        </is>
      </c>
      <c r="B347" s="905">
        <f>SUMIF('Final Calculation Sheet'!$G$4:$G$1000,"M I SCRAP TRADERS",'Final Calculation Sheet'!$I$4:$I$1000)</f>
        <v/>
      </c>
    </row>
    <row r="348" outlineLevel="2" ht="15" customHeight="1">
      <c r="A348" s="712" t="inlineStr">
        <is>
          <t xml:space="preserve">         Mat. Value + GST (₹)</t>
        </is>
      </c>
      <c r="B348" s="905">
        <f>SUMIF('Final Calculation Sheet'!$G$4:$G$1000,"M I SCRAP TRADERS",'Final Calculation Sheet'!$J$4:$J$1000)</f>
        <v/>
      </c>
    </row>
    <row r="349" outlineLevel="2" ht="15" customHeight="1">
      <c r="A349" s="712" t="inlineStr">
        <is>
          <t xml:space="preserve">         TCS @ 2% (₹)</t>
        </is>
      </c>
      <c r="B349" s="905">
        <f>SUMIF('Final Calculation Sheet'!$G$4:$G$1000,"M I SCRAP TRADERS",'Final Calculation Sheet'!$K$4:$K$1000)</f>
        <v/>
      </c>
    </row>
    <row r="350" outlineLevel="2" ht="15" customHeight="1">
      <c r="A350" s="712" t="inlineStr">
        <is>
          <t xml:space="preserve">         TDS u/s 194(O) (₹)</t>
        </is>
      </c>
      <c r="B350" s="906">
        <f>SUMIF('Final Calculation Sheet'!$G$4:$G$1000,"M I SCRAP TRADERS",'Final Calculation Sheet'!$L$4:$L$1000)</f>
        <v/>
      </c>
    </row>
    <row r="351" outlineLevel="2" ht="15" customHeight="1">
      <c r="A351" s="712" t="inlineStr">
        <is>
          <t xml:space="preserve">         Service Charge gross (₹)</t>
        </is>
      </c>
      <c r="B351" s="906">
        <f>SUMIF('Final Calculation Sheet'!$G$4:$G$1000,"M I SCRAP TRADERS",'Final Calculation Sheet'!$M$4:$M$1000)</f>
        <v/>
      </c>
    </row>
    <row r="352" outlineLevel="2" ht="15" customHeight="1">
      <c r="A352" s="712" t="inlineStr">
        <is>
          <t xml:space="preserve">         TDS u/s 194(H) (₹)</t>
        </is>
      </c>
      <c r="B352" s="906">
        <f>SUMIF('Final Calculation Sheet'!$G$4:$G$1000,"M I SCRAP TRADERS",'Final Calculation Sheet'!$N$4:$N$1000)</f>
        <v/>
      </c>
    </row>
    <row r="353" outlineLevel="2" ht="15" customHeight="1">
      <c r="A353" s="712" t="inlineStr">
        <is>
          <t xml:space="preserve">         Net Service Charge (₹)</t>
        </is>
      </c>
      <c r="B353" s="906">
        <f>SUMIF('Final Calculation Sheet'!$G$4:$G$1000,"M I SCRAP TRADERS",'Final Calculation Sheet'!$O$4:$O$1000)</f>
        <v/>
      </c>
    </row>
    <row r="354" outlineLevel="2" ht="15" customHeight="1">
      <c r="A354" s="712" t="inlineStr">
        <is>
          <t xml:space="preserve">         Svc Charge to MSTC (₹)</t>
        </is>
      </c>
      <c r="B354" s="905">
        <f>SUMIF('Final Calculation Sheet'!$G$4:$G$1000,"M I SCRAP TRADERS",'Final Calculation Sheet'!$P$4:$P$1000)</f>
        <v/>
      </c>
    </row>
    <row r="355" outlineLevel="2" ht="15" customHeight="1">
      <c r="A355" s="712" t="inlineStr">
        <is>
          <t xml:space="preserve">         GST TDS (₹)</t>
        </is>
      </c>
      <c r="B355" s="905">
        <f>SUMIF('Final Calculation Sheet'!$G$4:$G$1000,"M I SCRAP TRADERS",'Final Calculation Sheet'!$R$4:$R$1000)</f>
        <v/>
      </c>
    </row>
    <row r="356" outlineLevel="2" ht="15" customHeight="1">
      <c r="A356" s="712" t="inlineStr">
        <is>
          <t xml:space="preserve">         Total Receivables (₹)</t>
        </is>
      </c>
      <c r="B356" s="905">
        <f>SUMIF('Final Calculation Sheet'!$G$4:$G$1000,"M I SCRAP TRADERS",'Final Calculation Sheet'!$S$4:$S$1000)</f>
        <v/>
      </c>
    </row>
    <row r="357" outlineLevel="2" ht="15" customHeight="1">
      <c r="A357" s="712" t="inlineStr">
        <is>
          <t xml:space="preserve">         SD Expected (₹)</t>
        </is>
      </c>
      <c r="B357" s="905">
        <f>SUMIF('Final Calculation Sheet'!$G$4:$G$1000,"M I SCRAP TRADERS",'Final Calculation Sheet'!$T$4:$T$1000)</f>
        <v/>
      </c>
    </row>
    <row r="358" outlineLevel="2" ht="15" customHeight="1">
      <c r="A358" s="712" t="inlineStr">
        <is>
          <t xml:space="preserve">         SD Received (₹)</t>
        </is>
      </c>
      <c r="B358" s="905">
        <f>SUMIF('Final Calculation Sheet'!$G$4:$G$1000,"M I SCRAP TRADERS",'Final Calculation Sheet'!$U$4:$U$1000)</f>
        <v/>
      </c>
    </row>
    <row r="359" outlineLevel="2" ht="15" customHeight="1">
      <c r="A359" s="712" t="inlineStr">
        <is>
          <t xml:space="preserve">         FP Expected (₹)</t>
        </is>
      </c>
      <c r="B359" s="905">
        <f>SUMIF('Final Calculation Sheet'!$G$4:$G$1000,"M I SCRAP TRADERS",'Final Calculation Sheet'!$W$4:$W$1000)</f>
        <v/>
      </c>
    </row>
    <row r="360" outlineLevel="2" ht="15" customHeight="1">
      <c r="A360" s="712" t="inlineStr">
        <is>
          <t xml:space="preserve">         FP Received (₹)</t>
        </is>
      </c>
      <c r="B360" s="905">
        <f>SUMIF('Final Calculation Sheet'!$G$4:$G$1000,"M I SCRAP TRADERS",'Final Calculation Sheet'!$X$4:$X$1000)</f>
        <v/>
      </c>
    </row>
    <row r="361" outlineLevel="2" ht="15" customHeight="1">
      <c r="A361" s="712" t="inlineStr">
        <is>
          <t xml:space="preserve">         LPP Expected (₹)</t>
        </is>
      </c>
      <c r="B361" s="905">
        <f>SUMIF('Final Calculation Sheet'!$G$4:$G$1000,"M I SCRAP TRADERS",'Final Calculation Sheet'!$Z$4:$Z$1000)</f>
        <v/>
      </c>
    </row>
    <row r="362" outlineLevel="2" ht="15" customHeight="1">
      <c r="A362" s="712" t="inlineStr">
        <is>
          <t xml:space="preserve">         LPP Received (₹)</t>
        </is>
      </c>
      <c r="B362" s="905">
        <f>SUMIF('Final Calculation Sheet'!$G$4:$G$1000,"M I SCRAP TRADERS",'Final Calculation Sheet'!$AA$4:$AA$1000)</f>
        <v/>
      </c>
    </row>
    <row r="363" outlineLevel="2" ht="15" customHeight="1">
      <c r="A363" s="712" t="inlineStr">
        <is>
          <t xml:space="preserve">         Total Received (₹)</t>
        </is>
      </c>
      <c r="B363" s="905">
        <f>SUMIF('Final Calculation Sheet'!$G$4:$G$1000,"M I SCRAP TRADERS",'Final Calculation Sheet'!$AC$4:$AC$1000)</f>
        <v/>
      </c>
    </row>
    <row r="364" outlineLevel="2" ht="15" customHeight="1">
      <c r="A364" s="712" t="inlineStr">
        <is>
          <t xml:space="preserve">         Outstanding (₹)</t>
        </is>
      </c>
      <c r="B364" s="905">
        <f>SUMIF('Final Calculation Sheet'!$G$4:$G$1000,"M I SCRAP TRADERS",'Final Calculation Sheet'!$AD$4:$AD$1000)</f>
        <v/>
      </c>
    </row>
    <row r="365" ht="7" customHeight="1">
      <c r="A365" s="866" t="n"/>
      <c r="B365" s="866" t="n"/>
    </row>
    <row r="366" ht="24" customHeight="1">
      <c r="A366" s="907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908" t="n"/>
    </row>
    <row r="367" outlineLevel="1" ht="20" customHeight="1">
      <c r="A367" s="909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910" t="n"/>
    </row>
    <row r="368" outlineLevel="2" ht="16" customHeight="1">
      <c r="A368" s="911" t="inlineStr">
        <is>
          <t xml:space="preserve">      ▸ LOT INFORMATION</t>
        </is>
      </c>
      <c r="B368" s="912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911" t="inlineStr">
        <is>
          <t xml:space="preserve">      ▸ FINANCIALS</t>
        </is>
      </c>
      <c r="B375" s="912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911" t="inlineStr">
        <is>
          <t xml:space="preserve">      ▸ SECURITY DEPOSIT</t>
        </is>
      </c>
      <c r="B388" s="912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911" t="inlineStr">
        <is>
          <t xml:space="preserve">      ▸ FINAL PAYMENT</t>
        </is>
      </c>
      <c r="B392" s="912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911" t="inlineStr">
        <is>
          <t xml:space="preserve">      ▸ LPP</t>
        </is>
      </c>
      <c r="B396" s="912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911" t="inlineStr">
        <is>
          <t xml:space="preserve">      ▸ SUMMARY</t>
        </is>
      </c>
      <c r="B400" s="912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911" t="inlineStr">
        <is>
          <t xml:space="preserve">      ▸ DOCUMENT</t>
        </is>
      </c>
      <c r="B404" s="912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909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910" t="n"/>
    </row>
    <row r="409" outlineLevel="2" ht="16" customHeight="1">
      <c r="A409" s="911" t="inlineStr">
        <is>
          <t xml:space="preserve">      ▸ LOT INFORMATION</t>
        </is>
      </c>
      <c r="B409" s="912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911" t="inlineStr">
        <is>
          <t xml:space="preserve">      ▸ FINANCIALS</t>
        </is>
      </c>
      <c r="B416" s="912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911" t="inlineStr">
        <is>
          <t xml:space="preserve">      ▸ SECURITY DEPOSIT</t>
        </is>
      </c>
      <c r="B429" s="912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911" t="inlineStr">
        <is>
          <t xml:space="preserve">      ▸ FINAL PAYMENT</t>
        </is>
      </c>
      <c r="B433" s="912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911" t="inlineStr">
        <is>
          <t xml:space="preserve">      ▸ LPP</t>
        </is>
      </c>
      <c r="B437" s="912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911" t="inlineStr">
        <is>
          <t xml:space="preserve">      ▸ SUMMARY</t>
        </is>
      </c>
      <c r="B441" s="912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911" t="inlineStr">
        <is>
          <t xml:space="preserve">      ▸ DOCUMENT</t>
        </is>
      </c>
      <c r="B445" s="912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909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910" t="n"/>
    </row>
    <row r="450" outlineLevel="2" ht="16" customHeight="1">
      <c r="A450" s="911" t="inlineStr">
        <is>
          <t xml:space="preserve">      ▸ LOT INFORMATION</t>
        </is>
      </c>
      <c r="B450" s="912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911" t="inlineStr">
        <is>
          <t xml:space="preserve">      ▸ FINANCIALS</t>
        </is>
      </c>
      <c r="B457" s="912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911" t="inlineStr">
        <is>
          <t xml:space="preserve">      ▸ SECURITY DEPOSIT</t>
        </is>
      </c>
      <c r="B470" s="912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911" t="inlineStr">
        <is>
          <t xml:space="preserve">      ▸ FINAL PAYMENT</t>
        </is>
      </c>
      <c r="B474" s="912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911" t="inlineStr">
        <is>
          <t xml:space="preserve">      ▸ LPP</t>
        </is>
      </c>
      <c r="B478" s="912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911" t="inlineStr">
        <is>
          <t xml:space="preserve">      ▸ SUMMARY</t>
        </is>
      </c>
      <c r="B482" s="912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911" t="inlineStr">
        <is>
          <t xml:space="preserve">      ▸ DOCUMENT</t>
        </is>
      </c>
      <c r="B486" s="912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909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910" t="n"/>
    </row>
    <row r="491" outlineLevel="2" ht="16" customHeight="1">
      <c r="A491" s="911" t="inlineStr">
        <is>
          <t xml:space="preserve">      ▸ LOT INFORMATION</t>
        </is>
      </c>
      <c r="B491" s="912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911" t="inlineStr">
        <is>
          <t xml:space="preserve">      ▸ FINANCIALS</t>
        </is>
      </c>
      <c r="B498" s="912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911" t="inlineStr">
        <is>
          <t xml:space="preserve">      ▸ SECURITY DEPOSIT</t>
        </is>
      </c>
      <c r="B511" s="912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911" t="inlineStr">
        <is>
          <t xml:space="preserve">      ▸ FINAL PAYMENT</t>
        </is>
      </c>
      <c r="B515" s="912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911" t="inlineStr">
        <is>
          <t xml:space="preserve">      ▸ LPP</t>
        </is>
      </c>
      <c r="B519" s="912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911" t="inlineStr">
        <is>
          <t xml:space="preserve">      ▸ SUMMARY</t>
        </is>
      </c>
      <c r="B523" s="912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911" t="inlineStr">
        <is>
          <t xml:space="preserve">      ▸ DOCUMENT</t>
        </is>
      </c>
      <c r="B527" s="912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909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910" t="n"/>
    </row>
    <row r="532" outlineLevel="2" ht="16" customHeight="1">
      <c r="A532" s="911" t="inlineStr">
        <is>
          <t xml:space="preserve">      ▸ LOT INFORMATION</t>
        </is>
      </c>
      <c r="B532" s="912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911" t="inlineStr">
        <is>
          <t xml:space="preserve">      ▸ FINANCIALS</t>
        </is>
      </c>
      <c r="B539" s="912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911" t="inlineStr">
        <is>
          <t xml:space="preserve">      ▸ SECURITY DEPOSIT</t>
        </is>
      </c>
      <c r="B552" s="912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911" t="inlineStr">
        <is>
          <t xml:space="preserve">      ▸ FINAL PAYMENT</t>
        </is>
      </c>
      <c r="B556" s="912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911" t="inlineStr">
        <is>
          <t xml:space="preserve">      ▸ LPP</t>
        </is>
      </c>
      <c r="B560" s="912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911" t="inlineStr">
        <is>
          <t xml:space="preserve">      ▸ SUMMARY</t>
        </is>
      </c>
      <c r="B564" s="912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911" t="inlineStr">
        <is>
          <t xml:space="preserve">      ▸ DOCUMENT</t>
        </is>
      </c>
      <c r="B568" s="912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909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910" t="n"/>
    </row>
    <row r="573" outlineLevel="2" ht="16" customHeight="1">
      <c r="A573" s="911" t="inlineStr">
        <is>
          <t xml:space="preserve">      ▸ LOT INFORMATION</t>
        </is>
      </c>
      <c r="B573" s="912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911" t="inlineStr">
        <is>
          <t xml:space="preserve">      ▸ FINANCIALS</t>
        </is>
      </c>
      <c r="B580" s="912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911" t="inlineStr">
        <is>
          <t xml:space="preserve">      ▸ SECURITY DEPOSIT</t>
        </is>
      </c>
      <c r="B593" s="912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911" t="inlineStr">
        <is>
          <t xml:space="preserve">      ▸ FINAL PAYMENT</t>
        </is>
      </c>
      <c r="B597" s="912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911" t="inlineStr">
        <is>
          <t xml:space="preserve">      ▸ LPP</t>
        </is>
      </c>
      <c r="B601" s="912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911" t="inlineStr">
        <is>
          <t xml:space="preserve">      ▸ SUMMARY</t>
        </is>
      </c>
      <c r="B605" s="912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911" t="inlineStr">
        <is>
          <t xml:space="preserve">      ▸ DOCUMENT</t>
        </is>
      </c>
      <c r="B609" s="912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909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910" t="n"/>
    </row>
    <row r="614" outlineLevel="2" ht="16" customHeight="1">
      <c r="A614" s="911" t="inlineStr">
        <is>
          <t xml:space="preserve">      ▸ LOT INFORMATION</t>
        </is>
      </c>
      <c r="B614" s="912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911" t="inlineStr">
        <is>
          <t xml:space="preserve">      ▸ FINANCIALS</t>
        </is>
      </c>
      <c r="B621" s="912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911" t="inlineStr">
        <is>
          <t xml:space="preserve">      ▸ SECURITY DEPOSIT</t>
        </is>
      </c>
      <c r="B634" s="912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911" t="inlineStr">
        <is>
          <t xml:space="preserve">      ▸ FINAL PAYMENT</t>
        </is>
      </c>
      <c r="B638" s="912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911" t="inlineStr">
        <is>
          <t xml:space="preserve">      ▸ LPP</t>
        </is>
      </c>
      <c r="B642" s="912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911" t="inlineStr">
        <is>
          <t xml:space="preserve">      ▸ SUMMARY</t>
        </is>
      </c>
      <c r="B646" s="912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911" t="inlineStr">
        <is>
          <t xml:space="preserve">      ▸ DOCUMENT</t>
        </is>
      </c>
      <c r="B650" s="912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909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910" t="n"/>
    </row>
    <row r="655" outlineLevel="2" ht="16" customHeight="1">
      <c r="A655" s="911" t="inlineStr">
        <is>
          <t xml:space="preserve">      ▸ LOT INFORMATION</t>
        </is>
      </c>
      <c r="B655" s="912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911" t="inlineStr">
        <is>
          <t xml:space="preserve">      ▸ FINANCIALS</t>
        </is>
      </c>
      <c r="B662" s="912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911" t="inlineStr">
        <is>
          <t xml:space="preserve">      ▸ SECURITY DEPOSIT</t>
        </is>
      </c>
      <c r="B675" s="912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911" t="inlineStr">
        <is>
          <t xml:space="preserve">      ▸ FINAL PAYMENT</t>
        </is>
      </c>
      <c r="B679" s="912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911" t="inlineStr">
        <is>
          <t xml:space="preserve">      ▸ LPP</t>
        </is>
      </c>
      <c r="B683" s="912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911" t="inlineStr">
        <is>
          <t xml:space="preserve">      ▸ SUMMARY</t>
        </is>
      </c>
      <c r="B687" s="912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911" t="inlineStr">
        <is>
          <t xml:space="preserve">      ▸ DOCUMENT</t>
        </is>
      </c>
      <c r="B691" s="912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909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910" t="n"/>
    </row>
    <row r="696" outlineLevel="2" ht="16" customHeight="1">
      <c r="A696" s="911" t="inlineStr">
        <is>
          <t xml:space="preserve">      ▸ LOT INFORMATION</t>
        </is>
      </c>
      <c r="B696" s="912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911" t="inlineStr">
        <is>
          <t xml:space="preserve">      ▸ FINANCIALS</t>
        </is>
      </c>
      <c r="B703" s="912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911" t="inlineStr">
        <is>
          <t xml:space="preserve">      ▸ SECURITY DEPOSIT</t>
        </is>
      </c>
      <c r="B716" s="912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911" t="inlineStr">
        <is>
          <t xml:space="preserve">      ▸ FINAL PAYMENT</t>
        </is>
      </c>
      <c r="B720" s="912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911" t="inlineStr">
        <is>
          <t xml:space="preserve">      ▸ LPP</t>
        </is>
      </c>
      <c r="B724" s="912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911" t="inlineStr">
        <is>
          <t xml:space="preserve">      ▸ SUMMARY</t>
        </is>
      </c>
      <c r="B728" s="912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911" t="inlineStr">
        <is>
          <t xml:space="preserve">      ▸ DOCUMENT</t>
        </is>
      </c>
      <c r="B732" s="912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909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910" t="n"/>
    </row>
    <row r="737" outlineLevel="2" ht="16" customHeight="1">
      <c r="A737" s="911" t="inlineStr">
        <is>
          <t xml:space="preserve">      ▸ LOT INFORMATION</t>
        </is>
      </c>
      <c r="B737" s="912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911" t="inlineStr">
        <is>
          <t xml:space="preserve">      ▸ FINANCIALS</t>
        </is>
      </c>
      <c r="B744" s="912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911" t="inlineStr">
        <is>
          <t xml:space="preserve">      ▸ SECURITY DEPOSIT</t>
        </is>
      </c>
      <c r="B757" s="912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911" t="inlineStr">
        <is>
          <t xml:space="preserve">      ▸ FINAL PAYMENT</t>
        </is>
      </c>
      <c r="B761" s="912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911" t="inlineStr">
        <is>
          <t xml:space="preserve">      ▸ LPP</t>
        </is>
      </c>
      <c r="B765" s="912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911" t="inlineStr">
        <is>
          <t xml:space="preserve">      ▸ SUMMARY</t>
        </is>
      </c>
      <c r="B769" s="912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911" t="inlineStr">
        <is>
          <t xml:space="preserve">      ▸ DOCUMENT</t>
        </is>
      </c>
      <c r="B773" s="912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909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910" t="n"/>
    </row>
    <row r="778" outlineLevel="2" ht="16" customHeight="1">
      <c r="A778" s="911" t="inlineStr">
        <is>
          <t xml:space="preserve">      ▸ LOT INFORMATION</t>
        </is>
      </c>
      <c r="B778" s="912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911" t="inlineStr">
        <is>
          <t xml:space="preserve">      ▸ FINANCIALS</t>
        </is>
      </c>
      <c r="B785" s="912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911" t="inlineStr">
        <is>
          <t xml:space="preserve">      ▸ SECURITY DEPOSIT</t>
        </is>
      </c>
      <c r="B798" s="912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911" t="inlineStr">
        <is>
          <t xml:space="preserve">      ▸ FINAL PAYMENT</t>
        </is>
      </c>
      <c r="B802" s="912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911" t="inlineStr">
        <is>
          <t xml:space="preserve">      ▸ LPP</t>
        </is>
      </c>
      <c r="B806" s="912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911" t="inlineStr">
        <is>
          <t xml:space="preserve">      ▸ SUMMARY</t>
        </is>
      </c>
      <c r="B810" s="912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911" t="inlineStr">
        <is>
          <t xml:space="preserve">      ▸ DOCUMENT</t>
        </is>
      </c>
      <c r="B814" s="912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909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910" t="n"/>
    </row>
    <row r="819" outlineLevel="2" ht="16" customHeight="1">
      <c r="A819" s="911" t="inlineStr">
        <is>
          <t xml:space="preserve">      ▸ LOT INFORMATION</t>
        </is>
      </c>
      <c r="B819" s="912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911" t="inlineStr">
        <is>
          <t xml:space="preserve">      ▸ FINANCIALS</t>
        </is>
      </c>
      <c r="B826" s="912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911" t="inlineStr">
        <is>
          <t xml:space="preserve">      ▸ SECURITY DEPOSIT</t>
        </is>
      </c>
      <c r="B839" s="912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911" t="inlineStr">
        <is>
          <t xml:space="preserve">      ▸ FINAL PAYMENT</t>
        </is>
      </c>
      <c r="B843" s="912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911" t="inlineStr">
        <is>
          <t xml:space="preserve">      ▸ LPP</t>
        </is>
      </c>
      <c r="B847" s="912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911" t="inlineStr">
        <is>
          <t xml:space="preserve">      ▸ SUMMARY</t>
        </is>
      </c>
      <c r="B851" s="912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911" t="inlineStr">
        <is>
          <t xml:space="preserve">      ▸ DOCUMENT</t>
        </is>
      </c>
      <c r="B855" s="912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909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910" t="n"/>
    </row>
    <row r="860" outlineLevel="2" ht="16" customHeight="1">
      <c r="A860" s="911" t="inlineStr">
        <is>
          <t xml:space="preserve">      ▸ LOT INFORMATION</t>
        </is>
      </c>
      <c r="B860" s="912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911" t="inlineStr">
        <is>
          <t xml:space="preserve">      ▸ FINANCIALS</t>
        </is>
      </c>
      <c r="B867" s="912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911" t="inlineStr">
        <is>
          <t xml:space="preserve">      ▸ SECURITY DEPOSIT</t>
        </is>
      </c>
      <c r="B880" s="912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911" t="inlineStr">
        <is>
          <t xml:space="preserve">      ▸ FINAL PAYMENT</t>
        </is>
      </c>
      <c r="B884" s="912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911" t="inlineStr">
        <is>
          <t xml:space="preserve">      ▸ LPP</t>
        </is>
      </c>
      <c r="B888" s="912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911" t="inlineStr">
        <is>
          <t xml:space="preserve">      ▸ SUMMARY</t>
        </is>
      </c>
      <c r="B892" s="912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911" t="inlineStr">
        <is>
          <t xml:space="preserve">      ▸ DOCUMENT</t>
        </is>
      </c>
      <c r="B896" s="912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913" t="inlineStr">
        <is>
          <t xml:space="preserve">   ∑  NATIONAL ENTERPRISES — TOTALS (all its lots)</t>
        </is>
      </c>
      <c r="B900" s="908" t="n"/>
    </row>
    <row r="901" outlineLevel="2" ht="15" customHeight="1">
      <c r="A901" s="914" t="inlineStr">
        <is>
          <t xml:space="preserve">         Quantity</t>
        </is>
      </c>
      <c r="B901" s="915">
        <f>SUMIF('Final Calculation Sheet'!$G$4:$G$1000,"NATIONAL ENTERPRISES",'Final Calculation Sheet'!$A$4:$A$1000)</f>
        <v/>
      </c>
    </row>
    <row r="902" outlineLevel="2" ht="15" customHeight="1">
      <c r="A902" s="914" t="inlineStr">
        <is>
          <t xml:space="preserve">         Mat. Value (₹)</t>
        </is>
      </c>
      <c r="B902" s="916">
        <f>SUMIF('Final Calculation Sheet'!$G$4:$G$1000,"NATIONAL ENTERPRISES",'Final Calculation Sheet'!$H$4:$H$1000)</f>
        <v/>
      </c>
    </row>
    <row r="903" outlineLevel="2" ht="15" customHeight="1">
      <c r="A903" s="914" t="inlineStr">
        <is>
          <t xml:space="preserve">         GST @ 18% (₹)</t>
        </is>
      </c>
      <c r="B903" s="916">
        <f>SUMIF('Final Calculation Sheet'!$G$4:$G$1000,"NATIONAL ENTERPRISES",'Final Calculation Sheet'!$I$4:$I$1000)</f>
        <v/>
      </c>
    </row>
    <row r="904" outlineLevel="2" ht="15" customHeight="1">
      <c r="A904" s="914" t="inlineStr">
        <is>
          <t xml:space="preserve">         Mat. Value + GST (₹)</t>
        </is>
      </c>
      <c r="B904" s="916">
        <f>SUMIF('Final Calculation Sheet'!$G$4:$G$1000,"NATIONAL ENTERPRISES",'Final Calculation Sheet'!$J$4:$J$1000)</f>
        <v/>
      </c>
    </row>
    <row r="905" outlineLevel="2" ht="15" customHeight="1">
      <c r="A905" s="914" t="inlineStr">
        <is>
          <t xml:space="preserve">         TCS @ 2% (₹)</t>
        </is>
      </c>
      <c r="B905" s="916">
        <f>SUMIF('Final Calculation Sheet'!$G$4:$G$1000,"NATIONAL ENTERPRISES",'Final Calculation Sheet'!$K$4:$K$1000)</f>
        <v/>
      </c>
    </row>
    <row r="906" outlineLevel="2" ht="15" customHeight="1">
      <c r="A906" s="914" t="inlineStr">
        <is>
          <t xml:space="preserve">         TDS u/s 194(O) (₹)</t>
        </is>
      </c>
      <c r="B906" s="917">
        <f>SUMIF('Final Calculation Sheet'!$G$4:$G$1000,"NATIONAL ENTERPRISES",'Final Calculation Sheet'!$L$4:$L$1000)</f>
        <v/>
      </c>
    </row>
    <row r="907" outlineLevel="2" ht="15" customHeight="1">
      <c r="A907" s="914" t="inlineStr">
        <is>
          <t xml:space="preserve">         Service Charge gross (₹)</t>
        </is>
      </c>
      <c r="B907" s="917">
        <f>SUMIF('Final Calculation Sheet'!$G$4:$G$1000,"NATIONAL ENTERPRISES",'Final Calculation Sheet'!$M$4:$M$1000)</f>
        <v/>
      </c>
    </row>
    <row r="908" outlineLevel="2" ht="15" customHeight="1">
      <c r="A908" s="914" t="inlineStr">
        <is>
          <t xml:space="preserve">         TDS u/s 194(H) (₹)</t>
        </is>
      </c>
      <c r="B908" s="917">
        <f>SUMIF('Final Calculation Sheet'!$G$4:$G$1000,"NATIONAL ENTERPRISES",'Final Calculation Sheet'!$N$4:$N$1000)</f>
        <v/>
      </c>
    </row>
    <row r="909" outlineLevel="2" ht="15" customHeight="1">
      <c r="A909" s="914" t="inlineStr">
        <is>
          <t xml:space="preserve">         Net Service Charge (₹)</t>
        </is>
      </c>
      <c r="B909" s="917">
        <f>SUMIF('Final Calculation Sheet'!$G$4:$G$1000,"NATIONAL ENTERPRISES",'Final Calculation Sheet'!$O$4:$O$1000)</f>
        <v/>
      </c>
    </row>
    <row r="910" outlineLevel="2" ht="15" customHeight="1">
      <c r="A910" s="914" t="inlineStr">
        <is>
          <t xml:space="preserve">         Svc Charge to MSTC (₹)</t>
        </is>
      </c>
      <c r="B910" s="916">
        <f>SUMIF('Final Calculation Sheet'!$G$4:$G$1000,"NATIONAL ENTERPRISES",'Final Calculation Sheet'!$P$4:$P$1000)</f>
        <v/>
      </c>
    </row>
    <row r="911" outlineLevel="2" ht="15" customHeight="1">
      <c r="A911" s="914" t="inlineStr">
        <is>
          <t xml:space="preserve">         GST TDS (₹)</t>
        </is>
      </c>
      <c r="B911" s="916">
        <f>SUMIF('Final Calculation Sheet'!$G$4:$G$1000,"NATIONAL ENTERPRISES",'Final Calculation Sheet'!$R$4:$R$1000)</f>
        <v/>
      </c>
    </row>
    <row r="912" outlineLevel="2" ht="15" customHeight="1">
      <c r="A912" s="914" t="inlineStr">
        <is>
          <t xml:space="preserve">         Total Receivables (₹)</t>
        </is>
      </c>
      <c r="B912" s="916">
        <f>SUMIF('Final Calculation Sheet'!$G$4:$G$1000,"NATIONAL ENTERPRISES",'Final Calculation Sheet'!$S$4:$S$1000)</f>
        <v/>
      </c>
    </row>
    <row r="913" outlineLevel="2" ht="15" customHeight="1">
      <c r="A913" s="914" t="inlineStr">
        <is>
          <t xml:space="preserve">         SD Expected (₹)</t>
        </is>
      </c>
      <c r="B913" s="916">
        <f>SUMIF('Final Calculation Sheet'!$G$4:$G$1000,"NATIONAL ENTERPRISES",'Final Calculation Sheet'!$T$4:$T$1000)</f>
        <v/>
      </c>
    </row>
    <row r="914" outlineLevel="2" ht="15" customHeight="1">
      <c r="A914" s="914" t="inlineStr">
        <is>
          <t xml:space="preserve">         SD Received (₹)</t>
        </is>
      </c>
      <c r="B914" s="916">
        <f>SUMIF('Final Calculation Sheet'!$G$4:$G$1000,"NATIONAL ENTERPRISES",'Final Calculation Sheet'!$U$4:$U$1000)</f>
        <v/>
      </c>
    </row>
    <row r="915" outlineLevel="2" ht="15" customHeight="1">
      <c r="A915" s="914" t="inlineStr">
        <is>
          <t xml:space="preserve">         FP Expected (₹)</t>
        </is>
      </c>
      <c r="B915" s="916">
        <f>SUMIF('Final Calculation Sheet'!$G$4:$G$1000,"NATIONAL ENTERPRISES",'Final Calculation Sheet'!$W$4:$W$1000)</f>
        <v/>
      </c>
    </row>
    <row r="916" outlineLevel="2" ht="15" customHeight="1">
      <c r="A916" s="914" t="inlineStr">
        <is>
          <t xml:space="preserve">         FP Received (₹)</t>
        </is>
      </c>
      <c r="B916" s="916">
        <f>SUMIF('Final Calculation Sheet'!$G$4:$G$1000,"NATIONAL ENTERPRISES",'Final Calculation Sheet'!$X$4:$X$1000)</f>
        <v/>
      </c>
    </row>
    <row r="917" outlineLevel="2" ht="15" customHeight="1">
      <c r="A917" s="914" t="inlineStr">
        <is>
          <t xml:space="preserve">         LPP Expected (₹)</t>
        </is>
      </c>
      <c r="B917" s="916">
        <f>SUMIF('Final Calculation Sheet'!$G$4:$G$1000,"NATIONAL ENTERPRISES",'Final Calculation Sheet'!$Z$4:$Z$1000)</f>
        <v/>
      </c>
    </row>
    <row r="918" outlineLevel="2" ht="15" customHeight="1">
      <c r="A918" s="914" t="inlineStr">
        <is>
          <t xml:space="preserve">         LPP Received (₹)</t>
        </is>
      </c>
      <c r="B918" s="916">
        <f>SUMIF('Final Calculation Sheet'!$G$4:$G$1000,"NATIONAL ENTERPRISES",'Final Calculation Sheet'!$AA$4:$AA$1000)</f>
        <v/>
      </c>
    </row>
    <row r="919" outlineLevel="2" ht="15" customHeight="1">
      <c r="A919" s="914" t="inlineStr">
        <is>
          <t xml:space="preserve">         Total Received (₹)</t>
        </is>
      </c>
      <c r="B919" s="916">
        <f>SUMIF('Final Calculation Sheet'!$G$4:$G$1000,"NATIONAL ENTERPRISES",'Final Calculation Sheet'!$AC$4:$AC$1000)</f>
        <v/>
      </c>
    </row>
    <row r="920" outlineLevel="2" ht="15" customHeight="1">
      <c r="A920" s="914" t="inlineStr">
        <is>
          <t xml:space="preserve">         Outstanding (₹)</t>
        </is>
      </c>
      <c r="B920" s="916">
        <f>SUMIF('Final Calculation Sheet'!$G$4:$G$1000,"NATIONAL ENTERPRISES",'Final Calculation Sheet'!$AD$4:$AD$1000)</f>
        <v/>
      </c>
    </row>
    <row r="921" ht="7" customHeight="1">
      <c r="A921" s="866" t="n"/>
      <c r="B921" s="866" t="n"/>
    </row>
    <row r="922" ht="24" customHeight="1">
      <c r="A922" s="918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919" t="n"/>
    </row>
    <row r="923" outlineLevel="1" ht="20" customHeight="1">
      <c r="A923" s="92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921" t="n"/>
    </row>
    <row r="924" outlineLevel="2" ht="16" customHeight="1">
      <c r="A924" s="922" t="inlineStr">
        <is>
          <t xml:space="preserve">      ▸ LOT INFORMATION</t>
        </is>
      </c>
      <c r="B924" s="923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922" t="inlineStr">
        <is>
          <t xml:space="preserve">      ▸ FINANCIALS</t>
        </is>
      </c>
      <c r="B931" s="923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922" t="inlineStr">
        <is>
          <t xml:space="preserve">      ▸ SECURITY DEPOSIT</t>
        </is>
      </c>
      <c r="B944" s="923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922" t="inlineStr">
        <is>
          <t xml:space="preserve">      ▸ FINAL PAYMENT</t>
        </is>
      </c>
      <c r="B948" s="923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922" t="inlineStr">
        <is>
          <t xml:space="preserve">      ▸ LPP</t>
        </is>
      </c>
      <c r="B952" s="923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922" t="inlineStr">
        <is>
          <t xml:space="preserve">      ▸ SUMMARY</t>
        </is>
      </c>
      <c r="B956" s="923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922" t="inlineStr">
        <is>
          <t xml:space="preserve">      ▸ DOCUMENT</t>
        </is>
      </c>
      <c r="B960" s="923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924" t="inlineStr">
        <is>
          <t xml:space="preserve">   ∑  NATIONAL SCRAP AND BUILDING MATERIAL SUPPLIER — TOTALS (all its lots)</t>
        </is>
      </c>
      <c r="B964" s="919" t="n"/>
    </row>
    <row r="965" outlineLevel="2" ht="15" customHeight="1">
      <c r="A965" s="925" t="inlineStr">
        <is>
          <t xml:space="preserve">         Quantity</t>
        </is>
      </c>
      <c r="B965" s="926">
        <f>SUMIF('Final Calculation Sheet'!$G$4:$G$1000,"NATIONAL SCRAP AND BUILDING MATERIAL SUPPLIER",'Final Calculation Sheet'!$A$4:$A$1000)</f>
        <v/>
      </c>
    </row>
    <row r="966" outlineLevel="2" ht="15" customHeight="1">
      <c r="A966" s="925" t="inlineStr">
        <is>
          <t xml:space="preserve">         Mat. Value (₹)</t>
        </is>
      </c>
      <c r="B966" s="927">
        <f>SUMIF('Final Calculation Sheet'!$G$4:$G$1000,"NATIONAL SCRAP AND BUILDING MATERIAL SUPPLIER",'Final Calculation Sheet'!$H$4:$H$1000)</f>
        <v/>
      </c>
    </row>
    <row r="967" outlineLevel="2" ht="15" customHeight="1">
      <c r="A967" s="925" t="inlineStr">
        <is>
          <t xml:space="preserve">         GST @ 18% (₹)</t>
        </is>
      </c>
      <c r="B967" s="927">
        <f>SUMIF('Final Calculation Sheet'!$G$4:$G$1000,"NATIONAL SCRAP AND BUILDING MATERIAL SUPPLIER",'Final Calculation Sheet'!$I$4:$I$1000)</f>
        <v/>
      </c>
    </row>
    <row r="968" outlineLevel="2" ht="15" customHeight="1">
      <c r="A968" s="925" t="inlineStr">
        <is>
          <t xml:space="preserve">         Mat. Value + GST (₹)</t>
        </is>
      </c>
      <c r="B968" s="927">
        <f>SUMIF('Final Calculation Sheet'!$G$4:$G$1000,"NATIONAL SCRAP AND BUILDING MATERIAL SUPPLIER",'Final Calculation Sheet'!$J$4:$J$1000)</f>
        <v/>
      </c>
    </row>
    <row r="969" outlineLevel="2" ht="15" customHeight="1">
      <c r="A969" s="925" t="inlineStr">
        <is>
          <t xml:space="preserve">         TCS @ 2% (₹)</t>
        </is>
      </c>
      <c r="B969" s="927">
        <f>SUMIF('Final Calculation Sheet'!$G$4:$G$1000,"NATIONAL SCRAP AND BUILDING MATERIAL SUPPLIER",'Final Calculation Sheet'!$K$4:$K$1000)</f>
        <v/>
      </c>
    </row>
    <row r="970" outlineLevel="2" ht="15" customHeight="1">
      <c r="A970" s="925" t="inlineStr">
        <is>
          <t xml:space="preserve">         TDS u/s 194(O) (₹)</t>
        </is>
      </c>
      <c r="B970" s="928">
        <f>SUMIF('Final Calculation Sheet'!$G$4:$G$1000,"NATIONAL SCRAP AND BUILDING MATERIAL SUPPLIER",'Final Calculation Sheet'!$L$4:$L$1000)</f>
        <v/>
      </c>
    </row>
    <row r="971" outlineLevel="2" ht="15" customHeight="1">
      <c r="A971" s="925" t="inlineStr">
        <is>
          <t xml:space="preserve">         Service Charge gross (₹)</t>
        </is>
      </c>
      <c r="B971" s="928">
        <f>SUMIF('Final Calculation Sheet'!$G$4:$G$1000,"NATIONAL SCRAP AND BUILDING MATERIAL SUPPLIER",'Final Calculation Sheet'!$M$4:$M$1000)</f>
        <v/>
      </c>
    </row>
    <row r="972" outlineLevel="2" ht="15" customHeight="1">
      <c r="A972" s="925" t="inlineStr">
        <is>
          <t xml:space="preserve">         TDS u/s 194(H) (₹)</t>
        </is>
      </c>
      <c r="B972" s="928">
        <f>SUMIF('Final Calculation Sheet'!$G$4:$G$1000,"NATIONAL SCRAP AND BUILDING MATERIAL SUPPLIER",'Final Calculation Sheet'!$N$4:$N$1000)</f>
        <v/>
      </c>
    </row>
    <row r="973" outlineLevel="2" ht="15" customHeight="1">
      <c r="A973" s="925" t="inlineStr">
        <is>
          <t xml:space="preserve">         Net Service Charge (₹)</t>
        </is>
      </c>
      <c r="B973" s="928">
        <f>SUMIF('Final Calculation Sheet'!$G$4:$G$1000,"NATIONAL SCRAP AND BUILDING MATERIAL SUPPLIER",'Final Calculation Sheet'!$O$4:$O$1000)</f>
        <v/>
      </c>
    </row>
    <row r="974" outlineLevel="2" ht="15" customHeight="1">
      <c r="A974" s="925" t="inlineStr">
        <is>
          <t xml:space="preserve">         Svc Charge to MSTC (₹)</t>
        </is>
      </c>
      <c r="B974" s="927">
        <f>SUMIF('Final Calculation Sheet'!$G$4:$G$1000,"NATIONAL SCRAP AND BUILDING MATERIAL SUPPLIER",'Final Calculation Sheet'!$P$4:$P$1000)</f>
        <v/>
      </c>
    </row>
    <row r="975" outlineLevel="2" ht="15" customHeight="1">
      <c r="A975" s="925" t="inlineStr">
        <is>
          <t xml:space="preserve">         GST TDS (₹)</t>
        </is>
      </c>
      <c r="B975" s="927">
        <f>SUMIF('Final Calculation Sheet'!$G$4:$G$1000,"NATIONAL SCRAP AND BUILDING MATERIAL SUPPLIER",'Final Calculation Sheet'!$R$4:$R$1000)</f>
        <v/>
      </c>
    </row>
    <row r="976" outlineLevel="2" ht="15" customHeight="1">
      <c r="A976" s="925" t="inlineStr">
        <is>
          <t xml:space="preserve">         Total Receivables (₹)</t>
        </is>
      </c>
      <c r="B976" s="927">
        <f>SUMIF('Final Calculation Sheet'!$G$4:$G$1000,"NATIONAL SCRAP AND BUILDING MATERIAL SUPPLIER",'Final Calculation Sheet'!$S$4:$S$1000)</f>
        <v/>
      </c>
    </row>
    <row r="977" outlineLevel="2" ht="15" customHeight="1">
      <c r="A977" s="925" t="inlineStr">
        <is>
          <t xml:space="preserve">         SD Expected (₹)</t>
        </is>
      </c>
      <c r="B977" s="927">
        <f>SUMIF('Final Calculation Sheet'!$G$4:$G$1000,"NATIONAL SCRAP AND BUILDING MATERIAL SUPPLIER",'Final Calculation Sheet'!$T$4:$T$1000)</f>
        <v/>
      </c>
    </row>
    <row r="978" outlineLevel="2" ht="15" customHeight="1">
      <c r="A978" s="925" t="inlineStr">
        <is>
          <t xml:space="preserve">         SD Received (₹)</t>
        </is>
      </c>
      <c r="B978" s="927">
        <f>SUMIF('Final Calculation Sheet'!$G$4:$G$1000,"NATIONAL SCRAP AND BUILDING MATERIAL SUPPLIER",'Final Calculation Sheet'!$U$4:$U$1000)</f>
        <v/>
      </c>
    </row>
    <row r="979" outlineLevel="2" ht="15" customHeight="1">
      <c r="A979" s="925" t="inlineStr">
        <is>
          <t xml:space="preserve">         FP Expected (₹)</t>
        </is>
      </c>
      <c r="B979" s="927">
        <f>SUMIF('Final Calculation Sheet'!$G$4:$G$1000,"NATIONAL SCRAP AND BUILDING MATERIAL SUPPLIER",'Final Calculation Sheet'!$W$4:$W$1000)</f>
        <v/>
      </c>
    </row>
    <row r="980" outlineLevel="2" ht="15" customHeight="1">
      <c r="A980" s="925" t="inlineStr">
        <is>
          <t xml:space="preserve">         FP Received (₹)</t>
        </is>
      </c>
      <c r="B980" s="927">
        <f>SUMIF('Final Calculation Sheet'!$G$4:$G$1000,"NATIONAL SCRAP AND BUILDING MATERIAL SUPPLIER",'Final Calculation Sheet'!$X$4:$X$1000)</f>
        <v/>
      </c>
    </row>
    <row r="981" outlineLevel="2" ht="15" customHeight="1">
      <c r="A981" s="925" t="inlineStr">
        <is>
          <t xml:space="preserve">         LPP Expected (₹)</t>
        </is>
      </c>
      <c r="B981" s="927">
        <f>SUMIF('Final Calculation Sheet'!$G$4:$G$1000,"NATIONAL SCRAP AND BUILDING MATERIAL SUPPLIER",'Final Calculation Sheet'!$Z$4:$Z$1000)</f>
        <v/>
      </c>
    </row>
    <row r="982" outlineLevel="2" ht="15" customHeight="1">
      <c r="A982" s="925" t="inlineStr">
        <is>
          <t xml:space="preserve">         LPP Received (₹)</t>
        </is>
      </c>
      <c r="B982" s="927">
        <f>SUMIF('Final Calculation Sheet'!$G$4:$G$1000,"NATIONAL SCRAP AND BUILDING MATERIAL SUPPLIER",'Final Calculation Sheet'!$AA$4:$AA$1000)</f>
        <v/>
      </c>
    </row>
    <row r="983" outlineLevel="2" ht="15" customHeight="1">
      <c r="A983" s="925" t="inlineStr">
        <is>
          <t xml:space="preserve">         Total Received (₹)</t>
        </is>
      </c>
      <c r="B983" s="927">
        <f>SUMIF('Final Calculation Sheet'!$G$4:$G$1000,"NATIONAL SCRAP AND BUILDING MATERIAL SUPPLIER",'Final Calculation Sheet'!$AC$4:$AC$1000)</f>
        <v/>
      </c>
    </row>
    <row r="984" outlineLevel="2" ht="15" customHeight="1">
      <c r="A984" s="925" t="inlineStr">
        <is>
          <t xml:space="preserve">         Outstanding (₹)</t>
        </is>
      </c>
      <c r="B984" s="927">
        <f>SUMIF('Final Calculation Sheet'!$G$4:$G$1000,"NATIONAL SCRAP AND BUILDING MATERIAL SUPPLIER",'Final Calculation Sheet'!$AD$4:$AD$1000)</f>
        <v/>
      </c>
    </row>
    <row r="985" ht="7" customHeight="1">
      <c r="A985" s="866" t="n"/>
      <c r="B985" s="866" t="n"/>
    </row>
    <row r="986" ht="24" customHeight="1">
      <c r="A986" s="929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930" t="n"/>
    </row>
    <row r="987" outlineLevel="1" ht="20" customHeight="1">
      <c r="A987" s="931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932" t="n"/>
    </row>
    <row r="988" outlineLevel="2" ht="16" customHeight="1">
      <c r="A988" s="933" t="inlineStr">
        <is>
          <t xml:space="preserve">      ▸ LOT INFORMATION</t>
        </is>
      </c>
      <c r="B988" s="934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933" t="inlineStr">
        <is>
          <t xml:space="preserve">      ▸ FINANCIALS</t>
        </is>
      </c>
      <c r="B995" s="934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933" t="inlineStr">
        <is>
          <t xml:space="preserve">      ▸ SECURITY DEPOSIT</t>
        </is>
      </c>
      <c r="B1008" s="934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933" t="inlineStr">
        <is>
          <t xml:space="preserve">      ▸ FINAL PAYMENT</t>
        </is>
      </c>
      <c r="B1012" s="934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933" t="inlineStr">
        <is>
          <t xml:space="preserve">      ▸ LPP</t>
        </is>
      </c>
      <c r="B1016" s="934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933" t="inlineStr">
        <is>
          <t xml:space="preserve">      ▸ SUMMARY</t>
        </is>
      </c>
      <c r="B1020" s="934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933" t="inlineStr">
        <is>
          <t xml:space="preserve">      ▸ DOCUMENT</t>
        </is>
      </c>
      <c r="B1024" s="934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931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932" t="n"/>
    </row>
    <row r="1029" outlineLevel="2" ht="16" customHeight="1">
      <c r="A1029" s="933" t="inlineStr">
        <is>
          <t xml:space="preserve">      ▸ LOT INFORMATION</t>
        </is>
      </c>
      <c r="B1029" s="934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933" t="inlineStr">
        <is>
          <t xml:space="preserve">      ▸ FINANCIALS</t>
        </is>
      </c>
      <c r="B1036" s="934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933" t="inlineStr">
        <is>
          <t xml:space="preserve">      ▸ SECURITY DEPOSIT</t>
        </is>
      </c>
      <c r="B1049" s="934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933" t="inlineStr">
        <is>
          <t xml:space="preserve">      ▸ FINAL PAYMENT</t>
        </is>
      </c>
      <c r="B1053" s="934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933" t="inlineStr">
        <is>
          <t xml:space="preserve">      ▸ LPP</t>
        </is>
      </c>
      <c r="B1057" s="934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933" t="inlineStr">
        <is>
          <t xml:space="preserve">      ▸ SUMMARY</t>
        </is>
      </c>
      <c r="B1061" s="934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933" t="inlineStr">
        <is>
          <t xml:space="preserve">      ▸ DOCUMENT</t>
        </is>
      </c>
      <c r="B1065" s="934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935" t="inlineStr">
        <is>
          <t xml:space="preserve">   ∑  OMKAR STEELS — TOTALS (all its lots)</t>
        </is>
      </c>
      <c r="B1069" s="930" t="n"/>
    </row>
    <row r="1070" outlineLevel="2" ht="15" customHeight="1">
      <c r="A1070" s="713" t="inlineStr">
        <is>
          <t xml:space="preserve">         Quantity</t>
        </is>
      </c>
      <c r="B1070" s="936">
        <f>SUMIF('Final Calculation Sheet'!$G$4:$G$1000,"OMKAR STEELS",'Final Calculation Sheet'!$A$4:$A$1000)</f>
        <v/>
      </c>
    </row>
    <row r="1071" outlineLevel="2" ht="15" customHeight="1">
      <c r="A1071" s="713" t="inlineStr">
        <is>
          <t xml:space="preserve">         Mat. Value (₹)</t>
        </is>
      </c>
      <c r="B1071" s="937">
        <f>SUMIF('Final Calculation Sheet'!$G$4:$G$1000,"OMKAR STEELS",'Final Calculation Sheet'!$H$4:$H$1000)</f>
        <v/>
      </c>
    </row>
    <row r="1072" outlineLevel="2" ht="15" customHeight="1">
      <c r="A1072" s="713" t="inlineStr">
        <is>
          <t xml:space="preserve">         GST @ 18% (₹)</t>
        </is>
      </c>
      <c r="B1072" s="937">
        <f>SUMIF('Final Calculation Sheet'!$G$4:$G$1000,"OMKAR STEELS",'Final Calculation Sheet'!$I$4:$I$1000)</f>
        <v/>
      </c>
    </row>
    <row r="1073" outlineLevel="2" ht="15" customHeight="1">
      <c r="A1073" s="713" t="inlineStr">
        <is>
          <t xml:space="preserve">         Mat. Value + GST (₹)</t>
        </is>
      </c>
      <c r="B1073" s="937">
        <f>SUMIF('Final Calculation Sheet'!$G$4:$G$1000,"OMKAR STEELS",'Final Calculation Sheet'!$J$4:$J$1000)</f>
        <v/>
      </c>
    </row>
    <row r="1074" outlineLevel="2" ht="15" customHeight="1">
      <c r="A1074" s="713" t="inlineStr">
        <is>
          <t xml:space="preserve">         TCS @ 2% (₹)</t>
        </is>
      </c>
      <c r="B1074" s="937">
        <f>SUMIF('Final Calculation Sheet'!$G$4:$G$1000,"OMKAR STEELS",'Final Calculation Sheet'!$K$4:$K$1000)</f>
        <v/>
      </c>
    </row>
    <row r="1075" outlineLevel="2" ht="15" customHeight="1">
      <c r="A1075" s="713" t="inlineStr">
        <is>
          <t xml:space="preserve">         TDS u/s 194(O) (₹)</t>
        </is>
      </c>
      <c r="B1075" s="938">
        <f>SUMIF('Final Calculation Sheet'!$G$4:$G$1000,"OMKAR STEELS",'Final Calculation Sheet'!$L$4:$L$1000)</f>
        <v/>
      </c>
    </row>
    <row r="1076" outlineLevel="2" ht="15" customHeight="1">
      <c r="A1076" s="713" t="inlineStr">
        <is>
          <t xml:space="preserve">         Service Charge gross (₹)</t>
        </is>
      </c>
      <c r="B1076" s="938">
        <f>SUMIF('Final Calculation Sheet'!$G$4:$G$1000,"OMKAR STEELS",'Final Calculation Sheet'!$M$4:$M$1000)</f>
        <v/>
      </c>
    </row>
    <row r="1077" outlineLevel="2" ht="15" customHeight="1">
      <c r="A1077" s="713" t="inlineStr">
        <is>
          <t xml:space="preserve">         TDS u/s 194(H) (₹)</t>
        </is>
      </c>
      <c r="B1077" s="938">
        <f>SUMIF('Final Calculation Sheet'!$G$4:$G$1000,"OMKAR STEELS",'Final Calculation Sheet'!$N$4:$N$1000)</f>
        <v/>
      </c>
    </row>
    <row r="1078" outlineLevel="2" ht="15" customHeight="1">
      <c r="A1078" s="713" t="inlineStr">
        <is>
          <t xml:space="preserve">         Net Service Charge (₹)</t>
        </is>
      </c>
      <c r="B1078" s="938">
        <f>SUMIF('Final Calculation Sheet'!$G$4:$G$1000,"OMKAR STEELS",'Final Calculation Sheet'!$O$4:$O$1000)</f>
        <v/>
      </c>
    </row>
    <row r="1079" outlineLevel="2" ht="15" customHeight="1">
      <c r="A1079" s="713" t="inlineStr">
        <is>
          <t xml:space="preserve">         Svc Charge to MSTC (₹)</t>
        </is>
      </c>
      <c r="B1079" s="937">
        <f>SUMIF('Final Calculation Sheet'!$G$4:$G$1000,"OMKAR STEELS",'Final Calculation Sheet'!$P$4:$P$1000)</f>
        <v/>
      </c>
    </row>
    <row r="1080" outlineLevel="2" ht="15" customHeight="1">
      <c r="A1080" s="713" t="inlineStr">
        <is>
          <t xml:space="preserve">         GST TDS (₹)</t>
        </is>
      </c>
      <c r="B1080" s="937">
        <f>SUMIF('Final Calculation Sheet'!$G$4:$G$1000,"OMKAR STEELS",'Final Calculation Sheet'!$R$4:$R$1000)</f>
        <v/>
      </c>
    </row>
    <row r="1081" outlineLevel="2" ht="15" customHeight="1">
      <c r="A1081" s="713" t="inlineStr">
        <is>
          <t xml:space="preserve">         Total Receivables (₹)</t>
        </is>
      </c>
      <c r="B1081" s="937">
        <f>SUMIF('Final Calculation Sheet'!$G$4:$G$1000,"OMKAR STEELS",'Final Calculation Sheet'!$S$4:$S$1000)</f>
        <v/>
      </c>
    </row>
    <row r="1082" outlineLevel="2" ht="15" customHeight="1">
      <c r="A1082" s="713" t="inlineStr">
        <is>
          <t xml:space="preserve">         SD Expected (₹)</t>
        </is>
      </c>
      <c r="B1082" s="937">
        <f>SUMIF('Final Calculation Sheet'!$G$4:$G$1000,"OMKAR STEELS",'Final Calculation Sheet'!$T$4:$T$1000)</f>
        <v/>
      </c>
    </row>
    <row r="1083" outlineLevel="2" ht="15" customHeight="1">
      <c r="A1083" s="713" t="inlineStr">
        <is>
          <t xml:space="preserve">         SD Received (₹)</t>
        </is>
      </c>
      <c r="B1083" s="937">
        <f>SUMIF('Final Calculation Sheet'!$G$4:$G$1000,"OMKAR STEELS",'Final Calculation Sheet'!$U$4:$U$1000)</f>
        <v/>
      </c>
    </row>
    <row r="1084" outlineLevel="2" ht="15" customHeight="1">
      <c r="A1084" s="713" t="inlineStr">
        <is>
          <t xml:space="preserve">         FP Expected (₹)</t>
        </is>
      </c>
      <c r="B1084" s="937">
        <f>SUMIF('Final Calculation Sheet'!$G$4:$G$1000,"OMKAR STEELS",'Final Calculation Sheet'!$W$4:$W$1000)</f>
        <v/>
      </c>
    </row>
    <row r="1085" outlineLevel="2" ht="15" customHeight="1">
      <c r="A1085" s="713" t="inlineStr">
        <is>
          <t xml:space="preserve">         FP Received (₹)</t>
        </is>
      </c>
      <c r="B1085" s="937">
        <f>SUMIF('Final Calculation Sheet'!$G$4:$G$1000,"OMKAR STEELS",'Final Calculation Sheet'!$X$4:$X$1000)</f>
        <v/>
      </c>
    </row>
    <row r="1086" outlineLevel="2" ht="15" customHeight="1">
      <c r="A1086" s="713" t="inlineStr">
        <is>
          <t xml:space="preserve">         LPP Expected (₹)</t>
        </is>
      </c>
      <c r="B1086" s="937">
        <f>SUMIF('Final Calculation Sheet'!$G$4:$G$1000,"OMKAR STEELS",'Final Calculation Sheet'!$Z$4:$Z$1000)</f>
        <v/>
      </c>
    </row>
    <row r="1087" outlineLevel="2" ht="15" customHeight="1">
      <c r="A1087" s="713" t="inlineStr">
        <is>
          <t xml:space="preserve">         LPP Received (₹)</t>
        </is>
      </c>
      <c r="B1087" s="937">
        <f>SUMIF('Final Calculation Sheet'!$G$4:$G$1000,"OMKAR STEELS",'Final Calculation Sheet'!$AA$4:$AA$1000)</f>
        <v/>
      </c>
    </row>
    <row r="1088" outlineLevel="2" ht="15" customHeight="1">
      <c r="A1088" s="713" t="inlineStr">
        <is>
          <t xml:space="preserve">         Total Received (₹)</t>
        </is>
      </c>
      <c r="B1088" s="937">
        <f>SUMIF('Final Calculation Sheet'!$G$4:$G$1000,"OMKAR STEELS",'Final Calculation Sheet'!$AC$4:$AC$1000)</f>
        <v/>
      </c>
    </row>
    <row r="1089" outlineLevel="2" ht="15" customHeight="1">
      <c r="A1089" s="713" t="inlineStr">
        <is>
          <t xml:space="preserve">         Outstanding (₹)</t>
        </is>
      </c>
      <c r="B1089" s="937">
        <f>SUMIF('Final Calculation Sheet'!$G$4:$G$1000,"OMKAR STEELS",'Final Calculation Sheet'!$AD$4:$AD$1000)</f>
        <v/>
      </c>
    </row>
    <row r="1090" ht="7" customHeight="1">
      <c r="A1090" s="866" t="n"/>
      <c r="B1090" s="866" t="n"/>
    </row>
    <row r="1091" ht="24" customHeight="1">
      <c r="A1091" s="856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857" t="n"/>
    </row>
    <row r="1092" outlineLevel="1" ht="20" customHeight="1">
      <c r="A1092" s="858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859" t="n"/>
    </row>
    <row r="1093" outlineLevel="2" ht="16" customHeight="1">
      <c r="A1093" s="860" t="inlineStr">
        <is>
          <t xml:space="preserve">      ▸ LOT INFORMATION</t>
        </is>
      </c>
      <c r="B1093" s="861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860" t="inlineStr">
        <is>
          <t xml:space="preserve">      ▸ FINANCIALS</t>
        </is>
      </c>
      <c r="B1100" s="861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860" t="inlineStr">
        <is>
          <t xml:space="preserve">      ▸ SECURITY DEPOSIT</t>
        </is>
      </c>
      <c r="B1113" s="861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860" t="inlineStr">
        <is>
          <t xml:space="preserve">      ▸ FINAL PAYMENT</t>
        </is>
      </c>
      <c r="B1117" s="861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860" t="inlineStr">
        <is>
          <t xml:space="preserve">      ▸ LPP</t>
        </is>
      </c>
      <c r="B1121" s="861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860" t="inlineStr">
        <is>
          <t xml:space="preserve">      ▸ SUMMARY</t>
        </is>
      </c>
      <c r="B1125" s="861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860" t="inlineStr">
        <is>
          <t xml:space="preserve">      ▸ DOCUMENT</t>
        </is>
      </c>
      <c r="B1129" s="861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858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859" t="n"/>
    </row>
    <row r="1134" outlineLevel="2" ht="16" customHeight="1">
      <c r="A1134" s="860" t="inlineStr">
        <is>
          <t xml:space="preserve">      ▸ LOT INFORMATION</t>
        </is>
      </c>
      <c r="B1134" s="861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860" t="inlineStr">
        <is>
          <t xml:space="preserve">      ▸ FINANCIALS</t>
        </is>
      </c>
      <c r="B1141" s="861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860" t="inlineStr">
        <is>
          <t xml:space="preserve">      ▸ SECURITY DEPOSIT</t>
        </is>
      </c>
      <c r="B1154" s="861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860" t="inlineStr">
        <is>
          <t xml:space="preserve">      ▸ FINAL PAYMENT</t>
        </is>
      </c>
      <c r="B1158" s="861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860" t="inlineStr">
        <is>
          <t xml:space="preserve">      ▸ LPP</t>
        </is>
      </c>
      <c r="B1162" s="861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860" t="inlineStr">
        <is>
          <t xml:space="preserve">      ▸ SUMMARY</t>
        </is>
      </c>
      <c r="B1166" s="861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860" t="inlineStr">
        <is>
          <t xml:space="preserve">      ▸ DOCUMENT</t>
        </is>
      </c>
      <c r="B1170" s="861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862" t="inlineStr">
        <is>
          <t xml:space="preserve">   ∑  S M ENTERPRISES — TOTALS (all its lots)</t>
        </is>
      </c>
      <c r="B1174" s="857" t="n"/>
    </row>
    <row r="1175" outlineLevel="2" ht="15" customHeight="1">
      <c r="A1175" s="708" t="inlineStr">
        <is>
          <t xml:space="preserve">         Quantity</t>
        </is>
      </c>
      <c r="B1175" s="863">
        <f>SUMIF('Final Calculation Sheet'!$G$4:$G$1000,"S M ENTERPRISES",'Final Calculation Sheet'!$A$4:$A$1000)</f>
        <v/>
      </c>
    </row>
    <row r="1176" outlineLevel="2" ht="15" customHeight="1">
      <c r="A1176" s="708" t="inlineStr">
        <is>
          <t xml:space="preserve">         Mat. Value (₹)</t>
        </is>
      </c>
      <c r="B1176" s="864">
        <f>SUMIF('Final Calculation Sheet'!$G$4:$G$1000,"S M ENTERPRISES",'Final Calculation Sheet'!$H$4:$H$1000)</f>
        <v/>
      </c>
    </row>
    <row r="1177" outlineLevel="2" ht="15" customHeight="1">
      <c r="A1177" s="708" t="inlineStr">
        <is>
          <t xml:space="preserve">         GST @ 18% (₹)</t>
        </is>
      </c>
      <c r="B1177" s="864">
        <f>SUMIF('Final Calculation Sheet'!$G$4:$G$1000,"S M ENTERPRISES",'Final Calculation Sheet'!$I$4:$I$1000)</f>
        <v/>
      </c>
    </row>
    <row r="1178" outlineLevel="2" ht="15" customHeight="1">
      <c r="A1178" s="708" t="inlineStr">
        <is>
          <t xml:space="preserve">         Mat. Value + GST (₹)</t>
        </is>
      </c>
      <c r="B1178" s="864">
        <f>SUMIF('Final Calculation Sheet'!$G$4:$G$1000,"S M ENTERPRISES",'Final Calculation Sheet'!$J$4:$J$1000)</f>
        <v/>
      </c>
    </row>
    <row r="1179" outlineLevel="2" ht="15" customHeight="1">
      <c r="A1179" s="708" t="inlineStr">
        <is>
          <t xml:space="preserve">         TCS @ 2% (₹)</t>
        </is>
      </c>
      <c r="B1179" s="864">
        <f>SUMIF('Final Calculation Sheet'!$G$4:$G$1000,"S M ENTERPRISES",'Final Calculation Sheet'!$K$4:$K$1000)</f>
        <v/>
      </c>
    </row>
    <row r="1180" outlineLevel="2" ht="15" customHeight="1">
      <c r="A1180" s="708" t="inlineStr">
        <is>
          <t xml:space="preserve">         TDS u/s 194(O) (₹)</t>
        </is>
      </c>
      <c r="B1180" s="865">
        <f>SUMIF('Final Calculation Sheet'!$G$4:$G$1000,"S M ENTERPRISES",'Final Calculation Sheet'!$L$4:$L$1000)</f>
        <v/>
      </c>
    </row>
    <row r="1181" outlineLevel="2" ht="15" customHeight="1">
      <c r="A1181" s="708" t="inlineStr">
        <is>
          <t xml:space="preserve">         Service Charge gross (₹)</t>
        </is>
      </c>
      <c r="B1181" s="865">
        <f>SUMIF('Final Calculation Sheet'!$G$4:$G$1000,"S M ENTERPRISES",'Final Calculation Sheet'!$M$4:$M$1000)</f>
        <v/>
      </c>
    </row>
    <row r="1182" outlineLevel="2" ht="15" customHeight="1">
      <c r="A1182" s="708" t="inlineStr">
        <is>
          <t xml:space="preserve">         TDS u/s 194(H) (₹)</t>
        </is>
      </c>
      <c r="B1182" s="865">
        <f>SUMIF('Final Calculation Sheet'!$G$4:$G$1000,"S M ENTERPRISES",'Final Calculation Sheet'!$N$4:$N$1000)</f>
        <v/>
      </c>
    </row>
    <row r="1183" outlineLevel="2" ht="15" customHeight="1">
      <c r="A1183" s="708" t="inlineStr">
        <is>
          <t xml:space="preserve">         Net Service Charge (₹)</t>
        </is>
      </c>
      <c r="B1183" s="865">
        <f>SUMIF('Final Calculation Sheet'!$G$4:$G$1000,"S M ENTERPRISES",'Final Calculation Sheet'!$O$4:$O$1000)</f>
        <v/>
      </c>
    </row>
    <row r="1184" outlineLevel="2" ht="15" customHeight="1">
      <c r="A1184" s="708" t="inlineStr">
        <is>
          <t xml:space="preserve">         Svc Charge to MSTC (₹)</t>
        </is>
      </c>
      <c r="B1184" s="864">
        <f>SUMIF('Final Calculation Sheet'!$G$4:$G$1000,"S M ENTERPRISES",'Final Calculation Sheet'!$P$4:$P$1000)</f>
        <v/>
      </c>
    </row>
    <row r="1185" outlineLevel="2" ht="15" customHeight="1">
      <c r="A1185" s="708" t="inlineStr">
        <is>
          <t xml:space="preserve">         GST TDS (₹)</t>
        </is>
      </c>
      <c r="B1185" s="864">
        <f>SUMIF('Final Calculation Sheet'!$G$4:$G$1000,"S M ENTERPRISES",'Final Calculation Sheet'!$R$4:$R$1000)</f>
        <v/>
      </c>
    </row>
    <row r="1186" outlineLevel="2" ht="15" customHeight="1">
      <c r="A1186" s="708" t="inlineStr">
        <is>
          <t xml:space="preserve">         Total Receivables (₹)</t>
        </is>
      </c>
      <c r="B1186" s="864">
        <f>SUMIF('Final Calculation Sheet'!$G$4:$G$1000,"S M ENTERPRISES",'Final Calculation Sheet'!$S$4:$S$1000)</f>
        <v/>
      </c>
    </row>
    <row r="1187" outlineLevel="2" ht="15" customHeight="1">
      <c r="A1187" s="708" t="inlineStr">
        <is>
          <t xml:space="preserve">         SD Expected (₹)</t>
        </is>
      </c>
      <c r="B1187" s="864">
        <f>SUMIF('Final Calculation Sheet'!$G$4:$G$1000,"S M ENTERPRISES",'Final Calculation Sheet'!$T$4:$T$1000)</f>
        <v/>
      </c>
    </row>
    <row r="1188" outlineLevel="2" ht="15" customHeight="1">
      <c r="A1188" s="708" t="inlineStr">
        <is>
          <t xml:space="preserve">         SD Received (₹)</t>
        </is>
      </c>
      <c r="B1188" s="864">
        <f>SUMIF('Final Calculation Sheet'!$G$4:$G$1000,"S M ENTERPRISES",'Final Calculation Sheet'!$U$4:$U$1000)</f>
        <v/>
      </c>
    </row>
    <row r="1189" outlineLevel="2" ht="15" customHeight="1">
      <c r="A1189" s="708" t="inlineStr">
        <is>
          <t xml:space="preserve">         FP Expected (₹)</t>
        </is>
      </c>
      <c r="B1189" s="864">
        <f>SUMIF('Final Calculation Sheet'!$G$4:$G$1000,"S M ENTERPRISES",'Final Calculation Sheet'!$W$4:$W$1000)</f>
        <v/>
      </c>
    </row>
    <row r="1190" outlineLevel="2" ht="15" customHeight="1">
      <c r="A1190" s="708" t="inlineStr">
        <is>
          <t xml:space="preserve">         FP Received (₹)</t>
        </is>
      </c>
      <c r="B1190" s="864">
        <f>SUMIF('Final Calculation Sheet'!$G$4:$G$1000,"S M ENTERPRISES",'Final Calculation Sheet'!$X$4:$X$1000)</f>
        <v/>
      </c>
    </row>
    <row r="1191" outlineLevel="2" ht="15" customHeight="1">
      <c r="A1191" s="708" t="inlineStr">
        <is>
          <t xml:space="preserve">         LPP Expected (₹)</t>
        </is>
      </c>
      <c r="B1191" s="864">
        <f>SUMIF('Final Calculation Sheet'!$G$4:$G$1000,"S M ENTERPRISES",'Final Calculation Sheet'!$Z$4:$Z$1000)</f>
        <v/>
      </c>
    </row>
    <row r="1192" outlineLevel="2" ht="15" customHeight="1">
      <c r="A1192" s="708" t="inlineStr">
        <is>
          <t xml:space="preserve">         LPP Received (₹)</t>
        </is>
      </c>
      <c r="B1192" s="864">
        <f>SUMIF('Final Calculation Sheet'!$G$4:$G$1000,"S M ENTERPRISES",'Final Calculation Sheet'!$AA$4:$AA$1000)</f>
        <v/>
      </c>
    </row>
    <row r="1193" outlineLevel="2" ht="15" customHeight="1">
      <c r="A1193" s="708" t="inlineStr">
        <is>
          <t xml:space="preserve">         Total Received (₹)</t>
        </is>
      </c>
      <c r="B1193" s="864">
        <f>SUMIF('Final Calculation Sheet'!$G$4:$G$1000,"S M ENTERPRISES",'Final Calculation Sheet'!$AC$4:$AC$1000)</f>
        <v/>
      </c>
    </row>
    <row r="1194" outlineLevel="2" ht="15" customHeight="1">
      <c r="A1194" s="708" t="inlineStr">
        <is>
          <t xml:space="preserve">         Outstanding (₹)</t>
        </is>
      </c>
      <c r="B1194" s="864">
        <f>SUMIF('Final Calculation Sheet'!$G$4:$G$1000,"S M ENTERPRISES",'Final Calculation Sheet'!$AD$4:$AD$1000)</f>
        <v/>
      </c>
    </row>
    <row r="1195" ht="7" customHeight="1">
      <c r="A1195" s="866" t="n"/>
      <c r="B1195" s="866" t="n"/>
    </row>
    <row r="1196" ht="24" customHeight="1">
      <c r="A1196" s="867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868" t="n"/>
    </row>
    <row r="1197" outlineLevel="1" ht="20" customHeight="1">
      <c r="A1197" s="869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70" t="n"/>
    </row>
    <row r="1198" outlineLevel="2" ht="16" customHeight="1">
      <c r="A1198" s="871" t="inlineStr">
        <is>
          <t xml:space="preserve">      ▸ LOT INFORMATION</t>
        </is>
      </c>
      <c r="B1198" s="872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871" t="inlineStr">
        <is>
          <t xml:space="preserve">      ▸ FINANCIALS</t>
        </is>
      </c>
      <c r="B1205" s="872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871" t="inlineStr">
        <is>
          <t xml:space="preserve">      ▸ SECURITY DEPOSIT</t>
        </is>
      </c>
      <c r="B1218" s="872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871" t="inlineStr">
        <is>
          <t xml:space="preserve">      ▸ FINAL PAYMENT</t>
        </is>
      </c>
      <c r="B1222" s="872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871" t="inlineStr">
        <is>
          <t xml:space="preserve">      ▸ LPP</t>
        </is>
      </c>
      <c r="B1226" s="872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871" t="inlineStr">
        <is>
          <t xml:space="preserve">      ▸ SUMMARY</t>
        </is>
      </c>
      <c r="B1230" s="872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871" t="inlineStr">
        <is>
          <t xml:space="preserve">      ▸ DOCUMENT</t>
        </is>
      </c>
      <c r="B1234" s="872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873" t="inlineStr">
        <is>
          <t xml:space="preserve">   ∑  SAHARA ENTERPRISES — TOTALS (all its lots)</t>
        </is>
      </c>
      <c r="B1238" s="868" t="n"/>
    </row>
    <row r="1239" outlineLevel="2" ht="15" customHeight="1">
      <c r="A1239" s="709" t="inlineStr">
        <is>
          <t xml:space="preserve">         Quantity</t>
        </is>
      </c>
      <c r="B1239" s="874">
        <f>SUMIF('Final Calculation Sheet'!$G$4:$G$1000,"SAHARA ENTERPRISES",'Final Calculation Sheet'!$A$4:$A$1000)</f>
        <v/>
      </c>
    </row>
    <row r="1240" outlineLevel="2" ht="15" customHeight="1">
      <c r="A1240" s="709" t="inlineStr">
        <is>
          <t xml:space="preserve">         Mat. Value (₹)</t>
        </is>
      </c>
      <c r="B1240" s="875">
        <f>SUMIF('Final Calculation Sheet'!$G$4:$G$1000,"SAHARA ENTERPRISES",'Final Calculation Sheet'!$H$4:$H$1000)</f>
        <v/>
      </c>
    </row>
    <row r="1241" outlineLevel="2" ht="15" customHeight="1">
      <c r="A1241" s="709" t="inlineStr">
        <is>
          <t xml:space="preserve">         GST @ 18% (₹)</t>
        </is>
      </c>
      <c r="B1241" s="875">
        <f>SUMIF('Final Calculation Sheet'!$G$4:$G$1000,"SAHARA ENTERPRISES",'Final Calculation Sheet'!$I$4:$I$1000)</f>
        <v/>
      </c>
    </row>
    <row r="1242" outlineLevel="2" ht="15" customHeight="1">
      <c r="A1242" s="709" t="inlineStr">
        <is>
          <t xml:space="preserve">         Mat. Value + GST (₹)</t>
        </is>
      </c>
      <c r="B1242" s="875">
        <f>SUMIF('Final Calculation Sheet'!$G$4:$G$1000,"SAHARA ENTERPRISES",'Final Calculation Sheet'!$J$4:$J$1000)</f>
        <v/>
      </c>
    </row>
    <row r="1243" outlineLevel="2" ht="15" customHeight="1">
      <c r="A1243" s="709" t="inlineStr">
        <is>
          <t xml:space="preserve">         TCS @ 2% (₹)</t>
        </is>
      </c>
      <c r="B1243" s="875">
        <f>SUMIF('Final Calculation Sheet'!$G$4:$G$1000,"SAHARA ENTERPRISES",'Final Calculation Sheet'!$K$4:$K$1000)</f>
        <v/>
      </c>
    </row>
    <row r="1244" outlineLevel="2" ht="15" customHeight="1">
      <c r="A1244" s="709" t="inlineStr">
        <is>
          <t xml:space="preserve">         TDS u/s 194(O) (₹)</t>
        </is>
      </c>
      <c r="B1244" s="876">
        <f>SUMIF('Final Calculation Sheet'!$G$4:$G$1000,"SAHARA ENTERPRISES",'Final Calculation Sheet'!$L$4:$L$1000)</f>
        <v/>
      </c>
    </row>
    <row r="1245" outlineLevel="2" ht="15" customHeight="1">
      <c r="A1245" s="709" t="inlineStr">
        <is>
          <t xml:space="preserve">         Service Charge gross (₹)</t>
        </is>
      </c>
      <c r="B1245" s="876">
        <f>SUMIF('Final Calculation Sheet'!$G$4:$G$1000,"SAHARA ENTERPRISES",'Final Calculation Sheet'!$M$4:$M$1000)</f>
        <v/>
      </c>
    </row>
    <row r="1246" outlineLevel="2" ht="15" customHeight="1">
      <c r="A1246" s="709" t="inlineStr">
        <is>
          <t xml:space="preserve">         TDS u/s 194(H) (₹)</t>
        </is>
      </c>
      <c r="B1246" s="876">
        <f>SUMIF('Final Calculation Sheet'!$G$4:$G$1000,"SAHARA ENTERPRISES",'Final Calculation Sheet'!$N$4:$N$1000)</f>
        <v/>
      </c>
    </row>
    <row r="1247" outlineLevel="2" ht="15" customHeight="1">
      <c r="A1247" s="709" t="inlineStr">
        <is>
          <t xml:space="preserve">         Net Service Charge (₹)</t>
        </is>
      </c>
      <c r="B1247" s="876">
        <f>SUMIF('Final Calculation Sheet'!$G$4:$G$1000,"SAHARA ENTERPRISES",'Final Calculation Sheet'!$O$4:$O$1000)</f>
        <v/>
      </c>
    </row>
    <row r="1248" outlineLevel="2" ht="15" customHeight="1">
      <c r="A1248" s="709" t="inlineStr">
        <is>
          <t xml:space="preserve">         Svc Charge to MSTC (₹)</t>
        </is>
      </c>
      <c r="B1248" s="875">
        <f>SUMIF('Final Calculation Sheet'!$G$4:$G$1000,"SAHARA ENTERPRISES",'Final Calculation Sheet'!$P$4:$P$1000)</f>
        <v/>
      </c>
    </row>
    <row r="1249" outlineLevel="2" ht="15" customHeight="1">
      <c r="A1249" s="709" t="inlineStr">
        <is>
          <t xml:space="preserve">         GST TDS (₹)</t>
        </is>
      </c>
      <c r="B1249" s="875">
        <f>SUMIF('Final Calculation Sheet'!$G$4:$G$1000,"SAHARA ENTERPRISES",'Final Calculation Sheet'!$R$4:$R$1000)</f>
        <v/>
      </c>
    </row>
    <row r="1250" outlineLevel="2" ht="15" customHeight="1">
      <c r="A1250" s="709" t="inlineStr">
        <is>
          <t xml:space="preserve">         Total Receivables (₹)</t>
        </is>
      </c>
      <c r="B1250" s="875">
        <f>SUMIF('Final Calculation Sheet'!$G$4:$G$1000,"SAHARA ENTERPRISES",'Final Calculation Sheet'!$S$4:$S$1000)</f>
        <v/>
      </c>
    </row>
    <row r="1251" outlineLevel="2" ht="15" customHeight="1">
      <c r="A1251" s="709" t="inlineStr">
        <is>
          <t xml:space="preserve">         SD Expected (₹)</t>
        </is>
      </c>
      <c r="B1251" s="875">
        <f>SUMIF('Final Calculation Sheet'!$G$4:$G$1000,"SAHARA ENTERPRISES",'Final Calculation Sheet'!$T$4:$T$1000)</f>
        <v/>
      </c>
    </row>
    <row r="1252" outlineLevel="2" ht="15" customHeight="1">
      <c r="A1252" s="709" t="inlineStr">
        <is>
          <t xml:space="preserve">         SD Received (₹)</t>
        </is>
      </c>
      <c r="B1252" s="875">
        <f>SUMIF('Final Calculation Sheet'!$G$4:$G$1000,"SAHARA ENTERPRISES",'Final Calculation Sheet'!$U$4:$U$1000)</f>
        <v/>
      </c>
    </row>
    <row r="1253" outlineLevel="2" ht="15" customHeight="1">
      <c r="A1253" s="709" t="inlineStr">
        <is>
          <t xml:space="preserve">         FP Expected (₹)</t>
        </is>
      </c>
      <c r="B1253" s="875">
        <f>SUMIF('Final Calculation Sheet'!$G$4:$G$1000,"SAHARA ENTERPRISES",'Final Calculation Sheet'!$W$4:$W$1000)</f>
        <v/>
      </c>
    </row>
    <row r="1254" outlineLevel="2" ht="15" customHeight="1">
      <c r="A1254" s="709" t="inlineStr">
        <is>
          <t xml:space="preserve">         FP Received (₹)</t>
        </is>
      </c>
      <c r="B1254" s="875">
        <f>SUMIF('Final Calculation Sheet'!$G$4:$G$1000,"SAHARA ENTERPRISES",'Final Calculation Sheet'!$X$4:$X$1000)</f>
        <v/>
      </c>
    </row>
    <row r="1255" outlineLevel="2" ht="15" customHeight="1">
      <c r="A1255" s="709" t="inlineStr">
        <is>
          <t xml:space="preserve">         LPP Expected (₹)</t>
        </is>
      </c>
      <c r="B1255" s="875">
        <f>SUMIF('Final Calculation Sheet'!$G$4:$G$1000,"SAHARA ENTERPRISES",'Final Calculation Sheet'!$Z$4:$Z$1000)</f>
        <v/>
      </c>
    </row>
    <row r="1256" outlineLevel="2" ht="15" customHeight="1">
      <c r="A1256" s="709" t="inlineStr">
        <is>
          <t xml:space="preserve">         LPP Received (₹)</t>
        </is>
      </c>
      <c r="B1256" s="875">
        <f>SUMIF('Final Calculation Sheet'!$G$4:$G$1000,"SAHARA ENTERPRISES",'Final Calculation Sheet'!$AA$4:$AA$1000)</f>
        <v/>
      </c>
    </row>
    <row r="1257" outlineLevel="2" ht="15" customHeight="1">
      <c r="A1257" s="709" t="inlineStr">
        <is>
          <t xml:space="preserve">         Total Received (₹)</t>
        </is>
      </c>
      <c r="B1257" s="875">
        <f>SUMIF('Final Calculation Sheet'!$G$4:$G$1000,"SAHARA ENTERPRISES",'Final Calculation Sheet'!$AC$4:$AC$1000)</f>
        <v/>
      </c>
    </row>
    <row r="1258" outlineLevel="2" ht="15" customHeight="1">
      <c r="A1258" s="709" t="inlineStr">
        <is>
          <t xml:space="preserve">         Outstanding (₹)</t>
        </is>
      </c>
      <c r="B1258" s="875">
        <f>SUMIF('Final Calculation Sheet'!$G$4:$G$1000,"SAHARA ENTERPRISES",'Final Calculation Sheet'!$AD$4:$AD$1000)</f>
        <v/>
      </c>
    </row>
    <row r="1259" ht="7" customHeight="1">
      <c r="A1259" s="866" t="n"/>
      <c r="B1259" s="866" t="n"/>
    </row>
    <row r="1260" ht="24" customHeight="1">
      <c r="A1260" s="877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878" t="n"/>
    </row>
    <row r="1261" outlineLevel="1" ht="20" customHeight="1">
      <c r="A1261" s="879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880" t="n"/>
    </row>
    <row r="1262" outlineLevel="2" ht="16" customHeight="1">
      <c r="A1262" s="881" t="inlineStr">
        <is>
          <t xml:space="preserve">      ▸ LOT INFORMATION</t>
        </is>
      </c>
      <c r="B1262" s="88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881" t="inlineStr">
        <is>
          <t xml:space="preserve">      ▸ FINANCIALS</t>
        </is>
      </c>
      <c r="B1269" s="88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881" t="inlineStr">
        <is>
          <t xml:space="preserve">      ▸ SECURITY DEPOSIT</t>
        </is>
      </c>
      <c r="B1282" s="88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881" t="inlineStr">
        <is>
          <t xml:space="preserve">      ▸ FINAL PAYMENT</t>
        </is>
      </c>
      <c r="B1286" s="88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881" t="inlineStr">
        <is>
          <t xml:space="preserve">      ▸ LPP</t>
        </is>
      </c>
      <c r="B1290" s="88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881" t="inlineStr">
        <is>
          <t xml:space="preserve">      ▸ SUMMARY</t>
        </is>
      </c>
      <c r="B1294" s="88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881" t="inlineStr">
        <is>
          <t xml:space="preserve">      ▸ DOCUMENT</t>
        </is>
      </c>
      <c r="B1298" s="88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879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880" t="n"/>
    </row>
    <row r="1303" outlineLevel="2" ht="16" customHeight="1">
      <c r="A1303" s="881" t="inlineStr">
        <is>
          <t xml:space="preserve">      ▸ LOT INFORMATION</t>
        </is>
      </c>
      <c r="B1303" s="88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881" t="inlineStr">
        <is>
          <t xml:space="preserve">      ▸ FINANCIALS</t>
        </is>
      </c>
      <c r="B1310" s="88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881" t="inlineStr">
        <is>
          <t xml:space="preserve">      ▸ SECURITY DEPOSIT</t>
        </is>
      </c>
      <c r="B1323" s="88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881" t="inlineStr">
        <is>
          <t xml:space="preserve">      ▸ FINAL PAYMENT</t>
        </is>
      </c>
      <c r="B1327" s="88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881" t="inlineStr">
        <is>
          <t xml:space="preserve">      ▸ LPP</t>
        </is>
      </c>
      <c r="B1331" s="88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881" t="inlineStr">
        <is>
          <t xml:space="preserve">      ▸ SUMMARY</t>
        </is>
      </c>
      <c r="B1335" s="88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881" t="inlineStr">
        <is>
          <t xml:space="preserve">      ▸ DOCUMENT</t>
        </is>
      </c>
      <c r="B1339" s="88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883" t="inlineStr">
        <is>
          <t xml:space="preserve">   ∑  SHAR JAHAN TRADERS — TOTALS (all its lots)</t>
        </is>
      </c>
      <c r="B1343" s="878" t="n"/>
    </row>
    <row r="1344" outlineLevel="2" ht="15" customHeight="1">
      <c r="A1344" s="710" t="inlineStr">
        <is>
          <t xml:space="preserve">         Quantity</t>
        </is>
      </c>
      <c r="B1344" s="884">
        <f>SUMIF('Final Calculation Sheet'!$G$4:$G$1000,"SHAR JAHAN TRADERS",'Final Calculation Sheet'!$A$4:$A$1000)</f>
        <v/>
      </c>
    </row>
    <row r="1345" outlineLevel="2" ht="15" customHeight="1">
      <c r="A1345" s="710" t="inlineStr">
        <is>
          <t xml:space="preserve">         Mat. Value (₹)</t>
        </is>
      </c>
      <c r="B1345" s="885">
        <f>SUMIF('Final Calculation Sheet'!$G$4:$G$1000,"SHAR JAHAN TRADERS",'Final Calculation Sheet'!$H$4:$H$1000)</f>
        <v/>
      </c>
    </row>
    <row r="1346" outlineLevel="2" ht="15" customHeight="1">
      <c r="A1346" s="710" t="inlineStr">
        <is>
          <t xml:space="preserve">         GST @ 18% (₹)</t>
        </is>
      </c>
      <c r="B1346" s="885">
        <f>SUMIF('Final Calculation Sheet'!$G$4:$G$1000,"SHAR JAHAN TRADERS",'Final Calculation Sheet'!$I$4:$I$1000)</f>
        <v/>
      </c>
    </row>
    <row r="1347" outlineLevel="2" ht="15" customHeight="1">
      <c r="A1347" s="710" t="inlineStr">
        <is>
          <t xml:space="preserve">         Mat. Value + GST (₹)</t>
        </is>
      </c>
      <c r="B1347" s="885">
        <f>SUMIF('Final Calculation Sheet'!$G$4:$G$1000,"SHAR JAHAN TRADERS",'Final Calculation Sheet'!$J$4:$J$1000)</f>
        <v/>
      </c>
    </row>
    <row r="1348" outlineLevel="2" ht="15" customHeight="1">
      <c r="A1348" s="710" t="inlineStr">
        <is>
          <t xml:space="preserve">         TCS @ 2% (₹)</t>
        </is>
      </c>
      <c r="B1348" s="885">
        <f>SUMIF('Final Calculation Sheet'!$G$4:$G$1000,"SHAR JAHAN TRADERS",'Final Calculation Sheet'!$K$4:$K$1000)</f>
        <v/>
      </c>
    </row>
    <row r="1349" outlineLevel="2" ht="15" customHeight="1">
      <c r="A1349" s="710" t="inlineStr">
        <is>
          <t xml:space="preserve">         TDS u/s 194(O) (₹)</t>
        </is>
      </c>
      <c r="B1349" s="886">
        <f>SUMIF('Final Calculation Sheet'!$G$4:$G$1000,"SHAR JAHAN TRADERS",'Final Calculation Sheet'!$L$4:$L$1000)</f>
        <v/>
      </c>
    </row>
    <row r="1350" outlineLevel="2" ht="15" customHeight="1">
      <c r="A1350" s="710" t="inlineStr">
        <is>
          <t xml:space="preserve">         Service Charge gross (₹)</t>
        </is>
      </c>
      <c r="B1350" s="886">
        <f>SUMIF('Final Calculation Sheet'!$G$4:$G$1000,"SHAR JAHAN TRADERS",'Final Calculation Sheet'!$M$4:$M$1000)</f>
        <v/>
      </c>
    </row>
    <row r="1351" outlineLevel="2" ht="15" customHeight="1">
      <c r="A1351" s="710" t="inlineStr">
        <is>
          <t xml:space="preserve">         TDS u/s 194(H) (₹)</t>
        </is>
      </c>
      <c r="B1351" s="886">
        <f>SUMIF('Final Calculation Sheet'!$G$4:$G$1000,"SHAR JAHAN TRADERS",'Final Calculation Sheet'!$N$4:$N$1000)</f>
        <v/>
      </c>
    </row>
    <row r="1352" outlineLevel="2" ht="15" customHeight="1">
      <c r="A1352" s="710" t="inlineStr">
        <is>
          <t xml:space="preserve">         Net Service Charge (₹)</t>
        </is>
      </c>
      <c r="B1352" s="886">
        <f>SUMIF('Final Calculation Sheet'!$G$4:$G$1000,"SHAR JAHAN TRADERS",'Final Calculation Sheet'!$O$4:$O$1000)</f>
        <v/>
      </c>
    </row>
    <row r="1353" outlineLevel="2" ht="15" customHeight="1">
      <c r="A1353" s="710" t="inlineStr">
        <is>
          <t xml:space="preserve">         Svc Charge to MSTC (₹)</t>
        </is>
      </c>
      <c r="B1353" s="885">
        <f>SUMIF('Final Calculation Sheet'!$G$4:$G$1000,"SHAR JAHAN TRADERS",'Final Calculation Sheet'!$P$4:$P$1000)</f>
        <v/>
      </c>
    </row>
    <row r="1354" outlineLevel="2" ht="15" customHeight="1">
      <c r="A1354" s="710" t="inlineStr">
        <is>
          <t xml:space="preserve">         GST TDS (₹)</t>
        </is>
      </c>
      <c r="B1354" s="885">
        <f>SUMIF('Final Calculation Sheet'!$G$4:$G$1000,"SHAR JAHAN TRADERS",'Final Calculation Sheet'!$R$4:$R$1000)</f>
        <v/>
      </c>
    </row>
    <row r="1355" outlineLevel="2" ht="15" customHeight="1">
      <c r="A1355" s="710" t="inlineStr">
        <is>
          <t xml:space="preserve">         Total Receivables (₹)</t>
        </is>
      </c>
      <c r="B1355" s="885">
        <f>SUMIF('Final Calculation Sheet'!$G$4:$G$1000,"SHAR JAHAN TRADERS",'Final Calculation Sheet'!$S$4:$S$1000)</f>
        <v/>
      </c>
    </row>
    <row r="1356" outlineLevel="2" ht="15" customHeight="1">
      <c r="A1356" s="710" t="inlineStr">
        <is>
          <t xml:space="preserve">         SD Expected (₹)</t>
        </is>
      </c>
      <c r="B1356" s="885">
        <f>SUMIF('Final Calculation Sheet'!$G$4:$G$1000,"SHAR JAHAN TRADERS",'Final Calculation Sheet'!$T$4:$T$1000)</f>
        <v/>
      </c>
    </row>
    <row r="1357" outlineLevel="2" ht="15" customHeight="1">
      <c r="A1357" s="710" t="inlineStr">
        <is>
          <t xml:space="preserve">         SD Received (₹)</t>
        </is>
      </c>
      <c r="B1357" s="885">
        <f>SUMIF('Final Calculation Sheet'!$G$4:$G$1000,"SHAR JAHAN TRADERS",'Final Calculation Sheet'!$U$4:$U$1000)</f>
        <v/>
      </c>
    </row>
    <row r="1358" outlineLevel="2" ht="15" customHeight="1">
      <c r="A1358" s="710" t="inlineStr">
        <is>
          <t xml:space="preserve">         FP Expected (₹)</t>
        </is>
      </c>
      <c r="B1358" s="885">
        <f>SUMIF('Final Calculation Sheet'!$G$4:$G$1000,"SHAR JAHAN TRADERS",'Final Calculation Sheet'!$W$4:$W$1000)</f>
        <v/>
      </c>
    </row>
    <row r="1359" outlineLevel="2" ht="15" customHeight="1">
      <c r="A1359" s="710" t="inlineStr">
        <is>
          <t xml:space="preserve">         FP Received (₹)</t>
        </is>
      </c>
      <c r="B1359" s="885">
        <f>SUMIF('Final Calculation Sheet'!$G$4:$G$1000,"SHAR JAHAN TRADERS",'Final Calculation Sheet'!$X$4:$X$1000)</f>
        <v/>
      </c>
    </row>
    <row r="1360" outlineLevel="2" ht="15" customHeight="1">
      <c r="A1360" s="710" t="inlineStr">
        <is>
          <t xml:space="preserve">         LPP Expected (₹)</t>
        </is>
      </c>
      <c r="B1360" s="885">
        <f>SUMIF('Final Calculation Sheet'!$G$4:$G$1000,"SHAR JAHAN TRADERS",'Final Calculation Sheet'!$Z$4:$Z$1000)</f>
        <v/>
      </c>
    </row>
    <row r="1361" outlineLevel="2" ht="15" customHeight="1">
      <c r="A1361" s="710" t="inlineStr">
        <is>
          <t xml:space="preserve">         LPP Received (₹)</t>
        </is>
      </c>
      <c r="B1361" s="885">
        <f>SUMIF('Final Calculation Sheet'!$G$4:$G$1000,"SHAR JAHAN TRADERS",'Final Calculation Sheet'!$AA$4:$AA$1000)</f>
        <v/>
      </c>
    </row>
    <row r="1362" outlineLevel="2" ht="15" customHeight="1">
      <c r="A1362" s="710" t="inlineStr">
        <is>
          <t xml:space="preserve">         Total Received (₹)</t>
        </is>
      </c>
      <c r="B1362" s="885">
        <f>SUMIF('Final Calculation Sheet'!$G$4:$G$1000,"SHAR JAHAN TRADERS",'Final Calculation Sheet'!$AC$4:$AC$1000)</f>
        <v/>
      </c>
    </row>
    <row r="1363" outlineLevel="2" ht="15" customHeight="1">
      <c r="A1363" s="710" t="inlineStr">
        <is>
          <t xml:space="preserve">         Outstanding (₹)</t>
        </is>
      </c>
      <c r="B1363" s="885">
        <f>SUMIF('Final Calculation Sheet'!$G$4:$G$1000,"SHAR JAHAN TRADERS",'Final Calculation Sheet'!$AD$4:$AD$1000)</f>
        <v/>
      </c>
    </row>
    <row r="1364" ht="7" customHeight="1">
      <c r="A1364" s="866" t="n"/>
      <c r="B1364" s="866" t="n"/>
    </row>
    <row r="1365" ht="24" customHeight="1">
      <c r="A1365" s="887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888" t="n"/>
    </row>
    <row r="1366" outlineLevel="1" ht="20" customHeight="1">
      <c r="A1366" s="889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890" t="n"/>
    </row>
    <row r="1367" outlineLevel="2" ht="16" customHeight="1">
      <c r="A1367" s="891" t="inlineStr">
        <is>
          <t xml:space="preserve">      ▸ LOT INFORMATION</t>
        </is>
      </c>
      <c r="B1367" s="892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891" t="inlineStr">
        <is>
          <t xml:space="preserve">      ▸ FINANCIALS</t>
        </is>
      </c>
      <c r="B1374" s="892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891" t="inlineStr">
        <is>
          <t xml:space="preserve">      ▸ SECURITY DEPOSIT</t>
        </is>
      </c>
      <c r="B1387" s="892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891" t="inlineStr">
        <is>
          <t xml:space="preserve">      ▸ FINAL PAYMENT</t>
        </is>
      </c>
      <c r="B1391" s="892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891" t="inlineStr">
        <is>
          <t xml:space="preserve">      ▸ LPP</t>
        </is>
      </c>
      <c r="B1395" s="892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891" t="inlineStr">
        <is>
          <t xml:space="preserve">      ▸ SUMMARY</t>
        </is>
      </c>
      <c r="B1399" s="892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891" t="inlineStr">
        <is>
          <t xml:space="preserve">      ▸ DOCUMENT</t>
        </is>
      </c>
      <c r="B1403" s="892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889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890" t="n"/>
    </row>
    <row r="1408" outlineLevel="2" ht="16" customHeight="1">
      <c r="A1408" s="891" t="inlineStr">
        <is>
          <t xml:space="preserve">      ▸ LOT INFORMATION</t>
        </is>
      </c>
      <c r="B1408" s="892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891" t="inlineStr">
        <is>
          <t xml:space="preserve">      ▸ FINANCIALS</t>
        </is>
      </c>
      <c r="B1415" s="892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891" t="inlineStr">
        <is>
          <t xml:space="preserve">      ▸ SECURITY DEPOSIT</t>
        </is>
      </c>
      <c r="B1428" s="892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891" t="inlineStr">
        <is>
          <t xml:space="preserve">      ▸ FINAL PAYMENT</t>
        </is>
      </c>
      <c r="B1432" s="892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891" t="inlineStr">
        <is>
          <t xml:space="preserve">      ▸ LPP</t>
        </is>
      </c>
      <c r="B1436" s="892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891" t="inlineStr">
        <is>
          <t xml:space="preserve">      ▸ SUMMARY</t>
        </is>
      </c>
      <c r="B1440" s="892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891" t="inlineStr">
        <is>
          <t xml:space="preserve">      ▸ DOCUMENT</t>
        </is>
      </c>
      <c r="B1444" s="892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889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890" t="n"/>
    </row>
    <row r="1449" outlineLevel="2" ht="16" customHeight="1">
      <c r="A1449" s="891" t="inlineStr">
        <is>
          <t xml:space="preserve">      ▸ LOT INFORMATION</t>
        </is>
      </c>
      <c r="B1449" s="892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891" t="inlineStr">
        <is>
          <t xml:space="preserve">      ▸ FINANCIALS</t>
        </is>
      </c>
      <c r="B1456" s="892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891" t="inlineStr">
        <is>
          <t xml:space="preserve">      ▸ SECURITY DEPOSIT</t>
        </is>
      </c>
      <c r="B1469" s="892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891" t="inlineStr">
        <is>
          <t xml:space="preserve">      ▸ FINAL PAYMENT</t>
        </is>
      </c>
      <c r="B1473" s="892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891" t="inlineStr">
        <is>
          <t xml:space="preserve">      ▸ LPP</t>
        </is>
      </c>
      <c r="B1477" s="892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891" t="inlineStr">
        <is>
          <t xml:space="preserve">      ▸ SUMMARY</t>
        </is>
      </c>
      <c r="B1481" s="892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891" t="inlineStr">
        <is>
          <t xml:space="preserve">      ▸ DOCUMENT</t>
        </is>
      </c>
      <c r="B1485" s="892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889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890" t="n"/>
    </row>
    <row r="1490" outlineLevel="2" ht="16" customHeight="1">
      <c r="A1490" s="891" t="inlineStr">
        <is>
          <t xml:space="preserve">      ▸ LOT INFORMATION</t>
        </is>
      </c>
      <c r="B1490" s="892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891" t="inlineStr">
        <is>
          <t xml:space="preserve">      ▸ FINANCIALS</t>
        </is>
      </c>
      <c r="B1497" s="892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891" t="inlineStr">
        <is>
          <t xml:space="preserve">      ▸ SECURITY DEPOSIT</t>
        </is>
      </c>
      <c r="B1510" s="892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891" t="inlineStr">
        <is>
          <t xml:space="preserve">      ▸ FINAL PAYMENT</t>
        </is>
      </c>
      <c r="B1514" s="892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891" t="inlineStr">
        <is>
          <t xml:space="preserve">      ▸ LPP</t>
        </is>
      </c>
      <c r="B1518" s="892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891" t="inlineStr">
        <is>
          <t xml:space="preserve">      ▸ SUMMARY</t>
        </is>
      </c>
      <c r="B1522" s="892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891" t="inlineStr">
        <is>
          <t xml:space="preserve">      ▸ DOCUMENT</t>
        </is>
      </c>
      <c r="B1526" s="892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889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890" t="n"/>
    </row>
    <row r="1531" outlineLevel="2" ht="16" customHeight="1">
      <c r="A1531" s="891" t="inlineStr">
        <is>
          <t xml:space="preserve">      ▸ LOT INFORMATION</t>
        </is>
      </c>
      <c r="B1531" s="892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891" t="inlineStr">
        <is>
          <t xml:space="preserve">      ▸ FINANCIALS</t>
        </is>
      </c>
      <c r="B1538" s="892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891" t="inlineStr">
        <is>
          <t xml:space="preserve">      ▸ SECURITY DEPOSIT</t>
        </is>
      </c>
      <c r="B1551" s="892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891" t="inlineStr">
        <is>
          <t xml:space="preserve">      ▸ FINAL PAYMENT</t>
        </is>
      </c>
      <c r="B1555" s="892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891" t="inlineStr">
        <is>
          <t xml:space="preserve">      ▸ LPP</t>
        </is>
      </c>
      <c r="B1559" s="892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891" t="inlineStr">
        <is>
          <t xml:space="preserve">      ▸ SUMMARY</t>
        </is>
      </c>
      <c r="B1563" s="892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891" t="inlineStr">
        <is>
          <t xml:space="preserve">      ▸ DOCUMENT</t>
        </is>
      </c>
      <c r="B1567" s="892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889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890" t="n"/>
    </row>
    <row r="1572" outlineLevel="2" ht="16" customHeight="1">
      <c r="A1572" s="891" t="inlineStr">
        <is>
          <t xml:space="preserve">      ▸ LOT INFORMATION</t>
        </is>
      </c>
      <c r="B1572" s="892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891" t="inlineStr">
        <is>
          <t xml:space="preserve">      ▸ FINANCIALS</t>
        </is>
      </c>
      <c r="B1579" s="892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891" t="inlineStr">
        <is>
          <t xml:space="preserve">      ▸ SECURITY DEPOSIT</t>
        </is>
      </c>
      <c r="B1592" s="892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891" t="inlineStr">
        <is>
          <t xml:space="preserve">      ▸ FINAL PAYMENT</t>
        </is>
      </c>
      <c r="B1596" s="892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891" t="inlineStr">
        <is>
          <t xml:space="preserve">      ▸ LPP</t>
        </is>
      </c>
      <c r="B1600" s="892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891" t="inlineStr">
        <is>
          <t xml:space="preserve">      ▸ SUMMARY</t>
        </is>
      </c>
      <c r="B1604" s="892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891" t="inlineStr">
        <is>
          <t xml:space="preserve">      ▸ DOCUMENT</t>
        </is>
      </c>
      <c r="B1608" s="892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889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890" t="n"/>
    </row>
    <row r="1613" outlineLevel="2" ht="16" customHeight="1">
      <c r="A1613" s="891" t="inlineStr">
        <is>
          <t xml:space="preserve">      ▸ LOT INFORMATION</t>
        </is>
      </c>
      <c r="B1613" s="892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891" t="inlineStr">
        <is>
          <t xml:space="preserve">      ▸ FINANCIALS</t>
        </is>
      </c>
      <c r="B1620" s="892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891" t="inlineStr">
        <is>
          <t xml:space="preserve">      ▸ SECURITY DEPOSIT</t>
        </is>
      </c>
      <c r="B1633" s="892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891" t="inlineStr">
        <is>
          <t xml:space="preserve">      ▸ FINAL PAYMENT</t>
        </is>
      </c>
      <c r="B1637" s="892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891" t="inlineStr">
        <is>
          <t xml:space="preserve">      ▸ LPP</t>
        </is>
      </c>
      <c r="B1641" s="892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891" t="inlineStr">
        <is>
          <t xml:space="preserve">      ▸ SUMMARY</t>
        </is>
      </c>
      <c r="B1645" s="892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891" t="inlineStr">
        <is>
          <t xml:space="preserve">      ▸ DOCUMENT</t>
        </is>
      </c>
      <c r="B1649" s="892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893" t="inlineStr">
        <is>
          <t xml:space="preserve">   ∑  STERLING ENTERPRISES — TOTALS (all its lots)</t>
        </is>
      </c>
      <c r="B1653" s="888" t="n"/>
    </row>
    <row r="1654" outlineLevel="2" ht="15" customHeight="1">
      <c r="A1654" s="711" t="inlineStr">
        <is>
          <t xml:space="preserve">         Quantity</t>
        </is>
      </c>
      <c r="B1654" s="894">
        <f>SUMIF('Final Calculation Sheet'!$G$4:$G$1000,"STERLING ENTERPRISES",'Final Calculation Sheet'!$A$4:$A$1000)</f>
        <v/>
      </c>
    </row>
    <row r="1655" outlineLevel="2" ht="15" customHeight="1">
      <c r="A1655" s="711" t="inlineStr">
        <is>
          <t xml:space="preserve">         Mat. Value (₹)</t>
        </is>
      </c>
      <c r="B1655" s="895">
        <f>SUMIF('Final Calculation Sheet'!$G$4:$G$1000,"STERLING ENTERPRISES",'Final Calculation Sheet'!$H$4:$H$1000)</f>
        <v/>
      </c>
    </row>
    <row r="1656" outlineLevel="2" ht="15" customHeight="1">
      <c r="A1656" s="711" t="inlineStr">
        <is>
          <t xml:space="preserve">         GST @ 18% (₹)</t>
        </is>
      </c>
      <c r="B1656" s="895">
        <f>SUMIF('Final Calculation Sheet'!$G$4:$G$1000,"STERLING ENTERPRISES",'Final Calculation Sheet'!$I$4:$I$1000)</f>
        <v/>
      </c>
    </row>
    <row r="1657" outlineLevel="2" ht="15" customHeight="1">
      <c r="A1657" s="711" t="inlineStr">
        <is>
          <t xml:space="preserve">         Mat. Value + GST (₹)</t>
        </is>
      </c>
      <c r="B1657" s="895">
        <f>SUMIF('Final Calculation Sheet'!$G$4:$G$1000,"STERLING ENTERPRISES",'Final Calculation Sheet'!$J$4:$J$1000)</f>
        <v/>
      </c>
    </row>
    <row r="1658" outlineLevel="2" ht="15" customHeight="1">
      <c r="A1658" s="711" t="inlineStr">
        <is>
          <t xml:space="preserve">         TCS @ 2% (₹)</t>
        </is>
      </c>
      <c r="B1658" s="895">
        <f>SUMIF('Final Calculation Sheet'!$G$4:$G$1000,"STERLING ENTERPRISES",'Final Calculation Sheet'!$K$4:$K$1000)</f>
        <v/>
      </c>
    </row>
    <row r="1659" outlineLevel="2" ht="15" customHeight="1">
      <c r="A1659" s="711" t="inlineStr">
        <is>
          <t xml:space="preserve">         TDS u/s 194(O) (₹)</t>
        </is>
      </c>
      <c r="B1659" s="896">
        <f>SUMIF('Final Calculation Sheet'!$G$4:$G$1000,"STERLING ENTERPRISES",'Final Calculation Sheet'!$L$4:$L$1000)</f>
        <v/>
      </c>
    </row>
    <row r="1660" outlineLevel="2" ht="15" customHeight="1">
      <c r="A1660" s="711" t="inlineStr">
        <is>
          <t xml:space="preserve">         Service Charge gross (₹)</t>
        </is>
      </c>
      <c r="B1660" s="896">
        <f>SUMIF('Final Calculation Sheet'!$G$4:$G$1000,"STERLING ENTERPRISES",'Final Calculation Sheet'!$M$4:$M$1000)</f>
        <v/>
      </c>
    </row>
    <row r="1661" outlineLevel="2" ht="15" customHeight="1">
      <c r="A1661" s="711" t="inlineStr">
        <is>
          <t xml:space="preserve">         TDS u/s 194(H) (₹)</t>
        </is>
      </c>
      <c r="B1661" s="896">
        <f>SUMIF('Final Calculation Sheet'!$G$4:$G$1000,"STERLING ENTERPRISES",'Final Calculation Sheet'!$N$4:$N$1000)</f>
        <v/>
      </c>
    </row>
    <row r="1662" outlineLevel="2" ht="15" customHeight="1">
      <c r="A1662" s="711" t="inlineStr">
        <is>
          <t xml:space="preserve">         Net Service Charge (₹)</t>
        </is>
      </c>
      <c r="B1662" s="896">
        <f>SUMIF('Final Calculation Sheet'!$G$4:$G$1000,"STERLING ENTERPRISES",'Final Calculation Sheet'!$O$4:$O$1000)</f>
        <v/>
      </c>
    </row>
    <row r="1663" outlineLevel="2" ht="15" customHeight="1">
      <c r="A1663" s="711" t="inlineStr">
        <is>
          <t xml:space="preserve">         Svc Charge to MSTC (₹)</t>
        </is>
      </c>
      <c r="B1663" s="895">
        <f>SUMIF('Final Calculation Sheet'!$G$4:$G$1000,"STERLING ENTERPRISES",'Final Calculation Sheet'!$P$4:$P$1000)</f>
        <v/>
      </c>
    </row>
    <row r="1664" outlineLevel="2" ht="15" customHeight="1">
      <c r="A1664" s="711" t="inlineStr">
        <is>
          <t xml:space="preserve">         GST TDS (₹)</t>
        </is>
      </c>
      <c r="B1664" s="895">
        <f>SUMIF('Final Calculation Sheet'!$G$4:$G$1000,"STERLING ENTERPRISES",'Final Calculation Sheet'!$R$4:$R$1000)</f>
        <v/>
      </c>
    </row>
    <row r="1665" outlineLevel="2" ht="15" customHeight="1">
      <c r="A1665" s="711" t="inlineStr">
        <is>
          <t xml:space="preserve">         Total Receivables (₹)</t>
        </is>
      </c>
      <c r="B1665" s="895">
        <f>SUMIF('Final Calculation Sheet'!$G$4:$G$1000,"STERLING ENTERPRISES",'Final Calculation Sheet'!$S$4:$S$1000)</f>
        <v/>
      </c>
    </row>
    <row r="1666" outlineLevel="2" ht="15" customHeight="1">
      <c r="A1666" s="711" t="inlineStr">
        <is>
          <t xml:space="preserve">         SD Expected (₹)</t>
        </is>
      </c>
      <c r="B1666" s="895">
        <f>SUMIF('Final Calculation Sheet'!$G$4:$G$1000,"STERLING ENTERPRISES",'Final Calculation Sheet'!$T$4:$T$1000)</f>
        <v/>
      </c>
    </row>
    <row r="1667" outlineLevel="2" ht="15" customHeight="1">
      <c r="A1667" s="711" t="inlineStr">
        <is>
          <t xml:space="preserve">         SD Received (₹)</t>
        </is>
      </c>
      <c r="B1667" s="895">
        <f>SUMIF('Final Calculation Sheet'!$G$4:$G$1000,"STERLING ENTERPRISES",'Final Calculation Sheet'!$U$4:$U$1000)</f>
        <v/>
      </c>
    </row>
    <row r="1668" outlineLevel="2" ht="15" customHeight="1">
      <c r="A1668" s="711" t="inlineStr">
        <is>
          <t xml:space="preserve">         FP Expected (₹)</t>
        </is>
      </c>
      <c r="B1668" s="895">
        <f>SUMIF('Final Calculation Sheet'!$G$4:$G$1000,"STERLING ENTERPRISES",'Final Calculation Sheet'!$W$4:$W$1000)</f>
        <v/>
      </c>
    </row>
    <row r="1669" outlineLevel="2" ht="15" customHeight="1">
      <c r="A1669" s="711" t="inlineStr">
        <is>
          <t xml:space="preserve">         FP Received (₹)</t>
        </is>
      </c>
      <c r="B1669" s="895">
        <f>SUMIF('Final Calculation Sheet'!$G$4:$G$1000,"STERLING ENTERPRISES",'Final Calculation Sheet'!$X$4:$X$1000)</f>
        <v/>
      </c>
    </row>
    <row r="1670" outlineLevel="2" ht="15" customHeight="1">
      <c r="A1670" s="711" t="inlineStr">
        <is>
          <t xml:space="preserve">         LPP Expected (₹)</t>
        </is>
      </c>
      <c r="B1670" s="895">
        <f>SUMIF('Final Calculation Sheet'!$G$4:$G$1000,"STERLING ENTERPRISES",'Final Calculation Sheet'!$Z$4:$Z$1000)</f>
        <v/>
      </c>
    </row>
    <row r="1671" outlineLevel="2" ht="15" customHeight="1">
      <c r="A1671" s="711" t="inlineStr">
        <is>
          <t xml:space="preserve">         LPP Received (₹)</t>
        </is>
      </c>
      <c r="B1671" s="895">
        <f>SUMIF('Final Calculation Sheet'!$G$4:$G$1000,"STERLING ENTERPRISES",'Final Calculation Sheet'!$AA$4:$AA$1000)</f>
        <v/>
      </c>
    </row>
    <row r="1672" outlineLevel="2" ht="15" customHeight="1">
      <c r="A1672" s="711" t="inlineStr">
        <is>
          <t xml:space="preserve">         Total Received (₹)</t>
        </is>
      </c>
      <c r="B1672" s="895">
        <f>SUMIF('Final Calculation Sheet'!$G$4:$G$1000,"STERLING ENTERPRISES",'Final Calculation Sheet'!$AC$4:$AC$1000)</f>
        <v/>
      </c>
    </row>
    <row r="1673" outlineLevel="2" ht="15" customHeight="1">
      <c r="A1673" s="711" t="inlineStr">
        <is>
          <t xml:space="preserve">         Outstanding (₹)</t>
        </is>
      </c>
      <c r="B1673" s="895">
        <f>SUMIF('Final Calculation Sheet'!$G$4:$G$1000,"STERLING ENTERPRISES",'Final Calculation Sheet'!$AD$4:$AD$1000)</f>
        <v/>
      </c>
    </row>
    <row r="1674" ht="7" customHeight="1">
      <c r="A1674" s="866" t="n"/>
      <c r="B1674" s="866" t="n"/>
    </row>
    <row r="1675" ht="24" customHeight="1">
      <c r="A1675" s="89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898" t="n"/>
    </row>
    <row r="1676" outlineLevel="1" ht="20" customHeight="1">
      <c r="A1676" s="899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900" t="n"/>
    </row>
    <row r="1677" outlineLevel="2" ht="16" customHeight="1">
      <c r="A1677" s="901" t="inlineStr">
        <is>
          <t xml:space="preserve">      ▸ LOT INFORMATION</t>
        </is>
      </c>
      <c r="B1677" s="902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901" t="inlineStr">
        <is>
          <t xml:space="preserve">      ▸ FINANCIALS</t>
        </is>
      </c>
      <c r="B1684" s="902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901" t="inlineStr">
        <is>
          <t xml:space="preserve">      ▸ SECURITY DEPOSIT</t>
        </is>
      </c>
      <c r="B1697" s="902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901" t="inlineStr">
        <is>
          <t xml:space="preserve">      ▸ FINAL PAYMENT</t>
        </is>
      </c>
      <c r="B1701" s="902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901" t="inlineStr">
        <is>
          <t xml:space="preserve">      ▸ LPP</t>
        </is>
      </c>
      <c r="B1705" s="902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901" t="inlineStr">
        <is>
          <t xml:space="preserve">      ▸ SUMMARY</t>
        </is>
      </c>
      <c r="B1709" s="902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901" t="inlineStr">
        <is>
          <t xml:space="preserve">      ▸ DOCUMENT</t>
        </is>
      </c>
      <c r="B1713" s="902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899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900" t="n"/>
    </row>
    <row r="1718" outlineLevel="2" ht="16" customHeight="1">
      <c r="A1718" s="901" t="inlineStr">
        <is>
          <t xml:space="preserve">      ▸ LOT INFORMATION</t>
        </is>
      </c>
      <c r="B1718" s="902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901" t="inlineStr">
        <is>
          <t xml:space="preserve">      ▸ FINANCIALS</t>
        </is>
      </c>
      <c r="B1725" s="902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901" t="inlineStr">
        <is>
          <t xml:space="preserve">      ▸ SECURITY DEPOSIT</t>
        </is>
      </c>
      <c r="B1738" s="902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901" t="inlineStr">
        <is>
          <t xml:space="preserve">      ▸ FINAL PAYMENT</t>
        </is>
      </c>
      <c r="B1742" s="902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901" t="inlineStr">
        <is>
          <t xml:space="preserve">      ▸ LPP</t>
        </is>
      </c>
      <c r="B1746" s="902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901" t="inlineStr">
        <is>
          <t xml:space="preserve">      ▸ SUMMARY</t>
        </is>
      </c>
      <c r="B1750" s="902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901" t="inlineStr">
        <is>
          <t xml:space="preserve">      ▸ DOCUMENT</t>
        </is>
      </c>
      <c r="B1754" s="902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899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900" t="n"/>
    </row>
    <row r="1759" outlineLevel="2" ht="16" customHeight="1">
      <c r="A1759" s="901" t="inlineStr">
        <is>
          <t xml:space="preserve">      ▸ LOT INFORMATION</t>
        </is>
      </c>
      <c r="B1759" s="902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901" t="inlineStr">
        <is>
          <t xml:space="preserve">      ▸ FINANCIALS</t>
        </is>
      </c>
      <c r="B1766" s="902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901" t="inlineStr">
        <is>
          <t xml:space="preserve">      ▸ SECURITY DEPOSIT</t>
        </is>
      </c>
      <c r="B1779" s="902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901" t="inlineStr">
        <is>
          <t xml:space="preserve">      ▸ FINAL PAYMENT</t>
        </is>
      </c>
      <c r="B1783" s="902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901" t="inlineStr">
        <is>
          <t xml:space="preserve">      ▸ LPP</t>
        </is>
      </c>
      <c r="B1787" s="902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901" t="inlineStr">
        <is>
          <t xml:space="preserve">      ▸ SUMMARY</t>
        </is>
      </c>
      <c r="B1791" s="902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901" t="inlineStr">
        <is>
          <t xml:space="preserve">      ▸ DOCUMENT</t>
        </is>
      </c>
      <c r="B1795" s="902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903" t="inlineStr">
        <is>
          <t xml:space="preserve">   ∑  WATAN SCRAP TRADERS — TOTALS (all its lots)</t>
        </is>
      </c>
      <c r="B1799" s="898" t="n"/>
    </row>
    <row r="1800" outlineLevel="2" ht="15" customHeight="1">
      <c r="A1800" s="712" t="inlineStr">
        <is>
          <t xml:space="preserve">         Quantity</t>
        </is>
      </c>
      <c r="B1800" s="904">
        <f>SUMIF('Final Calculation Sheet'!$G$4:$G$1000,"WATAN SCRAP TRADERS",'Final Calculation Sheet'!$A$4:$A$1000)</f>
        <v/>
      </c>
    </row>
    <row r="1801" outlineLevel="2" ht="15" customHeight="1">
      <c r="A1801" s="712" t="inlineStr">
        <is>
          <t xml:space="preserve">         Mat. Value (₹)</t>
        </is>
      </c>
      <c r="B1801" s="905">
        <f>SUMIF('Final Calculation Sheet'!$G$4:$G$1000,"WATAN SCRAP TRADERS",'Final Calculation Sheet'!$H$4:$H$1000)</f>
        <v/>
      </c>
    </row>
    <row r="1802" outlineLevel="2" ht="15" customHeight="1">
      <c r="A1802" s="712" t="inlineStr">
        <is>
          <t xml:space="preserve">         GST @ 18% (₹)</t>
        </is>
      </c>
      <c r="B1802" s="905">
        <f>SUMIF('Final Calculation Sheet'!$G$4:$G$1000,"WATAN SCRAP TRADERS",'Final Calculation Sheet'!$I$4:$I$1000)</f>
        <v/>
      </c>
    </row>
    <row r="1803" outlineLevel="2" ht="15" customHeight="1">
      <c r="A1803" s="712" t="inlineStr">
        <is>
          <t xml:space="preserve">         Mat. Value + GST (₹)</t>
        </is>
      </c>
      <c r="B1803" s="905">
        <f>SUMIF('Final Calculation Sheet'!$G$4:$G$1000,"WATAN SCRAP TRADERS",'Final Calculation Sheet'!$J$4:$J$1000)</f>
        <v/>
      </c>
    </row>
    <row r="1804" outlineLevel="2" ht="15" customHeight="1">
      <c r="A1804" s="712" t="inlineStr">
        <is>
          <t xml:space="preserve">         TCS @ 2% (₹)</t>
        </is>
      </c>
      <c r="B1804" s="905">
        <f>SUMIF('Final Calculation Sheet'!$G$4:$G$1000,"WATAN SCRAP TRADERS",'Final Calculation Sheet'!$K$4:$K$1000)</f>
        <v/>
      </c>
    </row>
    <row r="1805" outlineLevel="2" ht="15" customHeight="1">
      <c r="A1805" s="712" t="inlineStr">
        <is>
          <t xml:space="preserve">         TDS u/s 194(O) (₹)</t>
        </is>
      </c>
      <c r="B1805" s="906">
        <f>SUMIF('Final Calculation Sheet'!$G$4:$G$1000,"WATAN SCRAP TRADERS",'Final Calculation Sheet'!$L$4:$L$1000)</f>
        <v/>
      </c>
    </row>
    <row r="1806" outlineLevel="2" ht="15" customHeight="1">
      <c r="A1806" s="712" t="inlineStr">
        <is>
          <t xml:space="preserve">         Service Charge gross (₹)</t>
        </is>
      </c>
      <c r="B1806" s="906">
        <f>SUMIF('Final Calculation Sheet'!$G$4:$G$1000,"WATAN SCRAP TRADERS",'Final Calculation Sheet'!$M$4:$M$1000)</f>
        <v/>
      </c>
    </row>
    <row r="1807" outlineLevel="2" ht="15" customHeight="1">
      <c r="A1807" s="712" t="inlineStr">
        <is>
          <t xml:space="preserve">         TDS u/s 194(H) (₹)</t>
        </is>
      </c>
      <c r="B1807" s="906">
        <f>SUMIF('Final Calculation Sheet'!$G$4:$G$1000,"WATAN SCRAP TRADERS",'Final Calculation Sheet'!$N$4:$N$1000)</f>
        <v/>
      </c>
    </row>
    <row r="1808" outlineLevel="2" ht="15" customHeight="1">
      <c r="A1808" s="712" t="inlineStr">
        <is>
          <t xml:space="preserve">         Net Service Charge (₹)</t>
        </is>
      </c>
      <c r="B1808" s="906">
        <f>SUMIF('Final Calculation Sheet'!$G$4:$G$1000,"WATAN SCRAP TRADERS",'Final Calculation Sheet'!$O$4:$O$1000)</f>
        <v/>
      </c>
    </row>
    <row r="1809" outlineLevel="2" ht="15" customHeight="1">
      <c r="A1809" s="712" t="inlineStr">
        <is>
          <t xml:space="preserve">         Svc Charge to MSTC (₹)</t>
        </is>
      </c>
      <c r="B1809" s="905">
        <f>SUMIF('Final Calculation Sheet'!$G$4:$G$1000,"WATAN SCRAP TRADERS",'Final Calculation Sheet'!$P$4:$P$1000)</f>
        <v/>
      </c>
    </row>
    <row r="1810" outlineLevel="2" ht="15" customHeight="1">
      <c r="A1810" s="712" t="inlineStr">
        <is>
          <t xml:space="preserve">         GST TDS (₹)</t>
        </is>
      </c>
      <c r="B1810" s="905">
        <f>SUMIF('Final Calculation Sheet'!$G$4:$G$1000,"WATAN SCRAP TRADERS",'Final Calculation Sheet'!$R$4:$R$1000)</f>
        <v/>
      </c>
    </row>
    <row r="1811" outlineLevel="2" ht="15" customHeight="1">
      <c r="A1811" s="712" t="inlineStr">
        <is>
          <t xml:space="preserve">         Total Receivables (₹)</t>
        </is>
      </c>
      <c r="B1811" s="905">
        <f>SUMIF('Final Calculation Sheet'!$G$4:$G$1000,"WATAN SCRAP TRADERS",'Final Calculation Sheet'!$S$4:$S$1000)</f>
        <v/>
      </c>
    </row>
    <row r="1812" outlineLevel="2" ht="15" customHeight="1">
      <c r="A1812" s="712" t="inlineStr">
        <is>
          <t xml:space="preserve">         SD Expected (₹)</t>
        </is>
      </c>
      <c r="B1812" s="905">
        <f>SUMIF('Final Calculation Sheet'!$G$4:$G$1000,"WATAN SCRAP TRADERS",'Final Calculation Sheet'!$T$4:$T$1000)</f>
        <v/>
      </c>
    </row>
    <row r="1813" outlineLevel="2" ht="15" customHeight="1">
      <c r="A1813" s="712" t="inlineStr">
        <is>
          <t xml:space="preserve">         SD Received (₹)</t>
        </is>
      </c>
      <c r="B1813" s="905">
        <f>SUMIF('Final Calculation Sheet'!$G$4:$G$1000,"WATAN SCRAP TRADERS",'Final Calculation Sheet'!$U$4:$U$1000)</f>
        <v/>
      </c>
    </row>
    <row r="1814" outlineLevel="2" ht="15" customHeight="1">
      <c r="A1814" s="712" t="inlineStr">
        <is>
          <t xml:space="preserve">         FP Expected (₹)</t>
        </is>
      </c>
      <c r="B1814" s="905">
        <f>SUMIF('Final Calculation Sheet'!$G$4:$G$1000,"WATAN SCRAP TRADERS",'Final Calculation Sheet'!$W$4:$W$1000)</f>
        <v/>
      </c>
    </row>
    <row r="1815" outlineLevel="2" ht="15" customHeight="1">
      <c r="A1815" s="712" t="inlineStr">
        <is>
          <t xml:space="preserve">         FP Received (₹)</t>
        </is>
      </c>
      <c r="B1815" s="905">
        <f>SUMIF('Final Calculation Sheet'!$G$4:$G$1000,"WATAN SCRAP TRADERS",'Final Calculation Sheet'!$X$4:$X$1000)</f>
        <v/>
      </c>
    </row>
    <row r="1816" outlineLevel="2" ht="15" customHeight="1">
      <c r="A1816" s="712" t="inlineStr">
        <is>
          <t xml:space="preserve">         LPP Expected (₹)</t>
        </is>
      </c>
      <c r="B1816" s="905">
        <f>SUMIF('Final Calculation Sheet'!$G$4:$G$1000,"WATAN SCRAP TRADERS",'Final Calculation Sheet'!$Z$4:$Z$1000)</f>
        <v/>
      </c>
    </row>
    <row r="1817" outlineLevel="2" ht="15" customHeight="1">
      <c r="A1817" s="712" t="inlineStr">
        <is>
          <t xml:space="preserve">         LPP Received (₹)</t>
        </is>
      </c>
      <c r="B1817" s="905">
        <f>SUMIF('Final Calculation Sheet'!$G$4:$G$1000,"WATAN SCRAP TRADERS",'Final Calculation Sheet'!$AA$4:$AA$1000)</f>
        <v/>
      </c>
    </row>
    <row r="1818" outlineLevel="2" ht="15" customHeight="1">
      <c r="A1818" s="712" t="inlineStr">
        <is>
          <t xml:space="preserve">         Total Received (₹)</t>
        </is>
      </c>
      <c r="B1818" s="905">
        <f>SUMIF('Final Calculation Sheet'!$G$4:$G$1000,"WATAN SCRAP TRADERS",'Final Calculation Sheet'!$AC$4:$AC$1000)</f>
        <v/>
      </c>
    </row>
    <row r="1819" outlineLevel="2" ht="15" customHeight="1">
      <c r="A1819" s="712" t="inlineStr">
        <is>
          <t xml:space="preserve">         Outstanding (₹)</t>
        </is>
      </c>
      <c r="B1819" s="905">
        <f>SUMIF('Final Calculation Sheet'!$G$4:$G$1000,"WATAN SCRAP TRADERS",'Final Calculation Sheet'!$AD$4:$AD$1000)</f>
        <v/>
      </c>
    </row>
    <row r="1820" ht="7" customHeight="1">
      <c r="A1820" s="866" t="n"/>
      <c r="B1820" s="866" t="n"/>
    </row>
    <row r="1821" ht="24" customHeight="1">
      <c r="A1821" s="939" t="inlineStr">
        <is>
          <t>∑∑  ALL BUYERS — GRAND TOTAL</t>
        </is>
      </c>
      <c r="B1821" s="940" t="n"/>
    </row>
    <row r="1822" outlineLevel="1" ht="15" customHeight="1">
      <c r="A1822" s="708" t="inlineStr">
        <is>
          <t xml:space="preserve">      Quantity</t>
        </is>
      </c>
      <c r="B1822" s="941">
        <f>B48+B153+B217+B281+B345+B901+B965+B1070+B1175+B1239+B1344+B1654+B1800</f>
        <v/>
      </c>
    </row>
    <row r="1823" outlineLevel="1" ht="15" customHeight="1">
      <c r="A1823" s="708" t="inlineStr">
        <is>
          <t xml:space="preserve">      Mat. Value (₹)</t>
        </is>
      </c>
      <c r="B1823" s="942">
        <f>B49+B154+B218+B282+B346+B902+B966+B1071+B1176+B1240+B1345+B1655+B1801</f>
        <v/>
      </c>
    </row>
    <row r="1824" outlineLevel="1" ht="15" customHeight="1">
      <c r="A1824" s="708" t="inlineStr">
        <is>
          <t xml:space="preserve">      GST @ 18% (₹)</t>
        </is>
      </c>
      <c r="B1824" s="942">
        <f>B50+B155+B219+B283+B347+B903+B967+B1072+B1177+B1241+B1346+B1656+B1802</f>
        <v/>
      </c>
    </row>
    <row r="1825" outlineLevel="1" ht="15" customHeight="1">
      <c r="A1825" s="708" t="inlineStr">
        <is>
          <t xml:space="preserve">      Mat. Value + GST (₹)</t>
        </is>
      </c>
      <c r="B1825" s="942">
        <f>B51+B156+B220+B284+B348+B904+B968+B1073+B1178+B1242+B1347+B1657+B1803</f>
        <v/>
      </c>
    </row>
    <row r="1826" outlineLevel="1" ht="15" customHeight="1">
      <c r="A1826" s="708" t="inlineStr">
        <is>
          <t xml:space="preserve">      TCS @ 2% (₹)</t>
        </is>
      </c>
      <c r="B1826" s="942">
        <f>B52+B157+B221+B285+B349+B905+B969+B1074+B1179+B1243+B1348+B1658+B1804</f>
        <v/>
      </c>
    </row>
    <row r="1827" outlineLevel="1" ht="15" customHeight="1">
      <c r="A1827" s="708" t="inlineStr">
        <is>
          <t xml:space="preserve">      TDS u/s 194(O) (₹)</t>
        </is>
      </c>
      <c r="B1827" s="943">
        <f>B53+B158+B222+B286+B350+B906+B970+B1075+B1180+B1244+B1349+B1659+B1805</f>
        <v/>
      </c>
    </row>
    <row r="1828" outlineLevel="1" ht="15" customHeight="1">
      <c r="A1828" s="708" t="inlineStr">
        <is>
          <t xml:space="preserve">      Service Charge gross (₹)</t>
        </is>
      </c>
      <c r="B1828" s="943">
        <f>B54+B159+B223+B287+B351+B907+B971+B1076+B1181+B1245+B1350+B1660+B1806</f>
        <v/>
      </c>
    </row>
    <row r="1829" outlineLevel="1" ht="15" customHeight="1">
      <c r="A1829" s="708" t="inlineStr">
        <is>
          <t xml:space="preserve">      TDS u/s 194(H) (₹)</t>
        </is>
      </c>
      <c r="B1829" s="943">
        <f>B55+B160+B224+B288+B352+B908+B972+B1077+B1182+B1246+B1351+B1661+B1807</f>
        <v/>
      </c>
    </row>
    <row r="1830" outlineLevel="1" ht="15" customHeight="1">
      <c r="A1830" s="708" t="inlineStr">
        <is>
          <t xml:space="preserve">      Net Service Charge (₹)</t>
        </is>
      </c>
      <c r="B1830" s="943">
        <f>B56+B161+B225+B289+B353+B909+B973+B1078+B1183+B1247+B1352+B1662+B1808</f>
        <v/>
      </c>
    </row>
    <row r="1831" outlineLevel="1" ht="15" customHeight="1">
      <c r="A1831" s="708" t="inlineStr">
        <is>
          <t xml:space="preserve">      Svc Charge to MSTC (₹)</t>
        </is>
      </c>
      <c r="B1831" s="942">
        <f>B57+B162+B226+B290+B354+B910+B974+B1079+B1184+B1248+B1353+B1663+B1809</f>
        <v/>
      </c>
    </row>
    <row r="1832" outlineLevel="1" ht="15" customHeight="1">
      <c r="A1832" s="708" t="inlineStr">
        <is>
          <t xml:space="preserve">      GST TDS (₹)</t>
        </is>
      </c>
      <c r="B1832" s="942">
        <f>B58+B163+B227+B291+B355+B911+B975+B1080+B1185+B1249+B1354+B1664+B1810</f>
        <v/>
      </c>
    </row>
    <row r="1833" outlineLevel="1" ht="15" customHeight="1">
      <c r="A1833" s="708" t="inlineStr">
        <is>
          <t xml:space="preserve">      Total Receivables (₹)</t>
        </is>
      </c>
      <c r="B1833" s="942">
        <f>B59+B164+B228+B292+B356+B912+B976+B1081+B1186+B1250+B1355+B1665+B1811</f>
        <v/>
      </c>
    </row>
    <row r="1834" outlineLevel="1" ht="15" customHeight="1">
      <c r="A1834" s="708" t="inlineStr">
        <is>
          <t xml:space="preserve">      SD Expected (₹)</t>
        </is>
      </c>
      <c r="B1834" s="942">
        <f>B60+B165+B229+B293+B357+B913+B977+B1082+B1187+B1251+B1356+B1666+B1812</f>
        <v/>
      </c>
    </row>
    <row r="1835" outlineLevel="1" ht="15" customHeight="1">
      <c r="A1835" s="708" t="inlineStr">
        <is>
          <t xml:space="preserve">      SD Received (₹)</t>
        </is>
      </c>
      <c r="B1835" s="942">
        <f>B61+B166+B230+B294+B358+B914+B978+B1083+B1188+B1252+B1357+B1667+B1813</f>
        <v/>
      </c>
    </row>
    <row r="1836" outlineLevel="1" ht="15" customHeight="1">
      <c r="A1836" s="708" t="inlineStr">
        <is>
          <t xml:space="preserve">      FP Expected (₹)</t>
        </is>
      </c>
      <c r="B1836" s="942">
        <f>B62+B167+B231+B295+B359+B915+B979+B1084+B1189+B1253+B1358+B1668+B1814</f>
        <v/>
      </c>
    </row>
    <row r="1837" outlineLevel="1" ht="15" customHeight="1">
      <c r="A1837" s="708" t="inlineStr">
        <is>
          <t xml:space="preserve">      FP Received (₹)</t>
        </is>
      </c>
      <c r="B1837" s="942">
        <f>B63+B168+B232+B296+B360+B916+B980+B1085+B1190+B1254+B1359+B1669+B1815</f>
        <v/>
      </c>
    </row>
    <row r="1838" outlineLevel="1" ht="15" customHeight="1">
      <c r="A1838" s="708" t="inlineStr">
        <is>
          <t xml:space="preserve">      LPP Expected (₹)</t>
        </is>
      </c>
      <c r="B1838" s="942">
        <f>B64+B169+B233+B297+B361+B917+B981+B1086+B1191+B1255+B1360+B1670+B1816</f>
        <v/>
      </c>
    </row>
    <row r="1839" outlineLevel="1" ht="15" customHeight="1">
      <c r="A1839" s="708" t="inlineStr">
        <is>
          <t xml:space="preserve">      LPP Received (₹)</t>
        </is>
      </c>
      <c r="B1839" s="942">
        <f>B65+B170+B234+B298+B362+B918+B982+B1087+B1192+B1256+B1361+B1671+B1817</f>
        <v/>
      </c>
    </row>
    <row r="1840" outlineLevel="1" ht="15" customHeight="1">
      <c r="A1840" s="708" t="inlineStr">
        <is>
          <t xml:space="preserve">      Total Received (₹)</t>
        </is>
      </c>
      <c r="B1840" s="942">
        <f>B66+B171+B235+B299+B363+B919+B983+B1088+B1193+B1257+B1362+B1672+B1818</f>
        <v/>
      </c>
    </row>
    <row r="1841" outlineLevel="1" ht="15" customHeight="1">
      <c r="A1841" s="708" t="inlineStr">
        <is>
          <t xml:space="preserve">      Outstanding (₹)</t>
        </is>
      </c>
      <c r="B1841" s="942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658" t="inlineStr">
        <is>
          <t>MSTC LIMITED  •  BUYER × LOT COLLAPSIBLE VIEW   (fields ↓ rows  |  lots → columns)</t>
        </is>
      </c>
    </row>
    <row r="2" ht="18" customHeight="1">
      <c r="A2" s="944" t="inlineStr">
        <is>
          <t>Auctions 21977 • 21978 • 21979 • 21980   —   every figure below is a live link to 'Final Calculation Sheet'</t>
        </is>
      </c>
    </row>
    <row r="3" ht="32" customHeight="1">
      <c r="A3" s="659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855" t="inlineStr">
        <is>
          <t>FIELD  ▸  BUYER  |  LOT →</t>
        </is>
      </c>
      <c r="B5" s="855" t="inlineStr">
        <is>
          <t>LOT 1</t>
        </is>
      </c>
      <c r="C5" s="855" t="inlineStr">
        <is>
          <t>LOT 2</t>
        </is>
      </c>
      <c r="D5" s="855" t="inlineStr">
        <is>
          <t>LOT 3</t>
        </is>
      </c>
      <c r="E5" s="855" t="inlineStr">
        <is>
          <t>LOT 4</t>
        </is>
      </c>
      <c r="F5" s="855" t="inlineStr">
        <is>
          <t>LOT 5</t>
        </is>
      </c>
      <c r="G5" s="855" t="inlineStr">
        <is>
          <t>LOT 6</t>
        </is>
      </c>
      <c r="H5" s="855" t="inlineStr">
        <is>
          <t>LOT 7</t>
        </is>
      </c>
      <c r="I5" s="855" t="inlineStr">
        <is>
          <t>LOT 8</t>
        </is>
      </c>
      <c r="J5" s="855" t="inlineStr">
        <is>
          <t>LOT 9</t>
        </is>
      </c>
      <c r="K5" s="855" t="inlineStr">
        <is>
          <t>LOT 10</t>
        </is>
      </c>
      <c r="L5" s="855" t="inlineStr">
        <is>
          <t>LOT 11</t>
        </is>
      </c>
      <c r="M5" s="855" t="inlineStr">
        <is>
          <t>LOT 12</t>
        </is>
      </c>
      <c r="N5" s="855" t="inlineStr">
        <is>
          <t>LOT 13</t>
        </is>
      </c>
      <c r="O5" s="855" t="inlineStr">
        <is>
          <t>BUYER TOTAL</t>
        </is>
      </c>
    </row>
    <row r="6" ht="24" customHeight="1">
      <c r="A6" s="856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945" t="inlineStr">
        <is>
          <t xml:space="preserve">   Lot No. →</t>
        </is>
      </c>
      <c r="B7" s="946">
        <f>IF('Final Calculation Sheet'!$F$4="","",'Final Calculation Sheet'!$F$4)</f>
        <v/>
      </c>
      <c r="C7" s="859" t="n"/>
      <c r="D7" s="859" t="n"/>
      <c r="E7" s="859" t="n"/>
      <c r="F7" s="859" t="n"/>
      <c r="G7" s="859" t="n"/>
      <c r="H7" s="859" t="n"/>
      <c r="I7" s="859" t="n"/>
      <c r="J7" s="859" t="n"/>
      <c r="K7" s="859" t="n"/>
      <c r="L7" s="859" t="n"/>
      <c r="M7" s="859" t="n"/>
      <c r="N7" s="859" t="n"/>
      <c r="O7" s="947" t="inlineStr">
        <is>
          <t>TOTAL</t>
        </is>
      </c>
    </row>
    <row r="8" outlineLevel="1" ht="16" customHeight="1">
      <c r="A8" s="945" t="inlineStr">
        <is>
          <t xml:space="preserve">  ▸ LOT INFORMATION</t>
        </is>
      </c>
      <c r="B8" s="859" t="n"/>
      <c r="C8" s="859" t="n"/>
      <c r="D8" s="859" t="n"/>
      <c r="E8" s="859" t="n"/>
      <c r="F8" s="859" t="n"/>
      <c r="G8" s="859" t="n"/>
      <c r="H8" s="859" t="n"/>
      <c r="I8" s="859" t="n"/>
      <c r="J8" s="859" t="n"/>
      <c r="K8" s="859" t="n"/>
      <c r="L8" s="859" t="n"/>
      <c r="M8" s="859" t="n"/>
      <c r="N8" s="859" t="n"/>
      <c r="O8" s="859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948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948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948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949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948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948" t="inlineStr">
        <is>
          <t>–</t>
        </is>
      </c>
    </row>
    <row r="15" outlineLevel="1" ht="16" customHeight="1">
      <c r="A15" s="945" t="inlineStr">
        <is>
          <t xml:space="preserve">  ▸ FINANCIALS</t>
        </is>
      </c>
      <c r="B15" s="859" t="n"/>
      <c r="C15" s="859" t="n"/>
      <c r="D15" s="859" t="n"/>
      <c r="E15" s="859" t="n"/>
      <c r="F15" s="859" t="n"/>
      <c r="G15" s="859" t="n"/>
      <c r="H15" s="859" t="n"/>
      <c r="I15" s="859" t="n"/>
      <c r="J15" s="859" t="n"/>
      <c r="K15" s="859" t="n"/>
      <c r="L15" s="859" t="n"/>
      <c r="M15" s="859" t="n"/>
      <c r="N15" s="859" t="n"/>
      <c r="O15" s="859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950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950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950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950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951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951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951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951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950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948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950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950">
        <f>SUM(B27:N27)</f>
        <v/>
      </c>
    </row>
    <row r="28" outlineLevel="1" ht="16" customHeight="1">
      <c r="A28" s="945" t="inlineStr">
        <is>
          <t xml:space="preserve">  ▸ SECURITY DEPOSIT</t>
        </is>
      </c>
      <c r="B28" s="859" t="n"/>
      <c r="C28" s="859" t="n"/>
      <c r="D28" s="859" t="n"/>
      <c r="E28" s="859" t="n"/>
      <c r="F28" s="859" t="n"/>
      <c r="G28" s="859" t="n"/>
      <c r="H28" s="859" t="n"/>
      <c r="I28" s="859" t="n"/>
      <c r="J28" s="859" t="n"/>
      <c r="K28" s="859" t="n"/>
      <c r="L28" s="859" t="n"/>
      <c r="M28" s="859" t="n"/>
      <c r="N28" s="859" t="n"/>
      <c r="O28" s="859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950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950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948" t="inlineStr">
        <is>
          <t>–</t>
        </is>
      </c>
    </row>
    <row r="32" outlineLevel="1" ht="16" customHeight="1">
      <c r="A32" s="945" t="inlineStr">
        <is>
          <t xml:space="preserve">  ▸ FINAL PAYMENT</t>
        </is>
      </c>
      <c r="B32" s="859" t="n"/>
      <c r="C32" s="859" t="n"/>
      <c r="D32" s="859" t="n"/>
      <c r="E32" s="859" t="n"/>
      <c r="F32" s="859" t="n"/>
      <c r="G32" s="859" t="n"/>
      <c r="H32" s="859" t="n"/>
      <c r="I32" s="859" t="n"/>
      <c r="J32" s="859" t="n"/>
      <c r="K32" s="859" t="n"/>
      <c r="L32" s="859" t="n"/>
      <c r="M32" s="859" t="n"/>
      <c r="N32" s="859" t="n"/>
      <c r="O32" s="859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950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950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948" t="inlineStr">
        <is>
          <t>–</t>
        </is>
      </c>
    </row>
    <row r="36" outlineLevel="1" ht="16" customHeight="1">
      <c r="A36" s="945" t="inlineStr">
        <is>
          <t xml:space="preserve">  ▸ LPP</t>
        </is>
      </c>
      <c r="B36" s="859" t="n"/>
      <c r="C36" s="859" t="n"/>
      <c r="D36" s="859" t="n"/>
      <c r="E36" s="859" t="n"/>
      <c r="F36" s="859" t="n"/>
      <c r="G36" s="859" t="n"/>
      <c r="H36" s="859" t="n"/>
      <c r="I36" s="859" t="n"/>
      <c r="J36" s="859" t="n"/>
      <c r="K36" s="859" t="n"/>
      <c r="L36" s="859" t="n"/>
      <c r="M36" s="859" t="n"/>
      <c r="N36" s="859" t="n"/>
      <c r="O36" s="859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950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950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948" t="inlineStr">
        <is>
          <t>–</t>
        </is>
      </c>
    </row>
    <row r="40" outlineLevel="1" ht="16" customHeight="1">
      <c r="A40" s="945" t="inlineStr">
        <is>
          <t xml:space="preserve">  ▸ SUMMARY</t>
        </is>
      </c>
      <c r="B40" s="859" t="n"/>
      <c r="C40" s="859" t="n"/>
      <c r="D40" s="859" t="n"/>
      <c r="E40" s="859" t="n"/>
      <c r="F40" s="859" t="n"/>
      <c r="G40" s="859" t="n"/>
      <c r="H40" s="859" t="n"/>
      <c r="I40" s="859" t="n"/>
      <c r="J40" s="859" t="n"/>
      <c r="K40" s="859" t="n"/>
      <c r="L40" s="859" t="n"/>
      <c r="M40" s="859" t="n"/>
      <c r="N40" s="859" t="n"/>
      <c r="O40" s="859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950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950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948" t="inlineStr">
        <is>
          <t>–</t>
        </is>
      </c>
    </row>
    <row r="44" outlineLevel="1" ht="16" customHeight="1">
      <c r="A44" s="945" t="inlineStr">
        <is>
          <t xml:space="preserve">  ▸ DOCUMENT</t>
        </is>
      </c>
      <c r="B44" s="859" t="n"/>
      <c r="C44" s="859" t="n"/>
      <c r="D44" s="859" t="n"/>
      <c r="E44" s="859" t="n"/>
      <c r="F44" s="859" t="n"/>
      <c r="G44" s="859" t="n"/>
      <c r="H44" s="859" t="n"/>
      <c r="I44" s="859" t="n"/>
      <c r="J44" s="859" t="n"/>
      <c r="K44" s="859" t="n"/>
      <c r="L44" s="859" t="n"/>
      <c r="M44" s="859" t="n"/>
      <c r="N44" s="859" t="n"/>
      <c r="O44" s="859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948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948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948" t="inlineStr">
        <is>
          <t>–</t>
        </is>
      </c>
    </row>
    <row r="48" ht="7" customHeight="1">
      <c r="A48" s="866" t="n"/>
      <c r="B48" s="866" t="n"/>
      <c r="C48" s="866" t="n"/>
      <c r="D48" s="866" t="n"/>
      <c r="E48" s="866" t="n"/>
      <c r="F48" s="866" t="n"/>
      <c r="G48" s="866" t="n"/>
      <c r="H48" s="866" t="n"/>
      <c r="I48" s="866" t="n"/>
      <c r="J48" s="866" t="n"/>
      <c r="K48" s="866" t="n"/>
      <c r="L48" s="866" t="n"/>
      <c r="M48" s="866" t="n"/>
      <c r="N48" s="866" t="n"/>
      <c r="O48" s="866" t="n"/>
    </row>
    <row r="49" ht="24" customHeight="1">
      <c r="A49" s="867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952" t="inlineStr">
        <is>
          <t xml:space="preserve">   Lot No. →</t>
        </is>
      </c>
      <c r="B50" s="953">
        <f>IF('Final Calculation Sheet'!$F$6="","",'Final Calculation Sheet'!$F$6)</f>
        <v/>
      </c>
      <c r="C50" s="953">
        <f>IF('Final Calculation Sheet'!$F$7="","",'Final Calculation Sheet'!$F$7)</f>
        <v/>
      </c>
      <c r="D50" s="870" t="n"/>
      <c r="E50" s="870" t="n"/>
      <c r="F50" s="870" t="n"/>
      <c r="G50" s="870" t="n"/>
      <c r="H50" s="870" t="n"/>
      <c r="I50" s="870" t="n"/>
      <c r="J50" s="870" t="n"/>
      <c r="K50" s="870" t="n"/>
      <c r="L50" s="870" t="n"/>
      <c r="M50" s="870" t="n"/>
      <c r="N50" s="870" t="n"/>
      <c r="O50" s="954" t="inlineStr">
        <is>
          <t>TOTAL</t>
        </is>
      </c>
    </row>
    <row r="51" outlineLevel="1" ht="16" customHeight="1">
      <c r="A51" s="952" t="inlineStr">
        <is>
          <t xml:space="preserve">  ▸ LOT INFORMATION</t>
        </is>
      </c>
      <c r="B51" s="870" t="n"/>
      <c r="C51" s="870" t="n"/>
      <c r="D51" s="870" t="n"/>
      <c r="E51" s="870" t="n"/>
      <c r="F51" s="870" t="n"/>
      <c r="G51" s="870" t="n"/>
      <c r="H51" s="870" t="n"/>
      <c r="I51" s="870" t="n"/>
      <c r="J51" s="870" t="n"/>
      <c r="K51" s="870" t="n"/>
      <c r="L51" s="870" t="n"/>
      <c r="M51" s="870" t="n"/>
      <c r="N51" s="870" t="n"/>
      <c r="O51" s="870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772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955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56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955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772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955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790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57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58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955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772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955" t="inlineStr">
        <is>
          <t>–</t>
        </is>
      </c>
    </row>
    <row r="58" outlineLevel="1" ht="16" customHeight="1">
      <c r="A58" s="952" t="inlineStr">
        <is>
          <t xml:space="preserve">  ▸ FINANCIALS</t>
        </is>
      </c>
      <c r="B58" s="870" t="n"/>
      <c r="C58" s="870" t="n"/>
      <c r="D58" s="870" t="n"/>
      <c r="E58" s="870" t="n"/>
      <c r="F58" s="870" t="n"/>
      <c r="G58" s="870" t="n"/>
      <c r="H58" s="870" t="n"/>
      <c r="I58" s="870" t="n"/>
      <c r="J58" s="870" t="n"/>
      <c r="K58" s="870" t="n"/>
      <c r="L58" s="870" t="n"/>
      <c r="M58" s="870" t="n"/>
      <c r="N58" s="870" t="n"/>
      <c r="O58" s="870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772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59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772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59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772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59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772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59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800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0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800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0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800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0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800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0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772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59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61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955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772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59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772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59">
        <f>SUM(B70:N70)</f>
        <v/>
      </c>
    </row>
    <row r="71" outlineLevel="1" ht="16" customHeight="1">
      <c r="A71" s="952" t="inlineStr">
        <is>
          <t xml:space="preserve">  ▸ SECURITY DEPOSIT</t>
        </is>
      </c>
      <c r="B71" s="870" t="n"/>
      <c r="C71" s="870" t="n"/>
      <c r="D71" s="870" t="n"/>
      <c r="E71" s="870" t="n"/>
      <c r="F71" s="870" t="n"/>
      <c r="G71" s="870" t="n"/>
      <c r="H71" s="870" t="n"/>
      <c r="I71" s="870" t="n"/>
      <c r="J71" s="870" t="n"/>
      <c r="K71" s="870" t="n"/>
      <c r="L71" s="870" t="n"/>
      <c r="M71" s="870" t="n"/>
      <c r="N71" s="870" t="n"/>
      <c r="O71" s="870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772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59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772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59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58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955" t="inlineStr">
        <is>
          <t>–</t>
        </is>
      </c>
    </row>
    <row r="75" outlineLevel="1" ht="16" customHeight="1">
      <c r="A75" s="952" t="inlineStr">
        <is>
          <t xml:space="preserve">  ▸ FINAL PAYMENT</t>
        </is>
      </c>
      <c r="B75" s="870" t="n"/>
      <c r="C75" s="870" t="n"/>
      <c r="D75" s="870" t="n"/>
      <c r="E75" s="870" t="n"/>
      <c r="F75" s="870" t="n"/>
      <c r="G75" s="870" t="n"/>
      <c r="H75" s="870" t="n"/>
      <c r="I75" s="870" t="n"/>
      <c r="J75" s="870" t="n"/>
      <c r="K75" s="870" t="n"/>
      <c r="L75" s="870" t="n"/>
      <c r="M75" s="870" t="n"/>
      <c r="N75" s="870" t="n"/>
      <c r="O75" s="870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772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59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772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59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58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955" t="inlineStr">
        <is>
          <t>–</t>
        </is>
      </c>
    </row>
    <row r="79" outlineLevel="1" ht="16" customHeight="1">
      <c r="A79" s="952" t="inlineStr">
        <is>
          <t xml:space="preserve">  ▸ LPP</t>
        </is>
      </c>
      <c r="B79" s="870" t="n"/>
      <c r="C79" s="870" t="n"/>
      <c r="D79" s="870" t="n"/>
      <c r="E79" s="870" t="n"/>
      <c r="F79" s="870" t="n"/>
      <c r="G79" s="870" t="n"/>
      <c r="H79" s="870" t="n"/>
      <c r="I79" s="870" t="n"/>
      <c r="J79" s="870" t="n"/>
      <c r="K79" s="870" t="n"/>
      <c r="L79" s="870" t="n"/>
      <c r="M79" s="870" t="n"/>
      <c r="N79" s="870" t="n"/>
      <c r="O79" s="870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772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59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772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59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58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955" t="inlineStr">
        <is>
          <t>–</t>
        </is>
      </c>
    </row>
    <row r="83" outlineLevel="1" ht="16" customHeight="1">
      <c r="A83" s="952" t="inlineStr">
        <is>
          <t xml:space="preserve">  ▸ SUMMARY</t>
        </is>
      </c>
      <c r="B83" s="870" t="n"/>
      <c r="C83" s="870" t="n"/>
      <c r="D83" s="870" t="n"/>
      <c r="E83" s="870" t="n"/>
      <c r="F83" s="870" t="n"/>
      <c r="G83" s="870" t="n"/>
      <c r="H83" s="870" t="n"/>
      <c r="I83" s="870" t="n"/>
      <c r="J83" s="870" t="n"/>
      <c r="K83" s="870" t="n"/>
      <c r="L83" s="870" t="n"/>
      <c r="M83" s="870" t="n"/>
      <c r="N83" s="870" t="n"/>
      <c r="O83" s="870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772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59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772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59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780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955" t="inlineStr">
        <is>
          <t>–</t>
        </is>
      </c>
    </row>
    <row r="87" outlineLevel="1" ht="16" customHeight="1">
      <c r="A87" s="952" t="inlineStr">
        <is>
          <t xml:space="preserve">  ▸ DOCUMENT</t>
        </is>
      </c>
      <c r="B87" s="870" t="n"/>
      <c r="C87" s="870" t="n"/>
      <c r="D87" s="870" t="n"/>
      <c r="E87" s="870" t="n"/>
      <c r="F87" s="870" t="n"/>
      <c r="G87" s="870" t="n"/>
      <c r="H87" s="870" t="n"/>
      <c r="I87" s="870" t="n"/>
      <c r="J87" s="870" t="n"/>
      <c r="K87" s="870" t="n"/>
      <c r="L87" s="870" t="n"/>
      <c r="M87" s="870" t="n"/>
      <c r="N87" s="870" t="n"/>
      <c r="O87" s="870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58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955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772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955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58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955" t="inlineStr">
        <is>
          <t>–</t>
        </is>
      </c>
    </row>
    <row r="91" ht="7" customHeight="1">
      <c r="A91" s="866" t="n"/>
      <c r="B91" s="866" t="n"/>
      <c r="C91" s="866" t="n"/>
      <c r="D91" s="866" t="n"/>
      <c r="E91" s="866" t="n"/>
      <c r="F91" s="866" t="n"/>
      <c r="G91" s="866" t="n"/>
      <c r="H91" s="866" t="n"/>
      <c r="I91" s="866" t="n"/>
      <c r="J91" s="866" t="n"/>
      <c r="K91" s="866" t="n"/>
      <c r="L91" s="866" t="n"/>
      <c r="M91" s="866" t="n"/>
      <c r="N91" s="866" t="n"/>
      <c r="O91" s="866" t="n"/>
    </row>
    <row r="92" ht="24" customHeight="1">
      <c r="A92" s="877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962" t="inlineStr">
        <is>
          <t xml:space="preserve">   Lot No. →</t>
        </is>
      </c>
      <c r="B93" s="963">
        <f>IF('Final Calculation Sheet'!$F$15="","",'Final Calculation Sheet'!$F$15)</f>
        <v/>
      </c>
      <c r="C93" s="880" t="n"/>
      <c r="D93" s="880" t="n"/>
      <c r="E93" s="880" t="n"/>
      <c r="F93" s="880" t="n"/>
      <c r="G93" s="880" t="n"/>
      <c r="H93" s="880" t="n"/>
      <c r="I93" s="880" t="n"/>
      <c r="J93" s="880" t="n"/>
      <c r="K93" s="880" t="n"/>
      <c r="L93" s="880" t="n"/>
      <c r="M93" s="880" t="n"/>
      <c r="N93" s="880" t="n"/>
      <c r="O93" s="964" t="inlineStr">
        <is>
          <t>TOTAL</t>
        </is>
      </c>
    </row>
    <row r="94" outlineLevel="1" ht="16" customHeight="1">
      <c r="A94" s="962" t="inlineStr">
        <is>
          <t xml:space="preserve">  ▸ LOT INFORMATION</t>
        </is>
      </c>
      <c r="B94" s="880" t="n"/>
      <c r="C94" s="880" t="n"/>
      <c r="D94" s="880" t="n"/>
      <c r="E94" s="880" t="n"/>
      <c r="F94" s="880" t="n"/>
      <c r="G94" s="880" t="n"/>
      <c r="H94" s="880" t="n"/>
      <c r="I94" s="880" t="n"/>
      <c r="J94" s="880" t="n"/>
      <c r="K94" s="880" t="n"/>
      <c r="L94" s="880" t="n"/>
      <c r="M94" s="880" t="n"/>
      <c r="N94" s="880" t="n"/>
      <c r="O94" s="880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965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965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965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966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965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965" t="inlineStr">
        <is>
          <t>–</t>
        </is>
      </c>
    </row>
    <row r="101" outlineLevel="1" ht="16" customHeight="1">
      <c r="A101" s="962" t="inlineStr">
        <is>
          <t xml:space="preserve">  ▸ FINANCIALS</t>
        </is>
      </c>
      <c r="B101" s="880" t="n"/>
      <c r="C101" s="880" t="n"/>
      <c r="D101" s="880" t="n"/>
      <c r="E101" s="880" t="n"/>
      <c r="F101" s="880" t="n"/>
      <c r="G101" s="880" t="n"/>
      <c r="H101" s="880" t="n"/>
      <c r="I101" s="880" t="n"/>
      <c r="J101" s="880" t="n"/>
      <c r="K101" s="880" t="n"/>
      <c r="L101" s="880" t="n"/>
      <c r="M101" s="880" t="n"/>
      <c r="N101" s="880" t="n"/>
      <c r="O101" s="880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967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967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967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967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968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968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968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968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967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965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967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967">
        <f>SUM(B113:N113)</f>
        <v/>
      </c>
    </row>
    <row r="114" outlineLevel="1" ht="16" customHeight="1">
      <c r="A114" s="962" t="inlineStr">
        <is>
          <t xml:space="preserve">  ▸ SECURITY DEPOSIT</t>
        </is>
      </c>
      <c r="B114" s="880" t="n"/>
      <c r="C114" s="880" t="n"/>
      <c r="D114" s="880" t="n"/>
      <c r="E114" s="880" t="n"/>
      <c r="F114" s="880" t="n"/>
      <c r="G114" s="880" t="n"/>
      <c r="H114" s="880" t="n"/>
      <c r="I114" s="880" t="n"/>
      <c r="J114" s="880" t="n"/>
      <c r="K114" s="880" t="n"/>
      <c r="L114" s="880" t="n"/>
      <c r="M114" s="880" t="n"/>
      <c r="N114" s="880" t="n"/>
      <c r="O114" s="880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967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967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965" t="inlineStr">
        <is>
          <t>–</t>
        </is>
      </c>
    </row>
    <row r="118" outlineLevel="1" ht="16" customHeight="1">
      <c r="A118" s="962" t="inlineStr">
        <is>
          <t xml:space="preserve">  ▸ FINAL PAYMENT</t>
        </is>
      </c>
      <c r="B118" s="880" t="n"/>
      <c r="C118" s="880" t="n"/>
      <c r="D118" s="880" t="n"/>
      <c r="E118" s="880" t="n"/>
      <c r="F118" s="880" t="n"/>
      <c r="G118" s="880" t="n"/>
      <c r="H118" s="880" t="n"/>
      <c r="I118" s="880" t="n"/>
      <c r="J118" s="880" t="n"/>
      <c r="K118" s="880" t="n"/>
      <c r="L118" s="880" t="n"/>
      <c r="M118" s="880" t="n"/>
      <c r="N118" s="880" t="n"/>
      <c r="O118" s="880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967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967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965" t="inlineStr">
        <is>
          <t>–</t>
        </is>
      </c>
    </row>
    <row r="122" outlineLevel="1" ht="16" customHeight="1">
      <c r="A122" s="962" t="inlineStr">
        <is>
          <t xml:space="preserve">  ▸ LPP</t>
        </is>
      </c>
      <c r="B122" s="880" t="n"/>
      <c r="C122" s="880" t="n"/>
      <c r="D122" s="880" t="n"/>
      <c r="E122" s="880" t="n"/>
      <c r="F122" s="880" t="n"/>
      <c r="G122" s="880" t="n"/>
      <c r="H122" s="880" t="n"/>
      <c r="I122" s="880" t="n"/>
      <c r="J122" s="880" t="n"/>
      <c r="K122" s="880" t="n"/>
      <c r="L122" s="880" t="n"/>
      <c r="M122" s="880" t="n"/>
      <c r="N122" s="880" t="n"/>
      <c r="O122" s="880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967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967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965" t="inlineStr">
        <is>
          <t>–</t>
        </is>
      </c>
    </row>
    <row r="126" outlineLevel="1" ht="16" customHeight="1">
      <c r="A126" s="962" t="inlineStr">
        <is>
          <t xml:space="preserve">  ▸ SUMMARY</t>
        </is>
      </c>
      <c r="B126" s="880" t="n"/>
      <c r="C126" s="880" t="n"/>
      <c r="D126" s="880" t="n"/>
      <c r="E126" s="880" t="n"/>
      <c r="F126" s="880" t="n"/>
      <c r="G126" s="880" t="n"/>
      <c r="H126" s="880" t="n"/>
      <c r="I126" s="880" t="n"/>
      <c r="J126" s="880" t="n"/>
      <c r="K126" s="880" t="n"/>
      <c r="L126" s="880" t="n"/>
      <c r="M126" s="880" t="n"/>
      <c r="N126" s="880" t="n"/>
      <c r="O126" s="880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967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967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965" t="inlineStr">
        <is>
          <t>–</t>
        </is>
      </c>
    </row>
    <row r="130" outlineLevel="1" ht="16" customHeight="1">
      <c r="A130" s="962" t="inlineStr">
        <is>
          <t xml:space="preserve">  ▸ DOCUMENT</t>
        </is>
      </c>
      <c r="B130" s="880" t="n"/>
      <c r="C130" s="880" t="n"/>
      <c r="D130" s="880" t="n"/>
      <c r="E130" s="880" t="n"/>
      <c r="F130" s="880" t="n"/>
      <c r="G130" s="880" t="n"/>
      <c r="H130" s="880" t="n"/>
      <c r="I130" s="880" t="n"/>
      <c r="J130" s="880" t="n"/>
      <c r="K130" s="880" t="n"/>
      <c r="L130" s="880" t="n"/>
      <c r="M130" s="880" t="n"/>
      <c r="N130" s="880" t="n"/>
      <c r="O130" s="880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965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965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965" t="inlineStr">
        <is>
          <t>–</t>
        </is>
      </c>
    </row>
    <row r="134" ht="7" customHeight="1">
      <c r="A134" s="866" t="n"/>
      <c r="B134" s="866" t="n"/>
      <c r="C134" s="866" t="n"/>
      <c r="D134" s="866" t="n"/>
      <c r="E134" s="866" t="n"/>
      <c r="F134" s="866" t="n"/>
      <c r="G134" s="866" t="n"/>
      <c r="H134" s="866" t="n"/>
      <c r="I134" s="866" t="n"/>
      <c r="J134" s="866" t="n"/>
      <c r="K134" s="866" t="n"/>
      <c r="L134" s="866" t="n"/>
      <c r="M134" s="866" t="n"/>
      <c r="N134" s="866" t="n"/>
      <c r="O134" s="866" t="n"/>
    </row>
    <row r="135" ht="24" customHeight="1">
      <c r="A135" s="887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969" t="inlineStr">
        <is>
          <t xml:space="preserve">   Lot No. →</t>
        </is>
      </c>
      <c r="B136" s="970">
        <f>IF('Final Calculation Sheet'!$F$38="","",'Final Calculation Sheet'!$F$38)</f>
        <v/>
      </c>
      <c r="C136" s="890" t="n"/>
      <c r="D136" s="890" t="n"/>
      <c r="E136" s="890" t="n"/>
      <c r="F136" s="890" t="n"/>
      <c r="G136" s="890" t="n"/>
      <c r="H136" s="890" t="n"/>
      <c r="I136" s="890" t="n"/>
      <c r="J136" s="890" t="n"/>
      <c r="K136" s="890" t="n"/>
      <c r="L136" s="890" t="n"/>
      <c r="M136" s="890" t="n"/>
      <c r="N136" s="890" t="n"/>
      <c r="O136" s="971" t="inlineStr">
        <is>
          <t>TOTAL</t>
        </is>
      </c>
    </row>
    <row r="137" outlineLevel="1" ht="16" customHeight="1">
      <c r="A137" s="969" t="inlineStr">
        <is>
          <t xml:space="preserve">  ▸ LOT INFORMATION</t>
        </is>
      </c>
      <c r="B137" s="890" t="n"/>
      <c r="C137" s="890" t="n"/>
      <c r="D137" s="890" t="n"/>
      <c r="E137" s="890" t="n"/>
      <c r="F137" s="890" t="n"/>
      <c r="G137" s="890" t="n"/>
      <c r="H137" s="890" t="n"/>
      <c r="I137" s="890" t="n"/>
      <c r="J137" s="890" t="n"/>
      <c r="K137" s="890" t="n"/>
      <c r="L137" s="890" t="n"/>
      <c r="M137" s="890" t="n"/>
      <c r="N137" s="890" t="n"/>
      <c r="O137" s="890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972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972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972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973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972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972" t="inlineStr">
        <is>
          <t>–</t>
        </is>
      </c>
    </row>
    <row r="144" outlineLevel="1" ht="16" customHeight="1">
      <c r="A144" s="969" t="inlineStr">
        <is>
          <t xml:space="preserve">  ▸ FINANCIALS</t>
        </is>
      </c>
      <c r="B144" s="890" t="n"/>
      <c r="C144" s="890" t="n"/>
      <c r="D144" s="890" t="n"/>
      <c r="E144" s="890" t="n"/>
      <c r="F144" s="890" t="n"/>
      <c r="G144" s="890" t="n"/>
      <c r="H144" s="890" t="n"/>
      <c r="I144" s="890" t="n"/>
      <c r="J144" s="890" t="n"/>
      <c r="K144" s="890" t="n"/>
      <c r="L144" s="890" t="n"/>
      <c r="M144" s="890" t="n"/>
      <c r="N144" s="890" t="n"/>
      <c r="O144" s="890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974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974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974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974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975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975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975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975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974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972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974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974">
        <f>SUM(B156:N156)</f>
        <v/>
      </c>
    </row>
    <row r="157" outlineLevel="1" ht="16" customHeight="1">
      <c r="A157" s="969" t="inlineStr">
        <is>
          <t xml:space="preserve">  ▸ SECURITY DEPOSIT</t>
        </is>
      </c>
      <c r="B157" s="890" t="n"/>
      <c r="C157" s="890" t="n"/>
      <c r="D157" s="890" t="n"/>
      <c r="E157" s="890" t="n"/>
      <c r="F157" s="890" t="n"/>
      <c r="G157" s="890" t="n"/>
      <c r="H157" s="890" t="n"/>
      <c r="I157" s="890" t="n"/>
      <c r="J157" s="890" t="n"/>
      <c r="K157" s="890" t="n"/>
      <c r="L157" s="890" t="n"/>
      <c r="M157" s="890" t="n"/>
      <c r="N157" s="890" t="n"/>
      <c r="O157" s="890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974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974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972" t="inlineStr">
        <is>
          <t>–</t>
        </is>
      </c>
    </row>
    <row r="161" outlineLevel="1" ht="16" customHeight="1">
      <c r="A161" s="969" t="inlineStr">
        <is>
          <t xml:space="preserve">  ▸ FINAL PAYMENT</t>
        </is>
      </c>
      <c r="B161" s="890" t="n"/>
      <c r="C161" s="890" t="n"/>
      <c r="D161" s="890" t="n"/>
      <c r="E161" s="890" t="n"/>
      <c r="F161" s="890" t="n"/>
      <c r="G161" s="890" t="n"/>
      <c r="H161" s="890" t="n"/>
      <c r="I161" s="890" t="n"/>
      <c r="J161" s="890" t="n"/>
      <c r="K161" s="890" t="n"/>
      <c r="L161" s="890" t="n"/>
      <c r="M161" s="890" t="n"/>
      <c r="N161" s="890" t="n"/>
      <c r="O161" s="890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974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974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972" t="inlineStr">
        <is>
          <t>–</t>
        </is>
      </c>
    </row>
    <row r="165" outlineLevel="1" ht="16" customHeight="1">
      <c r="A165" s="969" t="inlineStr">
        <is>
          <t xml:space="preserve">  ▸ LPP</t>
        </is>
      </c>
      <c r="B165" s="890" t="n"/>
      <c r="C165" s="890" t="n"/>
      <c r="D165" s="890" t="n"/>
      <c r="E165" s="890" t="n"/>
      <c r="F165" s="890" t="n"/>
      <c r="G165" s="890" t="n"/>
      <c r="H165" s="890" t="n"/>
      <c r="I165" s="890" t="n"/>
      <c r="J165" s="890" t="n"/>
      <c r="K165" s="890" t="n"/>
      <c r="L165" s="890" t="n"/>
      <c r="M165" s="890" t="n"/>
      <c r="N165" s="890" t="n"/>
      <c r="O165" s="890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974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974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972" t="inlineStr">
        <is>
          <t>–</t>
        </is>
      </c>
    </row>
    <row r="169" outlineLevel="1" ht="16" customHeight="1">
      <c r="A169" s="969" t="inlineStr">
        <is>
          <t xml:space="preserve">  ▸ SUMMARY</t>
        </is>
      </c>
      <c r="B169" s="890" t="n"/>
      <c r="C169" s="890" t="n"/>
      <c r="D169" s="890" t="n"/>
      <c r="E169" s="890" t="n"/>
      <c r="F169" s="890" t="n"/>
      <c r="G169" s="890" t="n"/>
      <c r="H169" s="890" t="n"/>
      <c r="I169" s="890" t="n"/>
      <c r="J169" s="890" t="n"/>
      <c r="K169" s="890" t="n"/>
      <c r="L169" s="890" t="n"/>
      <c r="M169" s="890" t="n"/>
      <c r="N169" s="890" t="n"/>
      <c r="O169" s="890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974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974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972" t="inlineStr">
        <is>
          <t>–</t>
        </is>
      </c>
    </row>
    <row r="173" outlineLevel="1" ht="16" customHeight="1">
      <c r="A173" s="969" t="inlineStr">
        <is>
          <t xml:space="preserve">  ▸ DOCUMENT</t>
        </is>
      </c>
      <c r="B173" s="890" t="n"/>
      <c r="C173" s="890" t="n"/>
      <c r="D173" s="890" t="n"/>
      <c r="E173" s="890" t="n"/>
      <c r="F173" s="890" t="n"/>
      <c r="G173" s="890" t="n"/>
      <c r="H173" s="890" t="n"/>
      <c r="I173" s="890" t="n"/>
      <c r="J173" s="890" t="n"/>
      <c r="K173" s="890" t="n"/>
      <c r="L173" s="890" t="n"/>
      <c r="M173" s="890" t="n"/>
      <c r="N173" s="890" t="n"/>
      <c r="O173" s="890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972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972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972" t="inlineStr">
        <is>
          <t>–</t>
        </is>
      </c>
    </row>
    <row r="177" ht="7" customHeight="1">
      <c r="A177" s="866" t="n"/>
      <c r="B177" s="866" t="n"/>
      <c r="C177" s="866" t="n"/>
      <c r="D177" s="866" t="n"/>
      <c r="E177" s="866" t="n"/>
      <c r="F177" s="866" t="n"/>
      <c r="G177" s="866" t="n"/>
      <c r="H177" s="866" t="n"/>
      <c r="I177" s="866" t="n"/>
      <c r="J177" s="866" t="n"/>
      <c r="K177" s="866" t="n"/>
      <c r="L177" s="866" t="n"/>
      <c r="M177" s="866" t="n"/>
      <c r="N177" s="866" t="n"/>
      <c r="O177" s="866" t="n"/>
    </row>
    <row r="178" ht="24" customHeight="1">
      <c r="A178" s="89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976" t="inlineStr">
        <is>
          <t xml:space="preserve">   Lot No. →</t>
        </is>
      </c>
      <c r="B179" s="977">
        <f>IF('Final Calculation Sheet'!$F$27="","",'Final Calculation Sheet'!$F$27)</f>
        <v/>
      </c>
      <c r="C179" s="900" t="n"/>
      <c r="D179" s="900" t="n"/>
      <c r="E179" s="900" t="n"/>
      <c r="F179" s="900" t="n"/>
      <c r="G179" s="900" t="n"/>
      <c r="H179" s="900" t="n"/>
      <c r="I179" s="900" t="n"/>
      <c r="J179" s="900" t="n"/>
      <c r="K179" s="900" t="n"/>
      <c r="L179" s="900" t="n"/>
      <c r="M179" s="900" t="n"/>
      <c r="N179" s="900" t="n"/>
      <c r="O179" s="978" t="inlineStr">
        <is>
          <t>TOTAL</t>
        </is>
      </c>
    </row>
    <row r="180" outlineLevel="1" ht="16" customHeight="1">
      <c r="A180" s="976" t="inlineStr">
        <is>
          <t xml:space="preserve">  ▸ LOT INFORMATION</t>
        </is>
      </c>
      <c r="B180" s="900" t="n"/>
      <c r="C180" s="900" t="n"/>
      <c r="D180" s="900" t="n"/>
      <c r="E180" s="900" t="n"/>
      <c r="F180" s="900" t="n"/>
      <c r="G180" s="900" t="n"/>
      <c r="H180" s="900" t="n"/>
      <c r="I180" s="900" t="n"/>
      <c r="J180" s="900" t="n"/>
      <c r="K180" s="900" t="n"/>
      <c r="L180" s="900" t="n"/>
      <c r="M180" s="900" t="n"/>
      <c r="N180" s="900" t="n"/>
      <c r="O180" s="90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979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979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979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980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979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979" t="inlineStr">
        <is>
          <t>–</t>
        </is>
      </c>
    </row>
    <row r="187" outlineLevel="1" ht="16" customHeight="1">
      <c r="A187" s="976" t="inlineStr">
        <is>
          <t xml:space="preserve">  ▸ FINANCIALS</t>
        </is>
      </c>
      <c r="B187" s="900" t="n"/>
      <c r="C187" s="900" t="n"/>
      <c r="D187" s="900" t="n"/>
      <c r="E187" s="900" t="n"/>
      <c r="F187" s="900" t="n"/>
      <c r="G187" s="900" t="n"/>
      <c r="H187" s="900" t="n"/>
      <c r="I187" s="900" t="n"/>
      <c r="J187" s="900" t="n"/>
      <c r="K187" s="900" t="n"/>
      <c r="L187" s="900" t="n"/>
      <c r="M187" s="900" t="n"/>
      <c r="N187" s="900" t="n"/>
      <c r="O187" s="90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981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981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981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981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982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982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982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982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981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979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981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981">
        <f>SUM(B199:N199)</f>
        <v/>
      </c>
    </row>
    <row r="200" outlineLevel="1" ht="16" customHeight="1">
      <c r="A200" s="976" t="inlineStr">
        <is>
          <t xml:space="preserve">  ▸ SECURITY DEPOSIT</t>
        </is>
      </c>
      <c r="B200" s="900" t="n"/>
      <c r="C200" s="900" t="n"/>
      <c r="D200" s="900" t="n"/>
      <c r="E200" s="900" t="n"/>
      <c r="F200" s="900" t="n"/>
      <c r="G200" s="900" t="n"/>
      <c r="H200" s="900" t="n"/>
      <c r="I200" s="900" t="n"/>
      <c r="J200" s="900" t="n"/>
      <c r="K200" s="900" t="n"/>
      <c r="L200" s="900" t="n"/>
      <c r="M200" s="900" t="n"/>
      <c r="N200" s="900" t="n"/>
      <c r="O200" s="90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981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981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979" t="inlineStr">
        <is>
          <t>–</t>
        </is>
      </c>
    </row>
    <row r="204" outlineLevel="1" ht="16" customHeight="1">
      <c r="A204" s="976" t="inlineStr">
        <is>
          <t xml:space="preserve">  ▸ FINAL PAYMENT</t>
        </is>
      </c>
      <c r="B204" s="900" t="n"/>
      <c r="C204" s="900" t="n"/>
      <c r="D204" s="900" t="n"/>
      <c r="E204" s="900" t="n"/>
      <c r="F204" s="900" t="n"/>
      <c r="G204" s="900" t="n"/>
      <c r="H204" s="900" t="n"/>
      <c r="I204" s="900" t="n"/>
      <c r="J204" s="900" t="n"/>
      <c r="K204" s="900" t="n"/>
      <c r="L204" s="900" t="n"/>
      <c r="M204" s="900" t="n"/>
      <c r="N204" s="900" t="n"/>
      <c r="O204" s="90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981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981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979" t="inlineStr">
        <is>
          <t>–</t>
        </is>
      </c>
    </row>
    <row r="208" outlineLevel="1" ht="16" customHeight="1">
      <c r="A208" s="976" t="inlineStr">
        <is>
          <t xml:space="preserve">  ▸ LPP</t>
        </is>
      </c>
      <c r="B208" s="900" t="n"/>
      <c r="C208" s="900" t="n"/>
      <c r="D208" s="900" t="n"/>
      <c r="E208" s="900" t="n"/>
      <c r="F208" s="900" t="n"/>
      <c r="G208" s="900" t="n"/>
      <c r="H208" s="900" t="n"/>
      <c r="I208" s="900" t="n"/>
      <c r="J208" s="900" t="n"/>
      <c r="K208" s="900" t="n"/>
      <c r="L208" s="900" t="n"/>
      <c r="M208" s="900" t="n"/>
      <c r="N208" s="900" t="n"/>
      <c r="O208" s="90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981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981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979" t="inlineStr">
        <is>
          <t>–</t>
        </is>
      </c>
    </row>
    <row r="212" outlineLevel="1" ht="16" customHeight="1">
      <c r="A212" s="976" t="inlineStr">
        <is>
          <t xml:space="preserve">  ▸ SUMMARY</t>
        </is>
      </c>
      <c r="B212" s="900" t="n"/>
      <c r="C212" s="900" t="n"/>
      <c r="D212" s="900" t="n"/>
      <c r="E212" s="900" t="n"/>
      <c r="F212" s="900" t="n"/>
      <c r="G212" s="900" t="n"/>
      <c r="H212" s="900" t="n"/>
      <c r="I212" s="900" t="n"/>
      <c r="J212" s="900" t="n"/>
      <c r="K212" s="900" t="n"/>
      <c r="L212" s="900" t="n"/>
      <c r="M212" s="900" t="n"/>
      <c r="N212" s="900" t="n"/>
      <c r="O212" s="90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981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981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979" t="inlineStr">
        <is>
          <t>–</t>
        </is>
      </c>
    </row>
    <row r="216" outlineLevel="1" ht="16" customHeight="1">
      <c r="A216" s="976" t="inlineStr">
        <is>
          <t xml:space="preserve">  ▸ DOCUMENT</t>
        </is>
      </c>
      <c r="B216" s="900" t="n"/>
      <c r="C216" s="900" t="n"/>
      <c r="D216" s="900" t="n"/>
      <c r="E216" s="900" t="n"/>
      <c r="F216" s="900" t="n"/>
      <c r="G216" s="900" t="n"/>
      <c r="H216" s="900" t="n"/>
      <c r="I216" s="900" t="n"/>
      <c r="J216" s="900" t="n"/>
      <c r="K216" s="900" t="n"/>
      <c r="L216" s="900" t="n"/>
      <c r="M216" s="900" t="n"/>
      <c r="N216" s="900" t="n"/>
      <c r="O216" s="90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979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979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979" t="inlineStr">
        <is>
          <t>–</t>
        </is>
      </c>
    </row>
    <row r="220" ht="7" customHeight="1">
      <c r="A220" s="866" t="n"/>
      <c r="B220" s="866" t="n"/>
      <c r="C220" s="866" t="n"/>
      <c r="D220" s="866" t="n"/>
      <c r="E220" s="866" t="n"/>
      <c r="F220" s="866" t="n"/>
      <c r="G220" s="866" t="n"/>
      <c r="H220" s="866" t="n"/>
      <c r="I220" s="866" t="n"/>
      <c r="J220" s="866" t="n"/>
      <c r="K220" s="866" t="n"/>
      <c r="L220" s="866" t="n"/>
      <c r="M220" s="866" t="n"/>
      <c r="N220" s="866" t="n"/>
      <c r="O220" s="866" t="n"/>
    </row>
    <row r="221" ht="24" customHeight="1">
      <c r="A221" s="907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983" t="inlineStr">
        <is>
          <t xml:space="preserve">   Lot No. →</t>
        </is>
      </c>
      <c r="B222" s="984">
        <f>IF('Final Calculation Sheet'!$F$5="","",'Final Calculation Sheet'!$F$5)</f>
        <v/>
      </c>
      <c r="C222" s="984">
        <f>IF('Final Calculation Sheet'!$F$10="","",'Final Calculation Sheet'!$F$10)</f>
        <v/>
      </c>
      <c r="D222" s="984">
        <f>IF('Final Calculation Sheet'!$F$11="","",'Final Calculation Sheet'!$F$11)</f>
        <v/>
      </c>
      <c r="E222" s="984">
        <f>IF('Final Calculation Sheet'!$F$12="","",'Final Calculation Sheet'!$F$12)</f>
        <v/>
      </c>
      <c r="F222" s="984">
        <f>IF('Final Calculation Sheet'!$F$18="","",'Final Calculation Sheet'!$F$18)</f>
        <v/>
      </c>
      <c r="G222" s="984">
        <f>IF('Final Calculation Sheet'!$F$19="","",'Final Calculation Sheet'!$F$19)</f>
        <v/>
      </c>
      <c r="H222" s="984">
        <f>IF('Final Calculation Sheet'!$F$22="","",'Final Calculation Sheet'!$F$22)</f>
        <v/>
      </c>
      <c r="I222" s="984">
        <f>IF('Final Calculation Sheet'!$F$24="","",'Final Calculation Sheet'!$F$24)</f>
        <v/>
      </c>
      <c r="J222" s="984">
        <f>IF('Final Calculation Sheet'!$F$26="","",'Final Calculation Sheet'!$F$26)</f>
        <v/>
      </c>
      <c r="K222" s="984">
        <f>IF('Final Calculation Sheet'!$F$30="","",'Final Calculation Sheet'!$F$30)</f>
        <v/>
      </c>
      <c r="L222" s="984">
        <f>IF('Final Calculation Sheet'!$F$32="","",'Final Calculation Sheet'!$F$32)</f>
        <v/>
      </c>
      <c r="M222" s="984">
        <f>IF('Final Calculation Sheet'!$F$33="","",'Final Calculation Sheet'!$F$33)</f>
        <v/>
      </c>
      <c r="N222" s="984">
        <f>IF('Final Calculation Sheet'!$F$37="","",'Final Calculation Sheet'!$F$37)</f>
        <v/>
      </c>
      <c r="O222" s="985" t="inlineStr">
        <is>
          <t>TOTAL</t>
        </is>
      </c>
    </row>
    <row r="223" outlineLevel="1" ht="16" customHeight="1">
      <c r="A223" s="983" t="inlineStr">
        <is>
          <t xml:space="preserve">  ▸ LOT INFORMATION</t>
        </is>
      </c>
      <c r="B223" s="910" t="n"/>
      <c r="C223" s="910" t="n"/>
      <c r="D223" s="910" t="n"/>
      <c r="E223" s="910" t="n"/>
      <c r="F223" s="910" t="n"/>
      <c r="G223" s="910" t="n"/>
      <c r="H223" s="910" t="n"/>
      <c r="I223" s="910" t="n"/>
      <c r="J223" s="910" t="n"/>
      <c r="K223" s="910" t="n"/>
      <c r="L223" s="910" t="n"/>
      <c r="M223" s="910" t="n"/>
      <c r="N223" s="910" t="n"/>
      <c r="O223" s="91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776">
        <f>IF('Final Calculation Sheet'!$F$10="","",'Final Calculation Sheet'!$F$10)</f>
        <v/>
      </c>
      <c r="D224" s="70">
        <f>IF('Final Calculation Sheet'!$F$11="","",'Final Calculation Sheet'!$F$11)</f>
        <v/>
      </c>
      <c r="E224" s="776">
        <f>IF('Final Calculation Sheet'!$F$12="","",'Final Calculation Sheet'!$F$12)</f>
        <v/>
      </c>
      <c r="F224" s="70">
        <f>IF('Final Calculation Sheet'!$F$18="","",'Final Calculation Sheet'!$F$18)</f>
        <v/>
      </c>
      <c r="G224" s="776">
        <f>IF('Final Calculation Sheet'!$F$19="","",'Final Calculation Sheet'!$F$19)</f>
        <v/>
      </c>
      <c r="H224" s="70">
        <f>IF('Final Calculation Sheet'!$F$22="","",'Final Calculation Sheet'!$F$22)</f>
        <v/>
      </c>
      <c r="I224" s="776">
        <f>IF('Final Calculation Sheet'!$F$24="","",'Final Calculation Sheet'!$F$24)</f>
        <v/>
      </c>
      <c r="J224" s="70">
        <f>IF('Final Calculation Sheet'!$F$26="","",'Final Calculation Sheet'!$F$26)</f>
        <v/>
      </c>
      <c r="K224" s="776">
        <f>IF('Final Calculation Sheet'!$F$30="","",'Final Calculation Sheet'!$F$30)</f>
        <v/>
      </c>
      <c r="L224" s="70">
        <f>IF('Final Calculation Sheet'!$F$32="","",'Final Calculation Sheet'!$F$32)</f>
        <v/>
      </c>
      <c r="M224" s="776">
        <f>IF('Final Calculation Sheet'!$F$33="","",'Final Calculation Sheet'!$F$33)</f>
        <v/>
      </c>
      <c r="N224" s="70">
        <f>IF('Final Calculation Sheet'!$F$37="","",'Final Calculation Sheet'!$F$37)</f>
        <v/>
      </c>
      <c r="O224" s="986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987">
        <f>IF('Final Calculation Sheet'!$B$10="","",'Final Calculation Sheet'!$B$10)</f>
        <v/>
      </c>
      <c r="D225" s="73">
        <f>IF('Final Calculation Sheet'!$B$11="","",'Final Calculation Sheet'!$B$11)</f>
        <v/>
      </c>
      <c r="E225" s="987">
        <f>IF('Final Calculation Sheet'!$B$12="","",'Final Calculation Sheet'!$B$12)</f>
        <v/>
      </c>
      <c r="F225" s="73">
        <f>IF('Final Calculation Sheet'!$B$18="","",'Final Calculation Sheet'!$B$18)</f>
        <v/>
      </c>
      <c r="G225" s="987">
        <f>IF('Final Calculation Sheet'!$B$19="","",'Final Calculation Sheet'!$B$19)</f>
        <v/>
      </c>
      <c r="H225" s="73">
        <f>IF('Final Calculation Sheet'!$B$22="","",'Final Calculation Sheet'!$B$22)</f>
        <v/>
      </c>
      <c r="I225" s="987">
        <f>IF('Final Calculation Sheet'!$B$24="","",'Final Calculation Sheet'!$B$24)</f>
        <v/>
      </c>
      <c r="J225" s="73">
        <f>IF('Final Calculation Sheet'!$B$26="","",'Final Calculation Sheet'!$B$26)</f>
        <v/>
      </c>
      <c r="K225" s="987">
        <f>IF('Final Calculation Sheet'!$B$30="","",'Final Calculation Sheet'!$B$30)</f>
        <v/>
      </c>
      <c r="L225" s="73">
        <f>IF('Final Calculation Sheet'!$B$32="","",'Final Calculation Sheet'!$B$32)</f>
        <v/>
      </c>
      <c r="M225" s="987">
        <f>IF('Final Calculation Sheet'!$B$33="","",'Final Calculation Sheet'!$B$33)</f>
        <v/>
      </c>
      <c r="N225" s="73">
        <f>IF('Final Calculation Sheet'!$B$37="","",'Final Calculation Sheet'!$B$37)</f>
        <v/>
      </c>
      <c r="O225" s="986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776">
        <f>IF('Final Calculation Sheet'!$D$10="","",'Final Calculation Sheet'!$D$10)</f>
        <v/>
      </c>
      <c r="D226" s="70">
        <f>IF('Final Calculation Sheet'!$D$11="","",'Final Calculation Sheet'!$D$11)</f>
        <v/>
      </c>
      <c r="E226" s="776">
        <f>IF('Final Calculation Sheet'!$D$12="","",'Final Calculation Sheet'!$D$12)</f>
        <v/>
      </c>
      <c r="F226" s="70">
        <f>IF('Final Calculation Sheet'!$D$18="","",'Final Calculation Sheet'!$D$18)</f>
        <v/>
      </c>
      <c r="G226" s="776">
        <f>IF('Final Calculation Sheet'!$D$19="","",'Final Calculation Sheet'!$D$19)</f>
        <v/>
      </c>
      <c r="H226" s="70">
        <f>IF('Final Calculation Sheet'!$D$22="","",'Final Calculation Sheet'!$D$22)</f>
        <v/>
      </c>
      <c r="I226" s="776">
        <f>IF('Final Calculation Sheet'!$D$24="","",'Final Calculation Sheet'!$D$24)</f>
        <v/>
      </c>
      <c r="J226" s="70">
        <f>IF('Final Calculation Sheet'!$D$26="","",'Final Calculation Sheet'!$D$26)</f>
        <v/>
      </c>
      <c r="K226" s="776">
        <f>IF('Final Calculation Sheet'!$D$30="","",'Final Calculation Sheet'!$D$30)</f>
        <v/>
      </c>
      <c r="L226" s="70">
        <f>IF('Final Calculation Sheet'!$D$32="","",'Final Calculation Sheet'!$D$32)</f>
        <v/>
      </c>
      <c r="M226" s="776">
        <f>IF('Final Calculation Sheet'!$D$33="","",'Final Calculation Sheet'!$D$33)</f>
        <v/>
      </c>
      <c r="N226" s="70">
        <f>IF('Final Calculation Sheet'!$D$37="","",'Final Calculation Sheet'!$D$37)</f>
        <v/>
      </c>
      <c r="O226" s="986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794">
        <f>IF('Final Calculation Sheet'!$A$10="","",'Final Calculation Sheet'!$A$10)</f>
        <v/>
      </c>
      <c r="D227" s="74">
        <f>IF('Final Calculation Sheet'!$A$11="","",'Final Calculation Sheet'!$A$11)</f>
        <v/>
      </c>
      <c r="E227" s="794">
        <f>IF('Final Calculation Sheet'!$A$12="","",'Final Calculation Sheet'!$A$12)</f>
        <v/>
      </c>
      <c r="F227" s="74">
        <f>IF('Final Calculation Sheet'!$A$18="","",'Final Calculation Sheet'!$A$18)</f>
        <v/>
      </c>
      <c r="G227" s="794">
        <f>IF('Final Calculation Sheet'!$A$19="","",'Final Calculation Sheet'!$A$19)</f>
        <v/>
      </c>
      <c r="H227" s="74">
        <f>IF('Final Calculation Sheet'!$A$22="","",'Final Calculation Sheet'!$A$22)</f>
        <v/>
      </c>
      <c r="I227" s="794">
        <f>IF('Final Calculation Sheet'!$A$24="","",'Final Calculation Sheet'!$A$24)</f>
        <v/>
      </c>
      <c r="J227" s="74">
        <f>IF('Final Calculation Sheet'!$A$26="","",'Final Calculation Sheet'!$A$26)</f>
        <v/>
      </c>
      <c r="K227" s="794">
        <f>IF('Final Calculation Sheet'!$A$30="","",'Final Calculation Sheet'!$A$30)</f>
        <v/>
      </c>
      <c r="L227" s="74">
        <f>IF('Final Calculation Sheet'!$A$32="","",'Final Calculation Sheet'!$A$32)</f>
        <v/>
      </c>
      <c r="M227" s="794">
        <f>IF('Final Calculation Sheet'!$A$33="","",'Final Calculation Sheet'!$A$33)</f>
        <v/>
      </c>
      <c r="N227" s="74">
        <f>IF('Final Calculation Sheet'!$A$37="","",'Final Calculation Sheet'!$A$37)</f>
        <v/>
      </c>
      <c r="O227" s="988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989">
        <f>IF('Final Calculation Sheet'!$E$10="","",'Final Calculation Sheet'!$E$10)</f>
        <v/>
      </c>
      <c r="D228" s="76">
        <f>IF('Final Calculation Sheet'!$E$11="","",'Final Calculation Sheet'!$E$11)</f>
        <v/>
      </c>
      <c r="E228" s="989">
        <f>IF('Final Calculation Sheet'!$E$12="","",'Final Calculation Sheet'!$E$12)</f>
        <v/>
      </c>
      <c r="F228" s="76">
        <f>IF('Final Calculation Sheet'!$E$18="","",'Final Calculation Sheet'!$E$18)</f>
        <v/>
      </c>
      <c r="G228" s="989">
        <f>IF('Final Calculation Sheet'!$E$19="","",'Final Calculation Sheet'!$E$19)</f>
        <v/>
      </c>
      <c r="H228" s="76">
        <f>IF('Final Calculation Sheet'!$E$22="","",'Final Calculation Sheet'!$E$22)</f>
        <v/>
      </c>
      <c r="I228" s="989">
        <f>IF('Final Calculation Sheet'!$E$24="","",'Final Calculation Sheet'!$E$24)</f>
        <v/>
      </c>
      <c r="J228" s="76">
        <f>IF('Final Calculation Sheet'!$E$26="","",'Final Calculation Sheet'!$E$26)</f>
        <v/>
      </c>
      <c r="K228" s="989">
        <f>IF('Final Calculation Sheet'!$E$30="","",'Final Calculation Sheet'!$E$30)</f>
        <v/>
      </c>
      <c r="L228" s="76">
        <f>IF('Final Calculation Sheet'!$E$32="","",'Final Calculation Sheet'!$E$32)</f>
        <v/>
      </c>
      <c r="M228" s="989">
        <f>IF('Final Calculation Sheet'!$E$33="","",'Final Calculation Sheet'!$E$33)</f>
        <v/>
      </c>
      <c r="N228" s="76">
        <f>IF('Final Calculation Sheet'!$E$37="","",'Final Calculation Sheet'!$E$37)</f>
        <v/>
      </c>
      <c r="O228" s="986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776">
        <f>IF('Final Calculation Sheet'!$C$10="","",'Final Calculation Sheet'!$C$10)</f>
        <v/>
      </c>
      <c r="D229" s="70">
        <f>IF('Final Calculation Sheet'!$C$11="","",'Final Calculation Sheet'!$C$11)</f>
        <v/>
      </c>
      <c r="E229" s="776">
        <f>IF('Final Calculation Sheet'!$C$12="","",'Final Calculation Sheet'!$C$12)</f>
        <v/>
      </c>
      <c r="F229" s="70">
        <f>IF('Final Calculation Sheet'!$C$18="","",'Final Calculation Sheet'!$C$18)</f>
        <v/>
      </c>
      <c r="G229" s="776">
        <f>IF('Final Calculation Sheet'!$C$19="","",'Final Calculation Sheet'!$C$19)</f>
        <v/>
      </c>
      <c r="H229" s="70">
        <f>IF('Final Calculation Sheet'!$C$22="","",'Final Calculation Sheet'!$C$22)</f>
        <v/>
      </c>
      <c r="I229" s="776">
        <f>IF('Final Calculation Sheet'!$C$24="","",'Final Calculation Sheet'!$C$24)</f>
        <v/>
      </c>
      <c r="J229" s="70">
        <f>IF('Final Calculation Sheet'!$C$26="","",'Final Calculation Sheet'!$C$26)</f>
        <v/>
      </c>
      <c r="K229" s="776">
        <f>IF('Final Calculation Sheet'!$C$30="","",'Final Calculation Sheet'!$C$30)</f>
        <v/>
      </c>
      <c r="L229" s="70">
        <f>IF('Final Calculation Sheet'!$C$32="","",'Final Calculation Sheet'!$C$32)</f>
        <v/>
      </c>
      <c r="M229" s="776">
        <f>IF('Final Calculation Sheet'!$C$33="","",'Final Calculation Sheet'!$C$33)</f>
        <v/>
      </c>
      <c r="N229" s="70">
        <f>IF('Final Calculation Sheet'!$C$37="","",'Final Calculation Sheet'!$C$37)</f>
        <v/>
      </c>
      <c r="O229" s="986" t="inlineStr">
        <is>
          <t>–</t>
        </is>
      </c>
    </row>
    <row r="230" outlineLevel="1" ht="16" customHeight="1">
      <c r="A230" s="983" t="inlineStr">
        <is>
          <t xml:space="preserve">  ▸ FINANCIALS</t>
        </is>
      </c>
      <c r="B230" s="910" t="n"/>
      <c r="C230" s="910" t="n"/>
      <c r="D230" s="910" t="n"/>
      <c r="E230" s="910" t="n"/>
      <c r="F230" s="910" t="n"/>
      <c r="G230" s="910" t="n"/>
      <c r="H230" s="910" t="n"/>
      <c r="I230" s="910" t="n"/>
      <c r="J230" s="910" t="n"/>
      <c r="K230" s="910" t="n"/>
      <c r="L230" s="910" t="n"/>
      <c r="M230" s="910" t="n"/>
      <c r="N230" s="910" t="n"/>
      <c r="O230" s="91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776">
        <f>IF('Final Calculation Sheet'!$H$10="","",'Final Calculation Sheet'!$H$10)</f>
        <v/>
      </c>
      <c r="D231" s="70">
        <f>IF('Final Calculation Sheet'!$H$11="","",'Final Calculation Sheet'!$H$11)</f>
        <v/>
      </c>
      <c r="E231" s="776">
        <f>IF('Final Calculation Sheet'!$H$12="","",'Final Calculation Sheet'!$H$12)</f>
        <v/>
      </c>
      <c r="F231" s="70">
        <f>IF('Final Calculation Sheet'!$H$18="","",'Final Calculation Sheet'!$H$18)</f>
        <v/>
      </c>
      <c r="G231" s="776">
        <f>IF('Final Calculation Sheet'!$H$19="","",'Final Calculation Sheet'!$H$19)</f>
        <v/>
      </c>
      <c r="H231" s="70">
        <f>IF('Final Calculation Sheet'!$H$22="","",'Final Calculation Sheet'!$H$22)</f>
        <v/>
      </c>
      <c r="I231" s="776">
        <f>IF('Final Calculation Sheet'!$H$24="","",'Final Calculation Sheet'!$H$24)</f>
        <v/>
      </c>
      <c r="J231" s="70">
        <f>IF('Final Calculation Sheet'!$H$26="","",'Final Calculation Sheet'!$H$26)</f>
        <v/>
      </c>
      <c r="K231" s="776">
        <f>IF('Final Calculation Sheet'!$H$30="","",'Final Calculation Sheet'!$H$30)</f>
        <v/>
      </c>
      <c r="L231" s="70">
        <f>IF('Final Calculation Sheet'!$H$32="","",'Final Calculation Sheet'!$H$32)</f>
        <v/>
      </c>
      <c r="M231" s="776">
        <f>IF('Final Calculation Sheet'!$H$33="","",'Final Calculation Sheet'!$H$33)</f>
        <v/>
      </c>
      <c r="N231" s="70">
        <f>IF('Final Calculation Sheet'!$H$37="","",'Final Calculation Sheet'!$H$37)</f>
        <v/>
      </c>
      <c r="O231" s="990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776">
        <f>IF('Final Calculation Sheet'!$I$10="","",'Final Calculation Sheet'!$I$10)</f>
        <v/>
      </c>
      <c r="D232" s="70">
        <f>IF('Final Calculation Sheet'!$I$11="","",'Final Calculation Sheet'!$I$11)</f>
        <v/>
      </c>
      <c r="E232" s="776">
        <f>IF('Final Calculation Sheet'!$I$12="","",'Final Calculation Sheet'!$I$12)</f>
        <v/>
      </c>
      <c r="F232" s="70">
        <f>IF('Final Calculation Sheet'!$I$18="","",'Final Calculation Sheet'!$I$18)</f>
        <v/>
      </c>
      <c r="G232" s="776">
        <f>IF('Final Calculation Sheet'!$I$19="","",'Final Calculation Sheet'!$I$19)</f>
        <v/>
      </c>
      <c r="H232" s="70">
        <f>IF('Final Calculation Sheet'!$I$22="","",'Final Calculation Sheet'!$I$22)</f>
        <v/>
      </c>
      <c r="I232" s="776">
        <f>IF('Final Calculation Sheet'!$I$24="","",'Final Calculation Sheet'!$I$24)</f>
        <v/>
      </c>
      <c r="J232" s="70">
        <f>IF('Final Calculation Sheet'!$I$26="","",'Final Calculation Sheet'!$I$26)</f>
        <v/>
      </c>
      <c r="K232" s="776">
        <f>IF('Final Calculation Sheet'!$I$30="","",'Final Calculation Sheet'!$I$30)</f>
        <v/>
      </c>
      <c r="L232" s="70">
        <f>IF('Final Calculation Sheet'!$I$32="","",'Final Calculation Sheet'!$I$32)</f>
        <v/>
      </c>
      <c r="M232" s="776">
        <f>IF('Final Calculation Sheet'!$I$33="","",'Final Calculation Sheet'!$I$33)</f>
        <v/>
      </c>
      <c r="N232" s="70">
        <f>IF('Final Calculation Sheet'!$I$37="","",'Final Calculation Sheet'!$I$37)</f>
        <v/>
      </c>
      <c r="O232" s="990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776">
        <f>IF('Final Calculation Sheet'!$J$10="","",'Final Calculation Sheet'!$J$10)</f>
        <v/>
      </c>
      <c r="D233" s="70">
        <f>IF('Final Calculation Sheet'!$J$11="","",'Final Calculation Sheet'!$J$11)</f>
        <v/>
      </c>
      <c r="E233" s="776">
        <f>IF('Final Calculation Sheet'!$J$12="","",'Final Calculation Sheet'!$J$12)</f>
        <v/>
      </c>
      <c r="F233" s="70">
        <f>IF('Final Calculation Sheet'!$J$18="","",'Final Calculation Sheet'!$J$18)</f>
        <v/>
      </c>
      <c r="G233" s="776">
        <f>IF('Final Calculation Sheet'!$J$19="","",'Final Calculation Sheet'!$J$19)</f>
        <v/>
      </c>
      <c r="H233" s="70">
        <f>IF('Final Calculation Sheet'!$J$22="","",'Final Calculation Sheet'!$J$22)</f>
        <v/>
      </c>
      <c r="I233" s="776">
        <f>IF('Final Calculation Sheet'!$J$24="","",'Final Calculation Sheet'!$J$24)</f>
        <v/>
      </c>
      <c r="J233" s="70">
        <f>IF('Final Calculation Sheet'!$J$26="","",'Final Calculation Sheet'!$J$26)</f>
        <v/>
      </c>
      <c r="K233" s="776">
        <f>IF('Final Calculation Sheet'!$J$30="","",'Final Calculation Sheet'!$J$30)</f>
        <v/>
      </c>
      <c r="L233" s="70">
        <f>IF('Final Calculation Sheet'!$J$32="","",'Final Calculation Sheet'!$J$32)</f>
        <v/>
      </c>
      <c r="M233" s="776">
        <f>IF('Final Calculation Sheet'!$J$33="","",'Final Calculation Sheet'!$J$33)</f>
        <v/>
      </c>
      <c r="N233" s="70">
        <f>IF('Final Calculation Sheet'!$J$37="","",'Final Calculation Sheet'!$J$37)</f>
        <v/>
      </c>
      <c r="O233" s="990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776">
        <f>IF('Final Calculation Sheet'!$K$10="","",'Final Calculation Sheet'!$K$10)</f>
        <v/>
      </c>
      <c r="D234" s="70">
        <f>IF('Final Calculation Sheet'!$K$11="","",'Final Calculation Sheet'!$K$11)</f>
        <v/>
      </c>
      <c r="E234" s="776">
        <f>IF('Final Calculation Sheet'!$K$12="","",'Final Calculation Sheet'!$K$12)</f>
        <v/>
      </c>
      <c r="F234" s="70">
        <f>IF('Final Calculation Sheet'!$K$18="","",'Final Calculation Sheet'!$K$18)</f>
        <v/>
      </c>
      <c r="G234" s="776">
        <f>IF('Final Calculation Sheet'!$K$19="","",'Final Calculation Sheet'!$K$19)</f>
        <v/>
      </c>
      <c r="H234" s="70">
        <f>IF('Final Calculation Sheet'!$K$22="","",'Final Calculation Sheet'!$K$22)</f>
        <v/>
      </c>
      <c r="I234" s="776">
        <f>IF('Final Calculation Sheet'!$K$24="","",'Final Calculation Sheet'!$K$24)</f>
        <v/>
      </c>
      <c r="J234" s="70">
        <f>IF('Final Calculation Sheet'!$K$26="","",'Final Calculation Sheet'!$K$26)</f>
        <v/>
      </c>
      <c r="K234" s="776">
        <f>IF('Final Calculation Sheet'!$K$30="","",'Final Calculation Sheet'!$K$30)</f>
        <v/>
      </c>
      <c r="L234" s="70">
        <f>IF('Final Calculation Sheet'!$K$32="","",'Final Calculation Sheet'!$K$32)</f>
        <v/>
      </c>
      <c r="M234" s="776">
        <f>IF('Final Calculation Sheet'!$K$33="","",'Final Calculation Sheet'!$K$33)</f>
        <v/>
      </c>
      <c r="N234" s="70">
        <f>IF('Final Calculation Sheet'!$K$37="","",'Final Calculation Sheet'!$K$37)</f>
        <v/>
      </c>
      <c r="O234" s="990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804">
        <f>IF('Final Calculation Sheet'!$L$10="","",'Final Calculation Sheet'!$L$10)</f>
        <v/>
      </c>
      <c r="D235" s="78">
        <f>IF('Final Calculation Sheet'!$L$11="","",'Final Calculation Sheet'!$L$11)</f>
        <v/>
      </c>
      <c r="E235" s="804">
        <f>IF('Final Calculation Sheet'!$L$12="","",'Final Calculation Sheet'!$L$12)</f>
        <v/>
      </c>
      <c r="F235" s="78">
        <f>IF('Final Calculation Sheet'!$L$18="","",'Final Calculation Sheet'!$L$18)</f>
        <v/>
      </c>
      <c r="G235" s="804">
        <f>IF('Final Calculation Sheet'!$L$19="","",'Final Calculation Sheet'!$L$19)</f>
        <v/>
      </c>
      <c r="H235" s="78">
        <f>IF('Final Calculation Sheet'!$L$22="","",'Final Calculation Sheet'!$L$22)</f>
        <v/>
      </c>
      <c r="I235" s="804">
        <f>IF('Final Calculation Sheet'!$L$24="","",'Final Calculation Sheet'!$L$24)</f>
        <v/>
      </c>
      <c r="J235" s="78">
        <f>IF('Final Calculation Sheet'!$L$26="","",'Final Calculation Sheet'!$L$26)</f>
        <v/>
      </c>
      <c r="K235" s="804">
        <f>IF('Final Calculation Sheet'!$L$30="","",'Final Calculation Sheet'!$L$30)</f>
        <v/>
      </c>
      <c r="L235" s="78">
        <f>IF('Final Calculation Sheet'!$L$32="","",'Final Calculation Sheet'!$L$32)</f>
        <v/>
      </c>
      <c r="M235" s="804">
        <f>IF('Final Calculation Sheet'!$L$33="","",'Final Calculation Sheet'!$L$33)</f>
        <v/>
      </c>
      <c r="N235" s="78">
        <f>IF('Final Calculation Sheet'!$L$37="","",'Final Calculation Sheet'!$L$37)</f>
        <v/>
      </c>
      <c r="O235" s="991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804">
        <f>IF('Final Calculation Sheet'!$M$10="","",'Final Calculation Sheet'!$M$10)</f>
        <v/>
      </c>
      <c r="D236" s="78">
        <f>IF('Final Calculation Sheet'!$M$11="","",'Final Calculation Sheet'!$M$11)</f>
        <v/>
      </c>
      <c r="E236" s="804">
        <f>IF('Final Calculation Sheet'!$M$12="","",'Final Calculation Sheet'!$M$12)</f>
        <v/>
      </c>
      <c r="F236" s="78">
        <f>IF('Final Calculation Sheet'!$M$18="","",'Final Calculation Sheet'!$M$18)</f>
        <v/>
      </c>
      <c r="G236" s="804">
        <f>IF('Final Calculation Sheet'!$M$19="","",'Final Calculation Sheet'!$M$19)</f>
        <v/>
      </c>
      <c r="H236" s="78">
        <f>IF('Final Calculation Sheet'!$M$22="","",'Final Calculation Sheet'!$M$22)</f>
        <v/>
      </c>
      <c r="I236" s="804">
        <f>IF('Final Calculation Sheet'!$M$24="","",'Final Calculation Sheet'!$M$24)</f>
        <v/>
      </c>
      <c r="J236" s="78">
        <f>IF('Final Calculation Sheet'!$M$26="","",'Final Calculation Sheet'!$M$26)</f>
        <v/>
      </c>
      <c r="K236" s="804">
        <f>IF('Final Calculation Sheet'!$M$30="","",'Final Calculation Sheet'!$M$30)</f>
        <v/>
      </c>
      <c r="L236" s="78">
        <f>IF('Final Calculation Sheet'!$M$32="","",'Final Calculation Sheet'!$M$32)</f>
        <v/>
      </c>
      <c r="M236" s="804">
        <f>IF('Final Calculation Sheet'!$M$33="","",'Final Calculation Sheet'!$M$33)</f>
        <v/>
      </c>
      <c r="N236" s="78">
        <f>IF('Final Calculation Sheet'!$M$37="","",'Final Calculation Sheet'!$M$37)</f>
        <v/>
      </c>
      <c r="O236" s="991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804">
        <f>IF('Final Calculation Sheet'!$N$10="","",'Final Calculation Sheet'!$N$10)</f>
        <v/>
      </c>
      <c r="D237" s="78">
        <f>IF('Final Calculation Sheet'!$N$11="","",'Final Calculation Sheet'!$N$11)</f>
        <v/>
      </c>
      <c r="E237" s="804">
        <f>IF('Final Calculation Sheet'!$N$12="","",'Final Calculation Sheet'!$N$12)</f>
        <v/>
      </c>
      <c r="F237" s="78">
        <f>IF('Final Calculation Sheet'!$N$18="","",'Final Calculation Sheet'!$N$18)</f>
        <v/>
      </c>
      <c r="G237" s="804">
        <f>IF('Final Calculation Sheet'!$N$19="","",'Final Calculation Sheet'!$N$19)</f>
        <v/>
      </c>
      <c r="H237" s="78">
        <f>IF('Final Calculation Sheet'!$N$22="","",'Final Calculation Sheet'!$N$22)</f>
        <v/>
      </c>
      <c r="I237" s="804">
        <f>IF('Final Calculation Sheet'!$N$24="","",'Final Calculation Sheet'!$N$24)</f>
        <v/>
      </c>
      <c r="J237" s="78">
        <f>IF('Final Calculation Sheet'!$N$26="","",'Final Calculation Sheet'!$N$26)</f>
        <v/>
      </c>
      <c r="K237" s="804">
        <f>IF('Final Calculation Sheet'!$N$30="","",'Final Calculation Sheet'!$N$30)</f>
        <v/>
      </c>
      <c r="L237" s="78">
        <f>IF('Final Calculation Sheet'!$N$32="","",'Final Calculation Sheet'!$N$32)</f>
        <v/>
      </c>
      <c r="M237" s="804">
        <f>IF('Final Calculation Sheet'!$N$33="","",'Final Calculation Sheet'!$N$33)</f>
        <v/>
      </c>
      <c r="N237" s="78">
        <f>IF('Final Calculation Sheet'!$N$37="","",'Final Calculation Sheet'!$N$37)</f>
        <v/>
      </c>
      <c r="O237" s="991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804">
        <f>IF('Final Calculation Sheet'!$O$10="","",'Final Calculation Sheet'!$O$10)</f>
        <v/>
      </c>
      <c r="D238" s="78">
        <f>IF('Final Calculation Sheet'!$O$11="","",'Final Calculation Sheet'!$O$11)</f>
        <v/>
      </c>
      <c r="E238" s="804">
        <f>IF('Final Calculation Sheet'!$O$12="","",'Final Calculation Sheet'!$O$12)</f>
        <v/>
      </c>
      <c r="F238" s="78">
        <f>IF('Final Calculation Sheet'!$O$18="","",'Final Calculation Sheet'!$O$18)</f>
        <v/>
      </c>
      <c r="G238" s="804">
        <f>IF('Final Calculation Sheet'!$O$19="","",'Final Calculation Sheet'!$O$19)</f>
        <v/>
      </c>
      <c r="H238" s="78">
        <f>IF('Final Calculation Sheet'!$O$22="","",'Final Calculation Sheet'!$O$22)</f>
        <v/>
      </c>
      <c r="I238" s="804">
        <f>IF('Final Calculation Sheet'!$O$24="","",'Final Calculation Sheet'!$O$24)</f>
        <v/>
      </c>
      <c r="J238" s="78">
        <f>IF('Final Calculation Sheet'!$O$26="","",'Final Calculation Sheet'!$O$26)</f>
        <v/>
      </c>
      <c r="K238" s="804">
        <f>IF('Final Calculation Sheet'!$O$30="","",'Final Calculation Sheet'!$O$30)</f>
        <v/>
      </c>
      <c r="L238" s="78">
        <f>IF('Final Calculation Sheet'!$O$32="","",'Final Calculation Sheet'!$O$32)</f>
        <v/>
      </c>
      <c r="M238" s="804">
        <f>IF('Final Calculation Sheet'!$O$33="","",'Final Calculation Sheet'!$O$33)</f>
        <v/>
      </c>
      <c r="N238" s="78">
        <f>IF('Final Calculation Sheet'!$O$37="","",'Final Calculation Sheet'!$O$37)</f>
        <v/>
      </c>
      <c r="O238" s="991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776">
        <f>IF('Final Calculation Sheet'!$P$10="","",'Final Calculation Sheet'!$P$10)</f>
        <v/>
      </c>
      <c r="D239" s="70">
        <f>IF('Final Calculation Sheet'!$P$11="","",'Final Calculation Sheet'!$P$11)</f>
        <v/>
      </c>
      <c r="E239" s="776">
        <f>IF('Final Calculation Sheet'!$P$12="","",'Final Calculation Sheet'!$P$12)</f>
        <v/>
      </c>
      <c r="F239" s="70">
        <f>IF('Final Calculation Sheet'!$P$18="","",'Final Calculation Sheet'!$P$18)</f>
        <v/>
      </c>
      <c r="G239" s="776">
        <f>IF('Final Calculation Sheet'!$P$19="","",'Final Calculation Sheet'!$P$19)</f>
        <v/>
      </c>
      <c r="H239" s="70">
        <f>IF('Final Calculation Sheet'!$P$22="","",'Final Calculation Sheet'!$P$22)</f>
        <v/>
      </c>
      <c r="I239" s="776">
        <f>IF('Final Calculation Sheet'!$P$24="","",'Final Calculation Sheet'!$P$24)</f>
        <v/>
      </c>
      <c r="J239" s="70">
        <f>IF('Final Calculation Sheet'!$P$26="","",'Final Calculation Sheet'!$P$26)</f>
        <v/>
      </c>
      <c r="K239" s="776">
        <f>IF('Final Calculation Sheet'!$P$30="","",'Final Calculation Sheet'!$P$30)</f>
        <v/>
      </c>
      <c r="L239" s="70">
        <f>IF('Final Calculation Sheet'!$P$32="","",'Final Calculation Sheet'!$P$32)</f>
        <v/>
      </c>
      <c r="M239" s="776">
        <f>IF('Final Calculation Sheet'!$P$33="","",'Final Calculation Sheet'!$P$33)</f>
        <v/>
      </c>
      <c r="N239" s="70">
        <f>IF('Final Calculation Sheet'!$P$37="","",'Final Calculation Sheet'!$P$37)</f>
        <v/>
      </c>
      <c r="O239" s="990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992">
        <f>IF('Final Calculation Sheet'!$Q$10="","",'Final Calculation Sheet'!$Q$10)</f>
        <v/>
      </c>
      <c r="D240" s="80">
        <f>IF('Final Calculation Sheet'!$Q$11="","",'Final Calculation Sheet'!$Q$11)</f>
        <v/>
      </c>
      <c r="E240" s="992">
        <f>IF('Final Calculation Sheet'!$Q$12="","",'Final Calculation Sheet'!$Q$12)</f>
        <v/>
      </c>
      <c r="F240" s="80">
        <f>IF('Final Calculation Sheet'!$Q$18="","",'Final Calculation Sheet'!$Q$18)</f>
        <v/>
      </c>
      <c r="G240" s="992">
        <f>IF('Final Calculation Sheet'!$Q$19="","",'Final Calculation Sheet'!$Q$19)</f>
        <v/>
      </c>
      <c r="H240" s="80">
        <f>IF('Final Calculation Sheet'!$Q$22="","",'Final Calculation Sheet'!$Q$22)</f>
        <v/>
      </c>
      <c r="I240" s="992">
        <f>IF('Final Calculation Sheet'!$Q$24="","",'Final Calculation Sheet'!$Q$24)</f>
        <v/>
      </c>
      <c r="J240" s="80">
        <f>IF('Final Calculation Sheet'!$Q$26="","",'Final Calculation Sheet'!$Q$26)</f>
        <v/>
      </c>
      <c r="K240" s="992">
        <f>IF('Final Calculation Sheet'!$Q$30="","",'Final Calculation Sheet'!$Q$30)</f>
        <v/>
      </c>
      <c r="L240" s="80">
        <f>IF('Final Calculation Sheet'!$Q$32="","",'Final Calculation Sheet'!$Q$32)</f>
        <v/>
      </c>
      <c r="M240" s="992">
        <f>IF('Final Calculation Sheet'!$Q$33="","",'Final Calculation Sheet'!$Q$33)</f>
        <v/>
      </c>
      <c r="N240" s="80">
        <f>IF('Final Calculation Sheet'!$Q$37="","",'Final Calculation Sheet'!$Q$37)</f>
        <v/>
      </c>
      <c r="O240" s="986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776">
        <f>IF('Final Calculation Sheet'!$R$10="","",'Final Calculation Sheet'!$R$10)</f>
        <v/>
      </c>
      <c r="D241" s="70">
        <f>IF('Final Calculation Sheet'!$R$11="","",'Final Calculation Sheet'!$R$11)</f>
        <v/>
      </c>
      <c r="E241" s="776">
        <f>IF('Final Calculation Sheet'!$R$12="","",'Final Calculation Sheet'!$R$12)</f>
        <v/>
      </c>
      <c r="F241" s="70">
        <f>IF('Final Calculation Sheet'!$R$18="","",'Final Calculation Sheet'!$R$18)</f>
        <v/>
      </c>
      <c r="G241" s="776">
        <f>IF('Final Calculation Sheet'!$R$19="","",'Final Calculation Sheet'!$R$19)</f>
        <v/>
      </c>
      <c r="H241" s="70">
        <f>IF('Final Calculation Sheet'!$R$22="","",'Final Calculation Sheet'!$R$22)</f>
        <v/>
      </c>
      <c r="I241" s="776">
        <f>IF('Final Calculation Sheet'!$R$24="","",'Final Calculation Sheet'!$R$24)</f>
        <v/>
      </c>
      <c r="J241" s="70">
        <f>IF('Final Calculation Sheet'!$R$26="","",'Final Calculation Sheet'!$R$26)</f>
        <v/>
      </c>
      <c r="K241" s="776">
        <f>IF('Final Calculation Sheet'!$R$30="","",'Final Calculation Sheet'!$R$30)</f>
        <v/>
      </c>
      <c r="L241" s="70">
        <f>IF('Final Calculation Sheet'!$R$32="","",'Final Calculation Sheet'!$R$32)</f>
        <v/>
      </c>
      <c r="M241" s="776">
        <f>IF('Final Calculation Sheet'!$R$33="","",'Final Calculation Sheet'!$R$33)</f>
        <v/>
      </c>
      <c r="N241" s="70">
        <f>IF('Final Calculation Sheet'!$R$37="","",'Final Calculation Sheet'!$R$37)</f>
        <v/>
      </c>
      <c r="O241" s="990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776">
        <f>IF('Final Calculation Sheet'!$S$10="","",'Final Calculation Sheet'!$S$10)</f>
        <v/>
      </c>
      <c r="D242" s="70">
        <f>IF('Final Calculation Sheet'!$S$11="","",'Final Calculation Sheet'!$S$11)</f>
        <v/>
      </c>
      <c r="E242" s="776">
        <f>IF('Final Calculation Sheet'!$S$12="","",'Final Calculation Sheet'!$S$12)</f>
        <v/>
      </c>
      <c r="F242" s="70">
        <f>IF('Final Calculation Sheet'!$S$18="","",'Final Calculation Sheet'!$S$18)</f>
        <v/>
      </c>
      <c r="G242" s="776">
        <f>IF('Final Calculation Sheet'!$S$19="","",'Final Calculation Sheet'!$S$19)</f>
        <v/>
      </c>
      <c r="H242" s="70">
        <f>IF('Final Calculation Sheet'!$S$22="","",'Final Calculation Sheet'!$S$22)</f>
        <v/>
      </c>
      <c r="I242" s="776">
        <f>IF('Final Calculation Sheet'!$S$24="","",'Final Calculation Sheet'!$S$24)</f>
        <v/>
      </c>
      <c r="J242" s="70">
        <f>IF('Final Calculation Sheet'!$S$26="","",'Final Calculation Sheet'!$S$26)</f>
        <v/>
      </c>
      <c r="K242" s="776">
        <f>IF('Final Calculation Sheet'!$S$30="","",'Final Calculation Sheet'!$S$30)</f>
        <v/>
      </c>
      <c r="L242" s="70">
        <f>IF('Final Calculation Sheet'!$S$32="","",'Final Calculation Sheet'!$S$32)</f>
        <v/>
      </c>
      <c r="M242" s="776">
        <f>IF('Final Calculation Sheet'!$S$33="","",'Final Calculation Sheet'!$S$33)</f>
        <v/>
      </c>
      <c r="N242" s="70">
        <f>IF('Final Calculation Sheet'!$S$37="","",'Final Calculation Sheet'!$S$37)</f>
        <v/>
      </c>
      <c r="O242" s="990">
        <f>SUM(B242:N242)</f>
        <v/>
      </c>
    </row>
    <row r="243" outlineLevel="1" ht="16" customHeight="1">
      <c r="A243" s="983" t="inlineStr">
        <is>
          <t xml:space="preserve">  ▸ SECURITY DEPOSIT</t>
        </is>
      </c>
      <c r="B243" s="910" t="n"/>
      <c r="C243" s="910" t="n"/>
      <c r="D243" s="910" t="n"/>
      <c r="E243" s="910" t="n"/>
      <c r="F243" s="910" t="n"/>
      <c r="G243" s="910" t="n"/>
      <c r="H243" s="910" t="n"/>
      <c r="I243" s="910" t="n"/>
      <c r="J243" s="910" t="n"/>
      <c r="K243" s="910" t="n"/>
      <c r="L243" s="910" t="n"/>
      <c r="M243" s="910" t="n"/>
      <c r="N243" s="910" t="n"/>
      <c r="O243" s="91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776">
        <f>IF('Final Calculation Sheet'!$T$10="","",'Final Calculation Sheet'!$T$10)</f>
        <v/>
      </c>
      <c r="D244" s="70">
        <f>IF('Final Calculation Sheet'!$T$11="","",'Final Calculation Sheet'!$T$11)</f>
        <v/>
      </c>
      <c r="E244" s="776">
        <f>IF('Final Calculation Sheet'!$T$12="","",'Final Calculation Sheet'!$T$12)</f>
        <v/>
      </c>
      <c r="F244" s="70">
        <f>IF('Final Calculation Sheet'!$T$18="","",'Final Calculation Sheet'!$T$18)</f>
        <v/>
      </c>
      <c r="G244" s="776">
        <f>IF('Final Calculation Sheet'!$T$19="","",'Final Calculation Sheet'!$T$19)</f>
        <v/>
      </c>
      <c r="H244" s="70">
        <f>IF('Final Calculation Sheet'!$T$22="","",'Final Calculation Sheet'!$T$22)</f>
        <v/>
      </c>
      <c r="I244" s="776">
        <f>IF('Final Calculation Sheet'!$T$24="","",'Final Calculation Sheet'!$T$24)</f>
        <v/>
      </c>
      <c r="J244" s="70">
        <f>IF('Final Calculation Sheet'!$T$26="","",'Final Calculation Sheet'!$T$26)</f>
        <v/>
      </c>
      <c r="K244" s="776">
        <f>IF('Final Calculation Sheet'!$T$30="","",'Final Calculation Sheet'!$T$30)</f>
        <v/>
      </c>
      <c r="L244" s="70">
        <f>IF('Final Calculation Sheet'!$T$32="","",'Final Calculation Sheet'!$T$32)</f>
        <v/>
      </c>
      <c r="M244" s="776">
        <f>IF('Final Calculation Sheet'!$T$33="","",'Final Calculation Sheet'!$T$33)</f>
        <v/>
      </c>
      <c r="N244" s="70">
        <f>IF('Final Calculation Sheet'!$T$37="","",'Final Calculation Sheet'!$T$37)</f>
        <v/>
      </c>
      <c r="O244" s="990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776">
        <f>IF('Final Calculation Sheet'!$U$10="","",'Final Calculation Sheet'!$U$10)</f>
        <v/>
      </c>
      <c r="D245" s="70">
        <f>IF('Final Calculation Sheet'!$U$11="","",'Final Calculation Sheet'!$U$11)</f>
        <v/>
      </c>
      <c r="E245" s="776">
        <f>IF('Final Calculation Sheet'!$U$12="","",'Final Calculation Sheet'!$U$12)</f>
        <v/>
      </c>
      <c r="F245" s="70">
        <f>IF('Final Calculation Sheet'!$U$18="","",'Final Calculation Sheet'!$U$18)</f>
        <v/>
      </c>
      <c r="G245" s="776">
        <f>IF('Final Calculation Sheet'!$U$19="","",'Final Calculation Sheet'!$U$19)</f>
        <v/>
      </c>
      <c r="H245" s="70">
        <f>IF('Final Calculation Sheet'!$U$22="","",'Final Calculation Sheet'!$U$22)</f>
        <v/>
      </c>
      <c r="I245" s="776">
        <f>IF('Final Calculation Sheet'!$U$24="","",'Final Calculation Sheet'!$U$24)</f>
        <v/>
      </c>
      <c r="J245" s="70">
        <f>IF('Final Calculation Sheet'!$U$26="","",'Final Calculation Sheet'!$U$26)</f>
        <v/>
      </c>
      <c r="K245" s="776">
        <f>IF('Final Calculation Sheet'!$U$30="","",'Final Calculation Sheet'!$U$30)</f>
        <v/>
      </c>
      <c r="L245" s="70">
        <f>IF('Final Calculation Sheet'!$U$32="","",'Final Calculation Sheet'!$U$32)</f>
        <v/>
      </c>
      <c r="M245" s="776">
        <f>IF('Final Calculation Sheet'!$U$33="","",'Final Calculation Sheet'!$U$33)</f>
        <v/>
      </c>
      <c r="N245" s="70">
        <f>IF('Final Calculation Sheet'!$U$37="","",'Final Calculation Sheet'!$U$37)</f>
        <v/>
      </c>
      <c r="O245" s="990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989">
        <f>IF('Final Calculation Sheet'!$V$10="","",'Final Calculation Sheet'!$V$10)</f>
        <v/>
      </c>
      <c r="D246" s="76">
        <f>IF('Final Calculation Sheet'!$V$11="","",'Final Calculation Sheet'!$V$11)</f>
        <v/>
      </c>
      <c r="E246" s="989">
        <f>IF('Final Calculation Sheet'!$V$12="","",'Final Calculation Sheet'!$V$12)</f>
        <v/>
      </c>
      <c r="F246" s="76">
        <f>IF('Final Calculation Sheet'!$V$18="","",'Final Calculation Sheet'!$V$18)</f>
        <v/>
      </c>
      <c r="G246" s="989">
        <f>IF('Final Calculation Sheet'!$V$19="","",'Final Calculation Sheet'!$V$19)</f>
        <v/>
      </c>
      <c r="H246" s="76">
        <f>IF('Final Calculation Sheet'!$V$22="","",'Final Calculation Sheet'!$V$22)</f>
        <v/>
      </c>
      <c r="I246" s="989">
        <f>IF('Final Calculation Sheet'!$V$24="","",'Final Calculation Sheet'!$V$24)</f>
        <v/>
      </c>
      <c r="J246" s="76">
        <f>IF('Final Calculation Sheet'!$V$26="","",'Final Calculation Sheet'!$V$26)</f>
        <v/>
      </c>
      <c r="K246" s="989">
        <f>IF('Final Calculation Sheet'!$V$30="","",'Final Calculation Sheet'!$V$30)</f>
        <v/>
      </c>
      <c r="L246" s="76">
        <f>IF('Final Calculation Sheet'!$V$32="","",'Final Calculation Sheet'!$V$32)</f>
        <v/>
      </c>
      <c r="M246" s="989">
        <f>IF('Final Calculation Sheet'!$V$33="","",'Final Calculation Sheet'!$V$33)</f>
        <v/>
      </c>
      <c r="N246" s="76">
        <f>IF('Final Calculation Sheet'!$V$37="","",'Final Calculation Sheet'!$V$37)</f>
        <v/>
      </c>
      <c r="O246" s="986" t="inlineStr">
        <is>
          <t>–</t>
        </is>
      </c>
    </row>
    <row r="247" outlineLevel="1" ht="16" customHeight="1">
      <c r="A247" s="983" t="inlineStr">
        <is>
          <t xml:space="preserve">  ▸ FINAL PAYMENT</t>
        </is>
      </c>
      <c r="B247" s="910" t="n"/>
      <c r="C247" s="910" t="n"/>
      <c r="D247" s="910" t="n"/>
      <c r="E247" s="910" t="n"/>
      <c r="F247" s="910" t="n"/>
      <c r="G247" s="910" t="n"/>
      <c r="H247" s="910" t="n"/>
      <c r="I247" s="910" t="n"/>
      <c r="J247" s="910" t="n"/>
      <c r="K247" s="910" t="n"/>
      <c r="L247" s="910" t="n"/>
      <c r="M247" s="910" t="n"/>
      <c r="N247" s="910" t="n"/>
      <c r="O247" s="91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776">
        <f>IF('Final Calculation Sheet'!$W$10="","",'Final Calculation Sheet'!$W$10)</f>
        <v/>
      </c>
      <c r="D248" s="70">
        <f>IF('Final Calculation Sheet'!$W$11="","",'Final Calculation Sheet'!$W$11)</f>
        <v/>
      </c>
      <c r="E248" s="776">
        <f>IF('Final Calculation Sheet'!$W$12="","",'Final Calculation Sheet'!$W$12)</f>
        <v/>
      </c>
      <c r="F248" s="70">
        <f>IF('Final Calculation Sheet'!$W$18="","",'Final Calculation Sheet'!$W$18)</f>
        <v/>
      </c>
      <c r="G248" s="776">
        <f>IF('Final Calculation Sheet'!$W$19="","",'Final Calculation Sheet'!$W$19)</f>
        <v/>
      </c>
      <c r="H248" s="70">
        <f>IF('Final Calculation Sheet'!$W$22="","",'Final Calculation Sheet'!$W$22)</f>
        <v/>
      </c>
      <c r="I248" s="776">
        <f>IF('Final Calculation Sheet'!$W$24="","",'Final Calculation Sheet'!$W$24)</f>
        <v/>
      </c>
      <c r="J248" s="70">
        <f>IF('Final Calculation Sheet'!$W$26="","",'Final Calculation Sheet'!$W$26)</f>
        <v/>
      </c>
      <c r="K248" s="776">
        <f>IF('Final Calculation Sheet'!$W$30="","",'Final Calculation Sheet'!$W$30)</f>
        <v/>
      </c>
      <c r="L248" s="70">
        <f>IF('Final Calculation Sheet'!$W$32="","",'Final Calculation Sheet'!$W$32)</f>
        <v/>
      </c>
      <c r="M248" s="776">
        <f>IF('Final Calculation Sheet'!$W$33="","",'Final Calculation Sheet'!$W$33)</f>
        <v/>
      </c>
      <c r="N248" s="70">
        <f>IF('Final Calculation Sheet'!$W$37="","",'Final Calculation Sheet'!$W$37)</f>
        <v/>
      </c>
      <c r="O248" s="990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776">
        <f>IF('Final Calculation Sheet'!$X$10="","",'Final Calculation Sheet'!$X$10)</f>
        <v/>
      </c>
      <c r="D249" s="70">
        <f>IF('Final Calculation Sheet'!$X$11="","",'Final Calculation Sheet'!$X$11)</f>
        <v/>
      </c>
      <c r="E249" s="776">
        <f>IF('Final Calculation Sheet'!$X$12="","",'Final Calculation Sheet'!$X$12)</f>
        <v/>
      </c>
      <c r="F249" s="70">
        <f>IF('Final Calculation Sheet'!$X$18="","",'Final Calculation Sheet'!$X$18)</f>
        <v/>
      </c>
      <c r="G249" s="776">
        <f>IF('Final Calculation Sheet'!$X$19="","",'Final Calculation Sheet'!$X$19)</f>
        <v/>
      </c>
      <c r="H249" s="70">
        <f>IF('Final Calculation Sheet'!$X$22="","",'Final Calculation Sheet'!$X$22)</f>
        <v/>
      </c>
      <c r="I249" s="776">
        <f>IF('Final Calculation Sheet'!$X$24="","",'Final Calculation Sheet'!$X$24)</f>
        <v/>
      </c>
      <c r="J249" s="70">
        <f>IF('Final Calculation Sheet'!$X$26="","",'Final Calculation Sheet'!$X$26)</f>
        <v/>
      </c>
      <c r="K249" s="776">
        <f>IF('Final Calculation Sheet'!$X$30="","",'Final Calculation Sheet'!$X$30)</f>
        <v/>
      </c>
      <c r="L249" s="70">
        <f>IF('Final Calculation Sheet'!$X$32="","",'Final Calculation Sheet'!$X$32)</f>
        <v/>
      </c>
      <c r="M249" s="776">
        <f>IF('Final Calculation Sheet'!$X$33="","",'Final Calculation Sheet'!$X$33)</f>
        <v/>
      </c>
      <c r="N249" s="70">
        <f>IF('Final Calculation Sheet'!$X$37="","",'Final Calculation Sheet'!$X$37)</f>
        <v/>
      </c>
      <c r="O249" s="990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989">
        <f>IF('Final Calculation Sheet'!$Y$10="","",'Final Calculation Sheet'!$Y$10)</f>
        <v/>
      </c>
      <c r="D250" s="76">
        <f>IF('Final Calculation Sheet'!$Y$11="","",'Final Calculation Sheet'!$Y$11)</f>
        <v/>
      </c>
      <c r="E250" s="989">
        <f>IF('Final Calculation Sheet'!$Y$12="","",'Final Calculation Sheet'!$Y$12)</f>
        <v/>
      </c>
      <c r="F250" s="76">
        <f>IF('Final Calculation Sheet'!$Y$18="","",'Final Calculation Sheet'!$Y$18)</f>
        <v/>
      </c>
      <c r="G250" s="989">
        <f>IF('Final Calculation Sheet'!$Y$19="","",'Final Calculation Sheet'!$Y$19)</f>
        <v/>
      </c>
      <c r="H250" s="76">
        <f>IF('Final Calculation Sheet'!$Y$22="","",'Final Calculation Sheet'!$Y$22)</f>
        <v/>
      </c>
      <c r="I250" s="989">
        <f>IF('Final Calculation Sheet'!$Y$24="","",'Final Calculation Sheet'!$Y$24)</f>
        <v/>
      </c>
      <c r="J250" s="76">
        <f>IF('Final Calculation Sheet'!$Y$26="","",'Final Calculation Sheet'!$Y$26)</f>
        <v/>
      </c>
      <c r="K250" s="989">
        <f>IF('Final Calculation Sheet'!$Y$30="","",'Final Calculation Sheet'!$Y$30)</f>
        <v/>
      </c>
      <c r="L250" s="76">
        <f>IF('Final Calculation Sheet'!$Y$32="","",'Final Calculation Sheet'!$Y$32)</f>
        <v/>
      </c>
      <c r="M250" s="989">
        <f>IF('Final Calculation Sheet'!$Y$33="","",'Final Calculation Sheet'!$Y$33)</f>
        <v/>
      </c>
      <c r="N250" s="76">
        <f>IF('Final Calculation Sheet'!$Y$37="","",'Final Calculation Sheet'!$Y$37)</f>
        <v/>
      </c>
      <c r="O250" s="986" t="inlineStr">
        <is>
          <t>–</t>
        </is>
      </c>
    </row>
    <row r="251" outlineLevel="1" ht="16" customHeight="1">
      <c r="A251" s="983" t="inlineStr">
        <is>
          <t xml:space="preserve">  ▸ LPP</t>
        </is>
      </c>
      <c r="B251" s="910" t="n"/>
      <c r="C251" s="910" t="n"/>
      <c r="D251" s="910" t="n"/>
      <c r="E251" s="910" t="n"/>
      <c r="F251" s="910" t="n"/>
      <c r="G251" s="910" t="n"/>
      <c r="H251" s="910" t="n"/>
      <c r="I251" s="910" t="n"/>
      <c r="J251" s="910" t="n"/>
      <c r="K251" s="910" t="n"/>
      <c r="L251" s="910" t="n"/>
      <c r="M251" s="910" t="n"/>
      <c r="N251" s="910" t="n"/>
      <c r="O251" s="91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776">
        <f>IF('Final Calculation Sheet'!$Z$10="","",'Final Calculation Sheet'!$Z$10)</f>
        <v/>
      </c>
      <c r="D252" s="70">
        <f>IF('Final Calculation Sheet'!$Z$11="","",'Final Calculation Sheet'!$Z$11)</f>
        <v/>
      </c>
      <c r="E252" s="776">
        <f>IF('Final Calculation Sheet'!$Z$12="","",'Final Calculation Sheet'!$Z$12)</f>
        <v/>
      </c>
      <c r="F252" s="70">
        <f>IF('Final Calculation Sheet'!$Z$18="","",'Final Calculation Sheet'!$Z$18)</f>
        <v/>
      </c>
      <c r="G252" s="776">
        <f>IF('Final Calculation Sheet'!$Z$19="","",'Final Calculation Sheet'!$Z$19)</f>
        <v/>
      </c>
      <c r="H252" s="70">
        <f>IF('Final Calculation Sheet'!$Z$22="","",'Final Calculation Sheet'!$Z$22)</f>
        <v/>
      </c>
      <c r="I252" s="776">
        <f>IF('Final Calculation Sheet'!$Z$24="","",'Final Calculation Sheet'!$Z$24)</f>
        <v/>
      </c>
      <c r="J252" s="70">
        <f>IF('Final Calculation Sheet'!$Z$26="","",'Final Calculation Sheet'!$Z$26)</f>
        <v/>
      </c>
      <c r="K252" s="776">
        <f>IF('Final Calculation Sheet'!$Z$30="","",'Final Calculation Sheet'!$Z$30)</f>
        <v/>
      </c>
      <c r="L252" s="70">
        <f>IF('Final Calculation Sheet'!$Z$32="","",'Final Calculation Sheet'!$Z$32)</f>
        <v/>
      </c>
      <c r="M252" s="776">
        <f>IF('Final Calculation Sheet'!$Z$33="","",'Final Calculation Sheet'!$Z$33)</f>
        <v/>
      </c>
      <c r="N252" s="70">
        <f>IF('Final Calculation Sheet'!$Z$37="","",'Final Calculation Sheet'!$Z$37)</f>
        <v/>
      </c>
      <c r="O252" s="990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776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776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776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776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776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776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990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989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989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989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989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989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989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986" t="inlineStr">
        <is>
          <t>–</t>
        </is>
      </c>
    </row>
    <row r="255" outlineLevel="1" ht="16" customHeight="1">
      <c r="A255" s="983" t="inlineStr">
        <is>
          <t xml:space="preserve">  ▸ SUMMARY</t>
        </is>
      </c>
      <c r="B255" s="910" t="n"/>
      <c r="C255" s="910" t="n"/>
      <c r="D255" s="910" t="n"/>
      <c r="E255" s="910" t="n"/>
      <c r="F255" s="910" t="n"/>
      <c r="G255" s="910" t="n"/>
      <c r="H255" s="910" t="n"/>
      <c r="I255" s="910" t="n"/>
      <c r="J255" s="910" t="n"/>
      <c r="K255" s="910" t="n"/>
      <c r="L255" s="910" t="n"/>
      <c r="M255" s="910" t="n"/>
      <c r="N255" s="910" t="n"/>
      <c r="O255" s="91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776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776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776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776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776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776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990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776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776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776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776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776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776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990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784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784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784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784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784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784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986" t="inlineStr">
        <is>
          <t>–</t>
        </is>
      </c>
    </row>
    <row r="259" outlineLevel="1" ht="16" customHeight="1">
      <c r="A259" s="983" t="inlineStr">
        <is>
          <t xml:space="preserve">  ▸ DOCUMENT</t>
        </is>
      </c>
      <c r="B259" s="910" t="n"/>
      <c r="C259" s="910" t="n"/>
      <c r="D259" s="910" t="n"/>
      <c r="E259" s="910" t="n"/>
      <c r="F259" s="910" t="n"/>
      <c r="G259" s="910" t="n"/>
      <c r="H259" s="910" t="n"/>
      <c r="I259" s="910" t="n"/>
      <c r="J259" s="910" t="n"/>
      <c r="K259" s="910" t="n"/>
      <c r="L259" s="910" t="n"/>
      <c r="M259" s="910" t="n"/>
      <c r="N259" s="910" t="n"/>
      <c r="O259" s="91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989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989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989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989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989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989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986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776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776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776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776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776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776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986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989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989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989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989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989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989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986" t="inlineStr">
        <is>
          <t>–</t>
        </is>
      </c>
    </row>
    <row r="263" ht="7" customHeight="1">
      <c r="A263" s="866" t="n"/>
      <c r="B263" s="866" t="n"/>
      <c r="C263" s="866" t="n"/>
      <c r="D263" s="866" t="n"/>
      <c r="E263" s="866" t="n"/>
      <c r="F263" s="866" t="n"/>
      <c r="G263" s="866" t="n"/>
      <c r="H263" s="866" t="n"/>
      <c r="I263" s="866" t="n"/>
      <c r="J263" s="866" t="n"/>
      <c r="K263" s="866" t="n"/>
      <c r="L263" s="866" t="n"/>
      <c r="M263" s="866" t="n"/>
      <c r="N263" s="866" t="n"/>
      <c r="O263" s="866" t="n"/>
    </row>
    <row r="264" ht="24" customHeight="1">
      <c r="A264" s="918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993" t="inlineStr">
        <is>
          <t xml:space="preserve">   Lot No. →</t>
        </is>
      </c>
      <c r="B265" s="994">
        <f>IF('Final Calculation Sheet'!$F$21="","",'Final Calculation Sheet'!$F$21)</f>
        <v/>
      </c>
      <c r="C265" s="921" t="n"/>
      <c r="D265" s="921" t="n"/>
      <c r="E265" s="921" t="n"/>
      <c r="F265" s="921" t="n"/>
      <c r="G265" s="921" t="n"/>
      <c r="H265" s="921" t="n"/>
      <c r="I265" s="921" t="n"/>
      <c r="J265" s="921" t="n"/>
      <c r="K265" s="921" t="n"/>
      <c r="L265" s="921" t="n"/>
      <c r="M265" s="921" t="n"/>
      <c r="N265" s="921" t="n"/>
      <c r="O265" s="995" t="inlineStr">
        <is>
          <t>TOTAL</t>
        </is>
      </c>
    </row>
    <row r="266" outlineLevel="1" ht="16" customHeight="1">
      <c r="A266" s="993" t="inlineStr">
        <is>
          <t xml:space="preserve">  ▸ LOT INFORMATION</t>
        </is>
      </c>
      <c r="B266" s="921" t="n"/>
      <c r="C266" s="921" t="n"/>
      <c r="D266" s="921" t="n"/>
      <c r="E266" s="921" t="n"/>
      <c r="F266" s="921" t="n"/>
      <c r="G266" s="921" t="n"/>
      <c r="H266" s="921" t="n"/>
      <c r="I266" s="921" t="n"/>
      <c r="J266" s="921" t="n"/>
      <c r="K266" s="921" t="n"/>
      <c r="L266" s="921" t="n"/>
      <c r="M266" s="921" t="n"/>
      <c r="N266" s="921" t="n"/>
      <c r="O266" s="921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996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996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996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997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996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996" t="inlineStr">
        <is>
          <t>–</t>
        </is>
      </c>
    </row>
    <row r="273" outlineLevel="1" ht="16" customHeight="1">
      <c r="A273" s="993" t="inlineStr">
        <is>
          <t xml:space="preserve">  ▸ FINANCIALS</t>
        </is>
      </c>
      <c r="B273" s="921" t="n"/>
      <c r="C273" s="921" t="n"/>
      <c r="D273" s="921" t="n"/>
      <c r="E273" s="921" t="n"/>
      <c r="F273" s="921" t="n"/>
      <c r="G273" s="921" t="n"/>
      <c r="H273" s="921" t="n"/>
      <c r="I273" s="921" t="n"/>
      <c r="J273" s="921" t="n"/>
      <c r="K273" s="921" t="n"/>
      <c r="L273" s="921" t="n"/>
      <c r="M273" s="921" t="n"/>
      <c r="N273" s="921" t="n"/>
      <c r="O273" s="921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998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998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998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998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999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999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999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999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998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996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998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998">
        <f>SUM(B285:N285)</f>
        <v/>
      </c>
    </row>
    <row r="286" outlineLevel="1" ht="16" customHeight="1">
      <c r="A286" s="993" t="inlineStr">
        <is>
          <t xml:space="preserve">  ▸ SECURITY DEPOSIT</t>
        </is>
      </c>
      <c r="B286" s="921" t="n"/>
      <c r="C286" s="921" t="n"/>
      <c r="D286" s="921" t="n"/>
      <c r="E286" s="921" t="n"/>
      <c r="F286" s="921" t="n"/>
      <c r="G286" s="921" t="n"/>
      <c r="H286" s="921" t="n"/>
      <c r="I286" s="921" t="n"/>
      <c r="J286" s="921" t="n"/>
      <c r="K286" s="921" t="n"/>
      <c r="L286" s="921" t="n"/>
      <c r="M286" s="921" t="n"/>
      <c r="N286" s="921" t="n"/>
      <c r="O286" s="921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998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998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996" t="inlineStr">
        <is>
          <t>–</t>
        </is>
      </c>
    </row>
    <row r="290" outlineLevel="1" ht="16" customHeight="1">
      <c r="A290" s="993" t="inlineStr">
        <is>
          <t xml:space="preserve">  ▸ FINAL PAYMENT</t>
        </is>
      </c>
      <c r="B290" s="921" t="n"/>
      <c r="C290" s="921" t="n"/>
      <c r="D290" s="921" t="n"/>
      <c r="E290" s="921" t="n"/>
      <c r="F290" s="921" t="n"/>
      <c r="G290" s="921" t="n"/>
      <c r="H290" s="921" t="n"/>
      <c r="I290" s="921" t="n"/>
      <c r="J290" s="921" t="n"/>
      <c r="K290" s="921" t="n"/>
      <c r="L290" s="921" t="n"/>
      <c r="M290" s="921" t="n"/>
      <c r="N290" s="921" t="n"/>
      <c r="O290" s="921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998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998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996" t="inlineStr">
        <is>
          <t>–</t>
        </is>
      </c>
    </row>
    <row r="294" outlineLevel="1" ht="16" customHeight="1">
      <c r="A294" s="993" t="inlineStr">
        <is>
          <t xml:space="preserve">  ▸ LPP</t>
        </is>
      </c>
      <c r="B294" s="921" t="n"/>
      <c r="C294" s="921" t="n"/>
      <c r="D294" s="921" t="n"/>
      <c r="E294" s="921" t="n"/>
      <c r="F294" s="921" t="n"/>
      <c r="G294" s="921" t="n"/>
      <c r="H294" s="921" t="n"/>
      <c r="I294" s="921" t="n"/>
      <c r="J294" s="921" t="n"/>
      <c r="K294" s="921" t="n"/>
      <c r="L294" s="921" t="n"/>
      <c r="M294" s="921" t="n"/>
      <c r="N294" s="921" t="n"/>
      <c r="O294" s="921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998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998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996" t="inlineStr">
        <is>
          <t>–</t>
        </is>
      </c>
    </row>
    <row r="298" outlineLevel="1" ht="16" customHeight="1">
      <c r="A298" s="993" t="inlineStr">
        <is>
          <t xml:space="preserve">  ▸ SUMMARY</t>
        </is>
      </c>
      <c r="B298" s="921" t="n"/>
      <c r="C298" s="921" t="n"/>
      <c r="D298" s="921" t="n"/>
      <c r="E298" s="921" t="n"/>
      <c r="F298" s="921" t="n"/>
      <c r="G298" s="921" t="n"/>
      <c r="H298" s="921" t="n"/>
      <c r="I298" s="921" t="n"/>
      <c r="J298" s="921" t="n"/>
      <c r="K298" s="921" t="n"/>
      <c r="L298" s="921" t="n"/>
      <c r="M298" s="921" t="n"/>
      <c r="N298" s="921" t="n"/>
      <c r="O298" s="921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998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998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996" t="inlineStr">
        <is>
          <t>–</t>
        </is>
      </c>
    </row>
    <row r="302" outlineLevel="1" ht="16" customHeight="1">
      <c r="A302" s="993" t="inlineStr">
        <is>
          <t xml:space="preserve">  ▸ DOCUMENT</t>
        </is>
      </c>
      <c r="B302" s="921" t="n"/>
      <c r="C302" s="921" t="n"/>
      <c r="D302" s="921" t="n"/>
      <c r="E302" s="921" t="n"/>
      <c r="F302" s="921" t="n"/>
      <c r="G302" s="921" t="n"/>
      <c r="H302" s="921" t="n"/>
      <c r="I302" s="921" t="n"/>
      <c r="J302" s="921" t="n"/>
      <c r="K302" s="921" t="n"/>
      <c r="L302" s="921" t="n"/>
      <c r="M302" s="921" t="n"/>
      <c r="N302" s="921" t="n"/>
      <c r="O302" s="921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996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996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996" t="inlineStr">
        <is>
          <t>–</t>
        </is>
      </c>
    </row>
    <row r="306" ht="7" customHeight="1">
      <c r="A306" s="866" t="n"/>
      <c r="B306" s="866" t="n"/>
      <c r="C306" s="866" t="n"/>
      <c r="D306" s="866" t="n"/>
      <c r="E306" s="866" t="n"/>
      <c r="F306" s="866" t="n"/>
      <c r="G306" s="866" t="n"/>
      <c r="H306" s="866" t="n"/>
      <c r="I306" s="866" t="n"/>
      <c r="J306" s="866" t="n"/>
      <c r="K306" s="866" t="n"/>
      <c r="L306" s="866" t="n"/>
      <c r="M306" s="866" t="n"/>
      <c r="N306" s="866" t="n"/>
      <c r="O306" s="866" t="n"/>
    </row>
    <row r="307" ht="24" customHeight="1">
      <c r="A307" s="929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000" t="inlineStr">
        <is>
          <t xml:space="preserve">   Lot No. →</t>
        </is>
      </c>
      <c r="B308" s="1001">
        <f>IF('Final Calculation Sheet'!$F$8="","",'Final Calculation Sheet'!$F$8)</f>
        <v/>
      </c>
      <c r="C308" s="1001">
        <f>IF('Final Calculation Sheet'!$F$20="","",'Final Calculation Sheet'!$F$20)</f>
        <v/>
      </c>
      <c r="D308" s="932" t="n"/>
      <c r="E308" s="932" t="n"/>
      <c r="F308" s="932" t="n"/>
      <c r="G308" s="932" t="n"/>
      <c r="H308" s="932" t="n"/>
      <c r="I308" s="932" t="n"/>
      <c r="J308" s="932" t="n"/>
      <c r="K308" s="932" t="n"/>
      <c r="L308" s="932" t="n"/>
      <c r="M308" s="932" t="n"/>
      <c r="N308" s="932" t="n"/>
      <c r="O308" s="1002" t="inlineStr">
        <is>
          <t>TOTAL</t>
        </is>
      </c>
    </row>
    <row r="309" outlineLevel="1" ht="16" customHeight="1">
      <c r="A309" s="1000" t="inlineStr">
        <is>
          <t xml:space="preserve">  ▸ LOT INFORMATION</t>
        </is>
      </c>
      <c r="B309" s="932" t="n"/>
      <c r="C309" s="932" t="n"/>
      <c r="D309" s="932" t="n"/>
      <c r="E309" s="932" t="n"/>
      <c r="F309" s="932" t="n"/>
      <c r="G309" s="932" t="n"/>
      <c r="H309" s="932" t="n"/>
      <c r="I309" s="932" t="n"/>
      <c r="J309" s="932" t="n"/>
      <c r="K309" s="932" t="n"/>
      <c r="L309" s="932" t="n"/>
      <c r="M309" s="932" t="n"/>
      <c r="N309" s="932" t="n"/>
      <c r="O309" s="932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778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003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004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003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778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003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796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005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006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003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778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003" t="inlineStr">
        <is>
          <t>–</t>
        </is>
      </c>
    </row>
    <row r="316" outlineLevel="1" ht="16" customHeight="1">
      <c r="A316" s="1000" t="inlineStr">
        <is>
          <t xml:space="preserve">  ▸ FINANCIALS</t>
        </is>
      </c>
      <c r="B316" s="932" t="n"/>
      <c r="C316" s="932" t="n"/>
      <c r="D316" s="932" t="n"/>
      <c r="E316" s="932" t="n"/>
      <c r="F316" s="932" t="n"/>
      <c r="G316" s="932" t="n"/>
      <c r="H316" s="932" t="n"/>
      <c r="I316" s="932" t="n"/>
      <c r="J316" s="932" t="n"/>
      <c r="K316" s="932" t="n"/>
      <c r="L316" s="932" t="n"/>
      <c r="M316" s="932" t="n"/>
      <c r="N316" s="932" t="n"/>
      <c r="O316" s="932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778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007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778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007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778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007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778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007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806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008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806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008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806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008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806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008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778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007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009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003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778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007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778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007">
        <f>SUM(B328:N328)</f>
        <v/>
      </c>
    </row>
    <row r="329" outlineLevel="1" ht="16" customHeight="1">
      <c r="A329" s="1000" t="inlineStr">
        <is>
          <t xml:space="preserve">  ▸ SECURITY DEPOSIT</t>
        </is>
      </c>
      <c r="B329" s="932" t="n"/>
      <c r="C329" s="932" t="n"/>
      <c r="D329" s="932" t="n"/>
      <c r="E329" s="932" t="n"/>
      <c r="F329" s="932" t="n"/>
      <c r="G329" s="932" t="n"/>
      <c r="H329" s="932" t="n"/>
      <c r="I329" s="932" t="n"/>
      <c r="J329" s="932" t="n"/>
      <c r="K329" s="932" t="n"/>
      <c r="L329" s="932" t="n"/>
      <c r="M329" s="932" t="n"/>
      <c r="N329" s="932" t="n"/>
      <c r="O329" s="932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778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007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778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007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006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003" t="inlineStr">
        <is>
          <t>–</t>
        </is>
      </c>
    </row>
    <row r="333" outlineLevel="1" ht="16" customHeight="1">
      <c r="A333" s="1000" t="inlineStr">
        <is>
          <t xml:space="preserve">  ▸ FINAL PAYMENT</t>
        </is>
      </c>
      <c r="B333" s="932" t="n"/>
      <c r="C333" s="932" t="n"/>
      <c r="D333" s="932" t="n"/>
      <c r="E333" s="932" t="n"/>
      <c r="F333" s="932" t="n"/>
      <c r="G333" s="932" t="n"/>
      <c r="H333" s="932" t="n"/>
      <c r="I333" s="932" t="n"/>
      <c r="J333" s="932" t="n"/>
      <c r="K333" s="932" t="n"/>
      <c r="L333" s="932" t="n"/>
      <c r="M333" s="932" t="n"/>
      <c r="N333" s="932" t="n"/>
      <c r="O333" s="932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778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007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778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007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006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003" t="inlineStr">
        <is>
          <t>–</t>
        </is>
      </c>
    </row>
    <row r="337" outlineLevel="1" ht="16" customHeight="1">
      <c r="A337" s="1000" t="inlineStr">
        <is>
          <t xml:space="preserve">  ▸ LPP</t>
        </is>
      </c>
      <c r="B337" s="932" t="n"/>
      <c r="C337" s="932" t="n"/>
      <c r="D337" s="932" t="n"/>
      <c r="E337" s="932" t="n"/>
      <c r="F337" s="932" t="n"/>
      <c r="G337" s="932" t="n"/>
      <c r="H337" s="932" t="n"/>
      <c r="I337" s="932" t="n"/>
      <c r="J337" s="932" t="n"/>
      <c r="K337" s="932" t="n"/>
      <c r="L337" s="932" t="n"/>
      <c r="M337" s="932" t="n"/>
      <c r="N337" s="932" t="n"/>
      <c r="O337" s="932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778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007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778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007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006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003" t="inlineStr">
        <is>
          <t>–</t>
        </is>
      </c>
    </row>
    <row r="341" outlineLevel="1" ht="16" customHeight="1">
      <c r="A341" s="1000" t="inlineStr">
        <is>
          <t xml:space="preserve">  ▸ SUMMARY</t>
        </is>
      </c>
      <c r="B341" s="932" t="n"/>
      <c r="C341" s="932" t="n"/>
      <c r="D341" s="932" t="n"/>
      <c r="E341" s="932" t="n"/>
      <c r="F341" s="932" t="n"/>
      <c r="G341" s="932" t="n"/>
      <c r="H341" s="932" t="n"/>
      <c r="I341" s="932" t="n"/>
      <c r="J341" s="932" t="n"/>
      <c r="K341" s="932" t="n"/>
      <c r="L341" s="932" t="n"/>
      <c r="M341" s="932" t="n"/>
      <c r="N341" s="932" t="n"/>
      <c r="O341" s="932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778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007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778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007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78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003" t="inlineStr">
        <is>
          <t>–</t>
        </is>
      </c>
    </row>
    <row r="345" outlineLevel="1" ht="16" customHeight="1">
      <c r="A345" s="1000" t="inlineStr">
        <is>
          <t xml:space="preserve">  ▸ DOCUMENT</t>
        </is>
      </c>
      <c r="B345" s="932" t="n"/>
      <c r="C345" s="932" t="n"/>
      <c r="D345" s="932" t="n"/>
      <c r="E345" s="932" t="n"/>
      <c r="F345" s="932" t="n"/>
      <c r="G345" s="932" t="n"/>
      <c r="H345" s="932" t="n"/>
      <c r="I345" s="932" t="n"/>
      <c r="J345" s="932" t="n"/>
      <c r="K345" s="932" t="n"/>
      <c r="L345" s="932" t="n"/>
      <c r="M345" s="932" t="n"/>
      <c r="N345" s="932" t="n"/>
      <c r="O345" s="932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006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003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778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003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006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003" t="inlineStr">
        <is>
          <t>–</t>
        </is>
      </c>
    </row>
    <row r="349" ht="7" customHeight="1">
      <c r="A349" s="866" t="n"/>
      <c r="B349" s="866" t="n"/>
      <c r="C349" s="866" t="n"/>
      <c r="D349" s="866" t="n"/>
      <c r="E349" s="866" t="n"/>
      <c r="F349" s="866" t="n"/>
      <c r="G349" s="866" t="n"/>
      <c r="H349" s="866" t="n"/>
      <c r="I349" s="866" t="n"/>
      <c r="J349" s="866" t="n"/>
      <c r="K349" s="866" t="n"/>
      <c r="L349" s="866" t="n"/>
      <c r="M349" s="866" t="n"/>
      <c r="N349" s="866" t="n"/>
      <c r="O349" s="866" t="n"/>
    </row>
    <row r="350" ht="24" customHeight="1">
      <c r="A350" s="856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945" t="inlineStr">
        <is>
          <t xml:space="preserve">   Lot No. →</t>
        </is>
      </c>
      <c r="B351" s="946">
        <f>IF('Final Calculation Sheet'!$F$39="","",'Final Calculation Sheet'!$F$39)</f>
        <v/>
      </c>
      <c r="C351" s="946">
        <f>IF('Final Calculation Sheet'!$F$40="","",'Final Calculation Sheet'!$F$40)</f>
        <v/>
      </c>
      <c r="D351" s="859" t="n"/>
      <c r="E351" s="859" t="n"/>
      <c r="F351" s="859" t="n"/>
      <c r="G351" s="859" t="n"/>
      <c r="H351" s="859" t="n"/>
      <c r="I351" s="859" t="n"/>
      <c r="J351" s="859" t="n"/>
      <c r="K351" s="859" t="n"/>
      <c r="L351" s="859" t="n"/>
      <c r="M351" s="859" t="n"/>
      <c r="N351" s="859" t="n"/>
      <c r="O351" s="947" t="inlineStr">
        <is>
          <t>TOTAL</t>
        </is>
      </c>
    </row>
    <row r="352" outlineLevel="1" ht="16" customHeight="1">
      <c r="A352" s="945" t="inlineStr">
        <is>
          <t xml:space="preserve">  ▸ LOT INFORMATION</t>
        </is>
      </c>
      <c r="B352" s="859" t="n"/>
      <c r="C352" s="859" t="n"/>
      <c r="D352" s="859" t="n"/>
      <c r="E352" s="859" t="n"/>
      <c r="F352" s="859" t="n"/>
      <c r="G352" s="859" t="n"/>
      <c r="H352" s="859" t="n"/>
      <c r="I352" s="859" t="n"/>
      <c r="J352" s="859" t="n"/>
      <c r="K352" s="859" t="n"/>
      <c r="L352" s="859" t="n"/>
      <c r="M352" s="859" t="n"/>
      <c r="N352" s="859" t="n"/>
      <c r="O352" s="859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010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948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011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948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010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948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012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949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013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948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010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948" t="inlineStr">
        <is>
          <t>–</t>
        </is>
      </c>
    </row>
    <row r="359" outlineLevel="1" ht="16" customHeight="1">
      <c r="A359" s="945" t="inlineStr">
        <is>
          <t xml:space="preserve">  ▸ FINANCIALS</t>
        </is>
      </c>
      <c r="B359" s="859" t="n"/>
      <c r="C359" s="859" t="n"/>
      <c r="D359" s="859" t="n"/>
      <c r="E359" s="859" t="n"/>
      <c r="F359" s="859" t="n"/>
      <c r="G359" s="859" t="n"/>
      <c r="H359" s="859" t="n"/>
      <c r="I359" s="859" t="n"/>
      <c r="J359" s="859" t="n"/>
      <c r="K359" s="859" t="n"/>
      <c r="L359" s="859" t="n"/>
      <c r="M359" s="859" t="n"/>
      <c r="N359" s="859" t="n"/>
      <c r="O359" s="859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010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950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010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950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010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950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010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950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014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951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014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951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014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951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014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951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010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950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015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948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010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950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010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950">
        <f>SUM(B371:N371)</f>
        <v/>
      </c>
    </row>
    <row r="372" outlineLevel="1" ht="16" customHeight="1">
      <c r="A372" s="945" t="inlineStr">
        <is>
          <t xml:space="preserve">  ▸ SECURITY DEPOSIT</t>
        </is>
      </c>
      <c r="B372" s="859" t="n"/>
      <c r="C372" s="859" t="n"/>
      <c r="D372" s="859" t="n"/>
      <c r="E372" s="859" t="n"/>
      <c r="F372" s="859" t="n"/>
      <c r="G372" s="859" t="n"/>
      <c r="H372" s="859" t="n"/>
      <c r="I372" s="859" t="n"/>
      <c r="J372" s="859" t="n"/>
      <c r="K372" s="859" t="n"/>
      <c r="L372" s="859" t="n"/>
      <c r="M372" s="859" t="n"/>
      <c r="N372" s="859" t="n"/>
      <c r="O372" s="859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010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950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010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950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013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948" t="inlineStr">
        <is>
          <t>–</t>
        </is>
      </c>
    </row>
    <row r="376" outlineLevel="1" ht="16" customHeight="1">
      <c r="A376" s="945" t="inlineStr">
        <is>
          <t xml:space="preserve">  ▸ FINAL PAYMENT</t>
        </is>
      </c>
      <c r="B376" s="859" t="n"/>
      <c r="C376" s="859" t="n"/>
      <c r="D376" s="859" t="n"/>
      <c r="E376" s="859" t="n"/>
      <c r="F376" s="859" t="n"/>
      <c r="G376" s="859" t="n"/>
      <c r="H376" s="859" t="n"/>
      <c r="I376" s="859" t="n"/>
      <c r="J376" s="859" t="n"/>
      <c r="K376" s="859" t="n"/>
      <c r="L376" s="859" t="n"/>
      <c r="M376" s="859" t="n"/>
      <c r="N376" s="859" t="n"/>
      <c r="O376" s="859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010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950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010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950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013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948" t="inlineStr">
        <is>
          <t>–</t>
        </is>
      </c>
    </row>
    <row r="380" outlineLevel="1" ht="16" customHeight="1">
      <c r="A380" s="945" t="inlineStr">
        <is>
          <t xml:space="preserve">  ▸ LPP</t>
        </is>
      </c>
      <c r="B380" s="859" t="n"/>
      <c r="C380" s="859" t="n"/>
      <c r="D380" s="859" t="n"/>
      <c r="E380" s="859" t="n"/>
      <c r="F380" s="859" t="n"/>
      <c r="G380" s="859" t="n"/>
      <c r="H380" s="859" t="n"/>
      <c r="I380" s="859" t="n"/>
      <c r="J380" s="859" t="n"/>
      <c r="K380" s="859" t="n"/>
      <c r="L380" s="859" t="n"/>
      <c r="M380" s="859" t="n"/>
      <c r="N380" s="859" t="n"/>
      <c r="O380" s="859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010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950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010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950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013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948" t="inlineStr">
        <is>
          <t>–</t>
        </is>
      </c>
    </row>
    <row r="384" outlineLevel="1" ht="16" customHeight="1">
      <c r="A384" s="945" t="inlineStr">
        <is>
          <t xml:space="preserve">  ▸ SUMMARY</t>
        </is>
      </c>
      <c r="B384" s="859" t="n"/>
      <c r="C384" s="859" t="n"/>
      <c r="D384" s="859" t="n"/>
      <c r="E384" s="859" t="n"/>
      <c r="F384" s="859" t="n"/>
      <c r="G384" s="859" t="n"/>
      <c r="H384" s="859" t="n"/>
      <c r="I384" s="859" t="n"/>
      <c r="J384" s="859" t="n"/>
      <c r="K384" s="859" t="n"/>
      <c r="L384" s="859" t="n"/>
      <c r="M384" s="859" t="n"/>
      <c r="N384" s="859" t="n"/>
      <c r="O384" s="859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010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950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010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950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016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948" t="inlineStr">
        <is>
          <t>–</t>
        </is>
      </c>
    </row>
    <row r="388" outlineLevel="1" ht="16" customHeight="1">
      <c r="A388" s="945" t="inlineStr">
        <is>
          <t xml:space="preserve">  ▸ DOCUMENT</t>
        </is>
      </c>
      <c r="B388" s="859" t="n"/>
      <c r="C388" s="859" t="n"/>
      <c r="D388" s="859" t="n"/>
      <c r="E388" s="859" t="n"/>
      <c r="F388" s="859" t="n"/>
      <c r="G388" s="859" t="n"/>
      <c r="H388" s="859" t="n"/>
      <c r="I388" s="859" t="n"/>
      <c r="J388" s="859" t="n"/>
      <c r="K388" s="859" t="n"/>
      <c r="L388" s="859" t="n"/>
      <c r="M388" s="859" t="n"/>
      <c r="N388" s="859" t="n"/>
      <c r="O388" s="859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013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948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010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948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013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948" t="inlineStr">
        <is>
          <t>–</t>
        </is>
      </c>
    </row>
    <row r="392" ht="7" customHeight="1">
      <c r="A392" s="866" t="n"/>
      <c r="B392" s="866" t="n"/>
      <c r="C392" s="866" t="n"/>
      <c r="D392" s="866" t="n"/>
      <c r="E392" s="866" t="n"/>
      <c r="F392" s="866" t="n"/>
      <c r="G392" s="866" t="n"/>
      <c r="H392" s="866" t="n"/>
      <c r="I392" s="866" t="n"/>
      <c r="J392" s="866" t="n"/>
      <c r="K392" s="866" t="n"/>
      <c r="L392" s="866" t="n"/>
      <c r="M392" s="866" t="n"/>
      <c r="N392" s="866" t="n"/>
      <c r="O392" s="866" t="n"/>
    </row>
    <row r="393" ht="24" customHeight="1">
      <c r="A393" s="867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952" t="inlineStr">
        <is>
          <t xml:space="preserve">   Lot No. →</t>
        </is>
      </c>
      <c r="B394" s="953">
        <f>IF('Final Calculation Sheet'!$F$31="","",'Final Calculation Sheet'!$F$31)</f>
        <v/>
      </c>
      <c r="C394" s="870" t="n"/>
      <c r="D394" s="870" t="n"/>
      <c r="E394" s="870" t="n"/>
      <c r="F394" s="870" t="n"/>
      <c r="G394" s="870" t="n"/>
      <c r="H394" s="870" t="n"/>
      <c r="I394" s="870" t="n"/>
      <c r="J394" s="870" t="n"/>
      <c r="K394" s="870" t="n"/>
      <c r="L394" s="870" t="n"/>
      <c r="M394" s="870" t="n"/>
      <c r="N394" s="870" t="n"/>
      <c r="O394" s="954" t="inlineStr">
        <is>
          <t>TOTAL</t>
        </is>
      </c>
    </row>
    <row r="395" outlineLevel="1" ht="16" customHeight="1">
      <c r="A395" s="952" t="inlineStr">
        <is>
          <t xml:space="preserve">  ▸ LOT INFORMATION</t>
        </is>
      </c>
      <c r="B395" s="870" t="n"/>
      <c r="C395" s="870" t="n"/>
      <c r="D395" s="870" t="n"/>
      <c r="E395" s="870" t="n"/>
      <c r="F395" s="870" t="n"/>
      <c r="G395" s="870" t="n"/>
      <c r="H395" s="870" t="n"/>
      <c r="I395" s="870" t="n"/>
      <c r="J395" s="870" t="n"/>
      <c r="K395" s="870" t="n"/>
      <c r="L395" s="870" t="n"/>
      <c r="M395" s="870" t="n"/>
      <c r="N395" s="870" t="n"/>
      <c r="O395" s="870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955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955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955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57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955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955" t="inlineStr">
        <is>
          <t>–</t>
        </is>
      </c>
    </row>
    <row r="402" outlineLevel="1" ht="16" customHeight="1">
      <c r="A402" s="952" t="inlineStr">
        <is>
          <t xml:space="preserve">  ▸ FINANCIALS</t>
        </is>
      </c>
      <c r="B402" s="870" t="n"/>
      <c r="C402" s="870" t="n"/>
      <c r="D402" s="870" t="n"/>
      <c r="E402" s="870" t="n"/>
      <c r="F402" s="870" t="n"/>
      <c r="G402" s="870" t="n"/>
      <c r="H402" s="870" t="n"/>
      <c r="I402" s="870" t="n"/>
      <c r="J402" s="870" t="n"/>
      <c r="K402" s="870" t="n"/>
      <c r="L402" s="870" t="n"/>
      <c r="M402" s="870" t="n"/>
      <c r="N402" s="870" t="n"/>
      <c r="O402" s="870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59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59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59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59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0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0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0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0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59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955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59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59">
        <f>SUM(B414:N414)</f>
        <v/>
      </c>
    </row>
    <row r="415" outlineLevel="1" ht="16" customHeight="1">
      <c r="A415" s="952" t="inlineStr">
        <is>
          <t xml:space="preserve">  ▸ SECURITY DEPOSIT</t>
        </is>
      </c>
      <c r="B415" s="870" t="n"/>
      <c r="C415" s="870" t="n"/>
      <c r="D415" s="870" t="n"/>
      <c r="E415" s="870" t="n"/>
      <c r="F415" s="870" t="n"/>
      <c r="G415" s="870" t="n"/>
      <c r="H415" s="870" t="n"/>
      <c r="I415" s="870" t="n"/>
      <c r="J415" s="870" t="n"/>
      <c r="K415" s="870" t="n"/>
      <c r="L415" s="870" t="n"/>
      <c r="M415" s="870" t="n"/>
      <c r="N415" s="870" t="n"/>
      <c r="O415" s="870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59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59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955" t="inlineStr">
        <is>
          <t>–</t>
        </is>
      </c>
    </row>
    <row r="419" outlineLevel="1" ht="16" customHeight="1">
      <c r="A419" s="952" t="inlineStr">
        <is>
          <t xml:space="preserve">  ▸ FINAL PAYMENT</t>
        </is>
      </c>
      <c r="B419" s="870" t="n"/>
      <c r="C419" s="870" t="n"/>
      <c r="D419" s="870" t="n"/>
      <c r="E419" s="870" t="n"/>
      <c r="F419" s="870" t="n"/>
      <c r="G419" s="870" t="n"/>
      <c r="H419" s="870" t="n"/>
      <c r="I419" s="870" t="n"/>
      <c r="J419" s="870" t="n"/>
      <c r="K419" s="870" t="n"/>
      <c r="L419" s="870" t="n"/>
      <c r="M419" s="870" t="n"/>
      <c r="N419" s="870" t="n"/>
      <c r="O419" s="870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59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59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955" t="inlineStr">
        <is>
          <t>–</t>
        </is>
      </c>
    </row>
    <row r="423" outlineLevel="1" ht="16" customHeight="1">
      <c r="A423" s="952" t="inlineStr">
        <is>
          <t xml:space="preserve">  ▸ LPP</t>
        </is>
      </c>
      <c r="B423" s="870" t="n"/>
      <c r="C423" s="870" t="n"/>
      <c r="D423" s="870" t="n"/>
      <c r="E423" s="870" t="n"/>
      <c r="F423" s="870" t="n"/>
      <c r="G423" s="870" t="n"/>
      <c r="H423" s="870" t="n"/>
      <c r="I423" s="870" t="n"/>
      <c r="J423" s="870" t="n"/>
      <c r="K423" s="870" t="n"/>
      <c r="L423" s="870" t="n"/>
      <c r="M423" s="870" t="n"/>
      <c r="N423" s="870" t="n"/>
      <c r="O423" s="870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59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59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955" t="inlineStr">
        <is>
          <t>–</t>
        </is>
      </c>
    </row>
    <row r="427" outlineLevel="1" ht="16" customHeight="1">
      <c r="A427" s="952" t="inlineStr">
        <is>
          <t xml:space="preserve">  ▸ SUMMARY</t>
        </is>
      </c>
      <c r="B427" s="870" t="n"/>
      <c r="C427" s="870" t="n"/>
      <c r="D427" s="870" t="n"/>
      <c r="E427" s="870" t="n"/>
      <c r="F427" s="870" t="n"/>
      <c r="G427" s="870" t="n"/>
      <c r="H427" s="870" t="n"/>
      <c r="I427" s="870" t="n"/>
      <c r="J427" s="870" t="n"/>
      <c r="K427" s="870" t="n"/>
      <c r="L427" s="870" t="n"/>
      <c r="M427" s="870" t="n"/>
      <c r="N427" s="870" t="n"/>
      <c r="O427" s="870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59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59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955" t="inlineStr">
        <is>
          <t>–</t>
        </is>
      </c>
    </row>
    <row r="431" outlineLevel="1" ht="16" customHeight="1">
      <c r="A431" s="952" t="inlineStr">
        <is>
          <t xml:space="preserve">  ▸ DOCUMENT</t>
        </is>
      </c>
      <c r="B431" s="870" t="n"/>
      <c r="C431" s="870" t="n"/>
      <c r="D431" s="870" t="n"/>
      <c r="E431" s="870" t="n"/>
      <c r="F431" s="870" t="n"/>
      <c r="G431" s="870" t="n"/>
      <c r="H431" s="870" t="n"/>
      <c r="I431" s="870" t="n"/>
      <c r="J431" s="870" t="n"/>
      <c r="K431" s="870" t="n"/>
      <c r="L431" s="870" t="n"/>
      <c r="M431" s="870" t="n"/>
      <c r="N431" s="870" t="n"/>
      <c r="O431" s="870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955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955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955" t="inlineStr">
        <is>
          <t>–</t>
        </is>
      </c>
    </row>
    <row r="435" ht="7" customHeight="1">
      <c r="A435" s="866" t="n"/>
      <c r="B435" s="866" t="n"/>
      <c r="C435" s="866" t="n"/>
      <c r="D435" s="866" t="n"/>
      <c r="E435" s="866" t="n"/>
      <c r="F435" s="866" t="n"/>
      <c r="G435" s="866" t="n"/>
      <c r="H435" s="866" t="n"/>
      <c r="I435" s="866" t="n"/>
      <c r="J435" s="866" t="n"/>
      <c r="K435" s="866" t="n"/>
      <c r="L435" s="866" t="n"/>
      <c r="M435" s="866" t="n"/>
      <c r="N435" s="866" t="n"/>
      <c r="O435" s="866" t="n"/>
    </row>
    <row r="436" ht="24" customHeight="1">
      <c r="A436" s="877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962" t="inlineStr">
        <is>
          <t xml:space="preserve">   Lot No. →</t>
        </is>
      </c>
      <c r="B437" s="963">
        <f>IF('Final Calculation Sheet'!$F$9="","",'Final Calculation Sheet'!$F$9)</f>
        <v/>
      </c>
      <c r="C437" s="963">
        <f>IF('Final Calculation Sheet'!$F$14="","",'Final Calculation Sheet'!$F$14)</f>
        <v/>
      </c>
      <c r="D437" s="880" t="n"/>
      <c r="E437" s="880" t="n"/>
      <c r="F437" s="880" t="n"/>
      <c r="G437" s="880" t="n"/>
      <c r="H437" s="880" t="n"/>
      <c r="I437" s="880" t="n"/>
      <c r="J437" s="880" t="n"/>
      <c r="K437" s="880" t="n"/>
      <c r="L437" s="880" t="n"/>
      <c r="M437" s="880" t="n"/>
      <c r="N437" s="880" t="n"/>
      <c r="O437" s="964" t="inlineStr">
        <is>
          <t>TOTAL</t>
        </is>
      </c>
    </row>
    <row r="438" outlineLevel="1" ht="16" customHeight="1">
      <c r="A438" s="962" t="inlineStr">
        <is>
          <t xml:space="preserve">  ▸ LOT INFORMATION</t>
        </is>
      </c>
      <c r="B438" s="880" t="n"/>
      <c r="C438" s="880" t="n"/>
      <c r="D438" s="880" t="n"/>
      <c r="E438" s="880" t="n"/>
      <c r="F438" s="880" t="n"/>
      <c r="G438" s="880" t="n"/>
      <c r="H438" s="880" t="n"/>
      <c r="I438" s="880" t="n"/>
      <c r="J438" s="880" t="n"/>
      <c r="K438" s="880" t="n"/>
      <c r="L438" s="880" t="n"/>
      <c r="M438" s="880" t="n"/>
      <c r="N438" s="880" t="n"/>
      <c r="O438" s="880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017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965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018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965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017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965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019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966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020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965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017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965" t="inlineStr">
        <is>
          <t>–</t>
        </is>
      </c>
    </row>
    <row r="445" outlineLevel="1" ht="16" customHeight="1">
      <c r="A445" s="962" t="inlineStr">
        <is>
          <t xml:space="preserve">  ▸ FINANCIALS</t>
        </is>
      </c>
      <c r="B445" s="880" t="n"/>
      <c r="C445" s="880" t="n"/>
      <c r="D445" s="880" t="n"/>
      <c r="E445" s="880" t="n"/>
      <c r="F445" s="880" t="n"/>
      <c r="G445" s="880" t="n"/>
      <c r="H445" s="880" t="n"/>
      <c r="I445" s="880" t="n"/>
      <c r="J445" s="880" t="n"/>
      <c r="K445" s="880" t="n"/>
      <c r="L445" s="880" t="n"/>
      <c r="M445" s="880" t="n"/>
      <c r="N445" s="880" t="n"/>
      <c r="O445" s="880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017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967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017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967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017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967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017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967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021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968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021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968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021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968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021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968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017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967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022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965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017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967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017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967">
        <f>SUM(B457:N457)</f>
        <v/>
      </c>
    </row>
    <row r="458" outlineLevel="1" ht="16" customHeight="1">
      <c r="A458" s="962" t="inlineStr">
        <is>
          <t xml:space="preserve">  ▸ SECURITY DEPOSIT</t>
        </is>
      </c>
      <c r="B458" s="880" t="n"/>
      <c r="C458" s="880" t="n"/>
      <c r="D458" s="880" t="n"/>
      <c r="E458" s="880" t="n"/>
      <c r="F458" s="880" t="n"/>
      <c r="G458" s="880" t="n"/>
      <c r="H458" s="880" t="n"/>
      <c r="I458" s="880" t="n"/>
      <c r="J458" s="880" t="n"/>
      <c r="K458" s="880" t="n"/>
      <c r="L458" s="880" t="n"/>
      <c r="M458" s="880" t="n"/>
      <c r="N458" s="880" t="n"/>
      <c r="O458" s="880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017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967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017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967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020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965" t="inlineStr">
        <is>
          <t>–</t>
        </is>
      </c>
    </row>
    <row r="462" outlineLevel="1" ht="16" customHeight="1">
      <c r="A462" s="962" t="inlineStr">
        <is>
          <t xml:space="preserve">  ▸ FINAL PAYMENT</t>
        </is>
      </c>
      <c r="B462" s="880" t="n"/>
      <c r="C462" s="880" t="n"/>
      <c r="D462" s="880" t="n"/>
      <c r="E462" s="880" t="n"/>
      <c r="F462" s="880" t="n"/>
      <c r="G462" s="880" t="n"/>
      <c r="H462" s="880" t="n"/>
      <c r="I462" s="880" t="n"/>
      <c r="J462" s="880" t="n"/>
      <c r="K462" s="880" t="n"/>
      <c r="L462" s="880" t="n"/>
      <c r="M462" s="880" t="n"/>
      <c r="N462" s="880" t="n"/>
      <c r="O462" s="880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017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967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017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967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020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965" t="inlineStr">
        <is>
          <t>–</t>
        </is>
      </c>
    </row>
    <row r="466" outlineLevel="1" ht="16" customHeight="1">
      <c r="A466" s="962" t="inlineStr">
        <is>
          <t xml:space="preserve">  ▸ LPP</t>
        </is>
      </c>
      <c r="B466" s="880" t="n"/>
      <c r="C466" s="880" t="n"/>
      <c r="D466" s="880" t="n"/>
      <c r="E466" s="880" t="n"/>
      <c r="F466" s="880" t="n"/>
      <c r="G466" s="880" t="n"/>
      <c r="H466" s="880" t="n"/>
      <c r="I466" s="880" t="n"/>
      <c r="J466" s="880" t="n"/>
      <c r="K466" s="880" t="n"/>
      <c r="L466" s="880" t="n"/>
      <c r="M466" s="880" t="n"/>
      <c r="N466" s="880" t="n"/>
      <c r="O466" s="880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017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967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017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967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020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965" t="inlineStr">
        <is>
          <t>–</t>
        </is>
      </c>
    </row>
    <row r="470" outlineLevel="1" ht="16" customHeight="1">
      <c r="A470" s="962" t="inlineStr">
        <is>
          <t xml:space="preserve">  ▸ SUMMARY</t>
        </is>
      </c>
      <c r="B470" s="880" t="n"/>
      <c r="C470" s="880" t="n"/>
      <c r="D470" s="880" t="n"/>
      <c r="E470" s="880" t="n"/>
      <c r="F470" s="880" t="n"/>
      <c r="G470" s="880" t="n"/>
      <c r="H470" s="880" t="n"/>
      <c r="I470" s="880" t="n"/>
      <c r="J470" s="880" t="n"/>
      <c r="K470" s="880" t="n"/>
      <c r="L470" s="880" t="n"/>
      <c r="M470" s="880" t="n"/>
      <c r="N470" s="880" t="n"/>
      <c r="O470" s="880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017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967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017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967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023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965" t="inlineStr">
        <is>
          <t>–</t>
        </is>
      </c>
    </row>
    <row r="474" outlineLevel="1" ht="16" customHeight="1">
      <c r="A474" s="962" t="inlineStr">
        <is>
          <t xml:space="preserve">  ▸ DOCUMENT</t>
        </is>
      </c>
      <c r="B474" s="880" t="n"/>
      <c r="C474" s="880" t="n"/>
      <c r="D474" s="880" t="n"/>
      <c r="E474" s="880" t="n"/>
      <c r="F474" s="880" t="n"/>
      <c r="G474" s="880" t="n"/>
      <c r="H474" s="880" t="n"/>
      <c r="I474" s="880" t="n"/>
      <c r="J474" s="880" t="n"/>
      <c r="K474" s="880" t="n"/>
      <c r="L474" s="880" t="n"/>
      <c r="M474" s="880" t="n"/>
      <c r="N474" s="880" t="n"/>
      <c r="O474" s="880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020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965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017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965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020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965" t="inlineStr">
        <is>
          <t>–</t>
        </is>
      </c>
    </row>
    <row r="478" ht="7" customHeight="1">
      <c r="A478" s="866" t="n"/>
      <c r="B478" s="866" t="n"/>
      <c r="C478" s="866" t="n"/>
      <c r="D478" s="866" t="n"/>
      <c r="E478" s="866" t="n"/>
      <c r="F478" s="866" t="n"/>
      <c r="G478" s="866" t="n"/>
      <c r="H478" s="866" t="n"/>
      <c r="I478" s="866" t="n"/>
      <c r="J478" s="866" t="n"/>
      <c r="K478" s="866" t="n"/>
      <c r="L478" s="866" t="n"/>
      <c r="M478" s="866" t="n"/>
      <c r="N478" s="866" t="n"/>
      <c r="O478" s="866" t="n"/>
    </row>
    <row r="479" ht="24" customHeight="1">
      <c r="A479" s="887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969" t="inlineStr">
        <is>
          <t xml:space="preserve">   Lot No. →</t>
        </is>
      </c>
      <c r="B480" s="970">
        <f>IF('Final Calculation Sheet'!$F$13="","",'Final Calculation Sheet'!$F$13)</f>
        <v/>
      </c>
      <c r="C480" s="970">
        <f>IF('Final Calculation Sheet'!$F$16="","",'Final Calculation Sheet'!$F$16)</f>
        <v/>
      </c>
      <c r="D480" s="970">
        <f>IF('Final Calculation Sheet'!$F$17="","",'Final Calculation Sheet'!$F$17)</f>
        <v/>
      </c>
      <c r="E480" s="970">
        <f>IF('Final Calculation Sheet'!$F$23="","",'Final Calculation Sheet'!$F$23)</f>
        <v/>
      </c>
      <c r="F480" s="970">
        <f>IF('Final Calculation Sheet'!$F$29="","",'Final Calculation Sheet'!$F$29)</f>
        <v/>
      </c>
      <c r="G480" s="970">
        <f>IF('Final Calculation Sheet'!$F$34="","",'Final Calculation Sheet'!$F$34)</f>
        <v/>
      </c>
      <c r="H480" s="970">
        <f>IF('Final Calculation Sheet'!$F$36="","",'Final Calculation Sheet'!$F$36)</f>
        <v/>
      </c>
      <c r="I480" s="890" t="n"/>
      <c r="J480" s="890" t="n"/>
      <c r="K480" s="890" t="n"/>
      <c r="L480" s="890" t="n"/>
      <c r="M480" s="890" t="n"/>
      <c r="N480" s="890" t="n"/>
      <c r="O480" s="971" t="inlineStr">
        <is>
          <t>TOTAL</t>
        </is>
      </c>
    </row>
    <row r="481" outlineLevel="1" ht="16" customHeight="1">
      <c r="A481" s="969" t="inlineStr">
        <is>
          <t xml:space="preserve">  ▸ LOT INFORMATION</t>
        </is>
      </c>
      <c r="B481" s="890" t="n"/>
      <c r="C481" s="890" t="n"/>
      <c r="D481" s="890" t="n"/>
      <c r="E481" s="890" t="n"/>
      <c r="F481" s="890" t="n"/>
      <c r="G481" s="890" t="n"/>
      <c r="H481" s="890" t="n"/>
      <c r="I481" s="890" t="n"/>
      <c r="J481" s="890" t="n"/>
      <c r="K481" s="890" t="n"/>
      <c r="L481" s="890" t="n"/>
      <c r="M481" s="890" t="n"/>
      <c r="N481" s="890" t="n"/>
      <c r="O481" s="890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774">
        <f>IF('Final Calculation Sheet'!$F$16="","",'Final Calculation Sheet'!$F$16)</f>
        <v/>
      </c>
      <c r="D482" s="70">
        <f>IF('Final Calculation Sheet'!$F$17="","",'Final Calculation Sheet'!$F$17)</f>
        <v/>
      </c>
      <c r="E482" s="774">
        <f>IF('Final Calculation Sheet'!$F$23="","",'Final Calculation Sheet'!$F$23)</f>
        <v/>
      </c>
      <c r="F482" s="70">
        <f>IF('Final Calculation Sheet'!$F$29="","",'Final Calculation Sheet'!$F$29)</f>
        <v/>
      </c>
      <c r="G482" s="774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972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024">
        <f>IF('Final Calculation Sheet'!$B$16="","",'Final Calculation Sheet'!$B$16)</f>
        <v/>
      </c>
      <c r="D483" s="73">
        <f>IF('Final Calculation Sheet'!$B$17="","",'Final Calculation Sheet'!$B$17)</f>
        <v/>
      </c>
      <c r="E483" s="1024">
        <f>IF('Final Calculation Sheet'!$B$23="","",'Final Calculation Sheet'!$B$23)</f>
        <v/>
      </c>
      <c r="F483" s="73">
        <f>IF('Final Calculation Sheet'!$B$29="","",'Final Calculation Sheet'!$B$29)</f>
        <v/>
      </c>
      <c r="G483" s="1024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972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774">
        <f>IF('Final Calculation Sheet'!$D$16="","",'Final Calculation Sheet'!$D$16)</f>
        <v/>
      </c>
      <c r="D484" s="70">
        <f>IF('Final Calculation Sheet'!$D$17="","",'Final Calculation Sheet'!$D$17)</f>
        <v/>
      </c>
      <c r="E484" s="774">
        <f>IF('Final Calculation Sheet'!$D$23="","",'Final Calculation Sheet'!$D$23)</f>
        <v/>
      </c>
      <c r="F484" s="70">
        <f>IF('Final Calculation Sheet'!$D$29="","",'Final Calculation Sheet'!$D$29)</f>
        <v/>
      </c>
      <c r="G484" s="774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972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792">
        <f>IF('Final Calculation Sheet'!$A$16="","",'Final Calculation Sheet'!$A$16)</f>
        <v/>
      </c>
      <c r="D485" s="74">
        <f>IF('Final Calculation Sheet'!$A$17="","",'Final Calculation Sheet'!$A$17)</f>
        <v/>
      </c>
      <c r="E485" s="792">
        <f>IF('Final Calculation Sheet'!$A$23="","",'Final Calculation Sheet'!$A$23)</f>
        <v/>
      </c>
      <c r="F485" s="74">
        <f>IF('Final Calculation Sheet'!$A$29="","",'Final Calculation Sheet'!$A$29)</f>
        <v/>
      </c>
      <c r="G485" s="792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973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025">
        <f>IF('Final Calculation Sheet'!$E$16="","",'Final Calculation Sheet'!$E$16)</f>
        <v/>
      </c>
      <c r="D486" s="76">
        <f>IF('Final Calculation Sheet'!$E$17="","",'Final Calculation Sheet'!$E$17)</f>
        <v/>
      </c>
      <c r="E486" s="1025">
        <f>IF('Final Calculation Sheet'!$E$23="","",'Final Calculation Sheet'!$E$23)</f>
        <v/>
      </c>
      <c r="F486" s="76">
        <f>IF('Final Calculation Sheet'!$E$29="","",'Final Calculation Sheet'!$E$29)</f>
        <v/>
      </c>
      <c r="G486" s="1025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972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774">
        <f>IF('Final Calculation Sheet'!$C$16="","",'Final Calculation Sheet'!$C$16)</f>
        <v/>
      </c>
      <c r="D487" s="70">
        <f>IF('Final Calculation Sheet'!$C$17="","",'Final Calculation Sheet'!$C$17)</f>
        <v/>
      </c>
      <c r="E487" s="774">
        <f>IF('Final Calculation Sheet'!$C$23="","",'Final Calculation Sheet'!$C$23)</f>
        <v/>
      </c>
      <c r="F487" s="70">
        <f>IF('Final Calculation Sheet'!$C$29="","",'Final Calculation Sheet'!$C$29)</f>
        <v/>
      </c>
      <c r="G487" s="774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972" t="inlineStr">
        <is>
          <t>–</t>
        </is>
      </c>
    </row>
    <row r="488" outlineLevel="1" ht="16" customHeight="1">
      <c r="A488" s="969" t="inlineStr">
        <is>
          <t xml:space="preserve">  ▸ FINANCIALS</t>
        </is>
      </c>
      <c r="B488" s="890" t="n"/>
      <c r="C488" s="890" t="n"/>
      <c r="D488" s="890" t="n"/>
      <c r="E488" s="890" t="n"/>
      <c r="F488" s="890" t="n"/>
      <c r="G488" s="890" t="n"/>
      <c r="H488" s="890" t="n"/>
      <c r="I488" s="890" t="n"/>
      <c r="J488" s="890" t="n"/>
      <c r="K488" s="890" t="n"/>
      <c r="L488" s="890" t="n"/>
      <c r="M488" s="890" t="n"/>
      <c r="N488" s="890" t="n"/>
      <c r="O488" s="890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774">
        <f>IF('Final Calculation Sheet'!$H$16="","",'Final Calculation Sheet'!$H$16)</f>
        <v/>
      </c>
      <c r="D489" s="70">
        <f>IF('Final Calculation Sheet'!$H$17="","",'Final Calculation Sheet'!$H$17)</f>
        <v/>
      </c>
      <c r="E489" s="774">
        <f>IF('Final Calculation Sheet'!$H$23="","",'Final Calculation Sheet'!$H$23)</f>
        <v/>
      </c>
      <c r="F489" s="70">
        <f>IF('Final Calculation Sheet'!$H$29="","",'Final Calculation Sheet'!$H$29)</f>
        <v/>
      </c>
      <c r="G489" s="774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974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774">
        <f>IF('Final Calculation Sheet'!$I$16="","",'Final Calculation Sheet'!$I$16)</f>
        <v/>
      </c>
      <c r="D490" s="70">
        <f>IF('Final Calculation Sheet'!$I$17="","",'Final Calculation Sheet'!$I$17)</f>
        <v/>
      </c>
      <c r="E490" s="774">
        <f>IF('Final Calculation Sheet'!$I$23="","",'Final Calculation Sheet'!$I$23)</f>
        <v/>
      </c>
      <c r="F490" s="70">
        <f>IF('Final Calculation Sheet'!$I$29="","",'Final Calculation Sheet'!$I$29)</f>
        <v/>
      </c>
      <c r="G490" s="774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974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774">
        <f>IF('Final Calculation Sheet'!$J$16="","",'Final Calculation Sheet'!$J$16)</f>
        <v/>
      </c>
      <c r="D491" s="70">
        <f>IF('Final Calculation Sheet'!$J$17="","",'Final Calculation Sheet'!$J$17)</f>
        <v/>
      </c>
      <c r="E491" s="774">
        <f>IF('Final Calculation Sheet'!$J$23="","",'Final Calculation Sheet'!$J$23)</f>
        <v/>
      </c>
      <c r="F491" s="70">
        <f>IF('Final Calculation Sheet'!$J$29="","",'Final Calculation Sheet'!$J$29)</f>
        <v/>
      </c>
      <c r="G491" s="774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974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774">
        <f>IF('Final Calculation Sheet'!$K$16="","",'Final Calculation Sheet'!$K$16)</f>
        <v/>
      </c>
      <c r="D492" s="70">
        <f>IF('Final Calculation Sheet'!$K$17="","",'Final Calculation Sheet'!$K$17)</f>
        <v/>
      </c>
      <c r="E492" s="774">
        <f>IF('Final Calculation Sheet'!$K$23="","",'Final Calculation Sheet'!$K$23)</f>
        <v/>
      </c>
      <c r="F492" s="70">
        <f>IF('Final Calculation Sheet'!$K$29="","",'Final Calculation Sheet'!$K$29)</f>
        <v/>
      </c>
      <c r="G492" s="774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974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802">
        <f>IF('Final Calculation Sheet'!$L$16="","",'Final Calculation Sheet'!$L$16)</f>
        <v/>
      </c>
      <c r="D493" s="78">
        <f>IF('Final Calculation Sheet'!$L$17="","",'Final Calculation Sheet'!$L$17)</f>
        <v/>
      </c>
      <c r="E493" s="802">
        <f>IF('Final Calculation Sheet'!$L$23="","",'Final Calculation Sheet'!$L$23)</f>
        <v/>
      </c>
      <c r="F493" s="78">
        <f>IF('Final Calculation Sheet'!$L$29="","",'Final Calculation Sheet'!$L$29)</f>
        <v/>
      </c>
      <c r="G493" s="802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975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802">
        <f>IF('Final Calculation Sheet'!$M$16="","",'Final Calculation Sheet'!$M$16)</f>
        <v/>
      </c>
      <c r="D494" s="78">
        <f>IF('Final Calculation Sheet'!$M$17="","",'Final Calculation Sheet'!$M$17)</f>
        <v/>
      </c>
      <c r="E494" s="802">
        <f>IF('Final Calculation Sheet'!$M$23="","",'Final Calculation Sheet'!$M$23)</f>
        <v/>
      </c>
      <c r="F494" s="78">
        <f>IF('Final Calculation Sheet'!$M$29="","",'Final Calculation Sheet'!$M$29)</f>
        <v/>
      </c>
      <c r="G494" s="802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975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802">
        <f>IF('Final Calculation Sheet'!$N$16="","",'Final Calculation Sheet'!$N$16)</f>
        <v/>
      </c>
      <c r="D495" s="78">
        <f>IF('Final Calculation Sheet'!$N$17="","",'Final Calculation Sheet'!$N$17)</f>
        <v/>
      </c>
      <c r="E495" s="802">
        <f>IF('Final Calculation Sheet'!$N$23="","",'Final Calculation Sheet'!$N$23)</f>
        <v/>
      </c>
      <c r="F495" s="78">
        <f>IF('Final Calculation Sheet'!$N$29="","",'Final Calculation Sheet'!$N$29)</f>
        <v/>
      </c>
      <c r="G495" s="802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975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802">
        <f>IF('Final Calculation Sheet'!$O$16="","",'Final Calculation Sheet'!$O$16)</f>
        <v/>
      </c>
      <c r="D496" s="78">
        <f>IF('Final Calculation Sheet'!$O$17="","",'Final Calculation Sheet'!$O$17)</f>
        <v/>
      </c>
      <c r="E496" s="802">
        <f>IF('Final Calculation Sheet'!$O$23="","",'Final Calculation Sheet'!$O$23)</f>
        <v/>
      </c>
      <c r="F496" s="78">
        <f>IF('Final Calculation Sheet'!$O$29="","",'Final Calculation Sheet'!$O$29)</f>
        <v/>
      </c>
      <c r="G496" s="802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975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774">
        <f>IF('Final Calculation Sheet'!$P$16="","",'Final Calculation Sheet'!$P$16)</f>
        <v/>
      </c>
      <c r="D497" s="70">
        <f>IF('Final Calculation Sheet'!$P$17="","",'Final Calculation Sheet'!$P$17)</f>
        <v/>
      </c>
      <c r="E497" s="774">
        <f>IF('Final Calculation Sheet'!$P$23="","",'Final Calculation Sheet'!$P$23)</f>
        <v/>
      </c>
      <c r="F497" s="70">
        <f>IF('Final Calculation Sheet'!$P$29="","",'Final Calculation Sheet'!$P$29)</f>
        <v/>
      </c>
      <c r="G497" s="774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974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026">
        <f>IF('Final Calculation Sheet'!$Q$16="","",'Final Calculation Sheet'!$Q$16)</f>
        <v/>
      </c>
      <c r="D498" s="80">
        <f>IF('Final Calculation Sheet'!$Q$17="","",'Final Calculation Sheet'!$Q$17)</f>
        <v/>
      </c>
      <c r="E498" s="1026">
        <f>IF('Final Calculation Sheet'!$Q$23="","",'Final Calculation Sheet'!$Q$23)</f>
        <v/>
      </c>
      <c r="F498" s="80">
        <f>IF('Final Calculation Sheet'!$Q$29="","",'Final Calculation Sheet'!$Q$29)</f>
        <v/>
      </c>
      <c r="G498" s="102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972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774">
        <f>IF('Final Calculation Sheet'!$R$16="","",'Final Calculation Sheet'!$R$16)</f>
        <v/>
      </c>
      <c r="D499" s="70">
        <f>IF('Final Calculation Sheet'!$R$17="","",'Final Calculation Sheet'!$R$17)</f>
        <v/>
      </c>
      <c r="E499" s="774">
        <f>IF('Final Calculation Sheet'!$R$23="","",'Final Calculation Sheet'!$R$23)</f>
        <v/>
      </c>
      <c r="F499" s="70">
        <f>IF('Final Calculation Sheet'!$R$29="","",'Final Calculation Sheet'!$R$29)</f>
        <v/>
      </c>
      <c r="G499" s="774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974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774">
        <f>IF('Final Calculation Sheet'!$S$16="","",'Final Calculation Sheet'!$S$16)</f>
        <v/>
      </c>
      <c r="D500" s="70">
        <f>IF('Final Calculation Sheet'!$S$17="","",'Final Calculation Sheet'!$S$17)</f>
        <v/>
      </c>
      <c r="E500" s="774">
        <f>IF('Final Calculation Sheet'!$S$23="","",'Final Calculation Sheet'!$S$23)</f>
        <v/>
      </c>
      <c r="F500" s="70">
        <f>IF('Final Calculation Sheet'!$S$29="","",'Final Calculation Sheet'!$S$29)</f>
        <v/>
      </c>
      <c r="G500" s="774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974">
        <f>SUM(B500:N500)</f>
        <v/>
      </c>
    </row>
    <row r="501" outlineLevel="1" ht="16" customHeight="1">
      <c r="A501" s="969" t="inlineStr">
        <is>
          <t xml:space="preserve">  ▸ SECURITY DEPOSIT</t>
        </is>
      </c>
      <c r="B501" s="890" t="n"/>
      <c r="C501" s="890" t="n"/>
      <c r="D501" s="890" t="n"/>
      <c r="E501" s="890" t="n"/>
      <c r="F501" s="890" t="n"/>
      <c r="G501" s="890" t="n"/>
      <c r="H501" s="890" t="n"/>
      <c r="I501" s="890" t="n"/>
      <c r="J501" s="890" t="n"/>
      <c r="K501" s="890" t="n"/>
      <c r="L501" s="890" t="n"/>
      <c r="M501" s="890" t="n"/>
      <c r="N501" s="890" t="n"/>
      <c r="O501" s="890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774">
        <f>IF('Final Calculation Sheet'!$T$16="","",'Final Calculation Sheet'!$T$16)</f>
        <v/>
      </c>
      <c r="D502" s="70">
        <f>IF('Final Calculation Sheet'!$T$17="","",'Final Calculation Sheet'!$T$17)</f>
        <v/>
      </c>
      <c r="E502" s="774">
        <f>IF('Final Calculation Sheet'!$T$23="","",'Final Calculation Sheet'!$T$23)</f>
        <v/>
      </c>
      <c r="F502" s="70">
        <f>IF('Final Calculation Sheet'!$T$29="","",'Final Calculation Sheet'!$T$29)</f>
        <v/>
      </c>
      <c r="G502" s="774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974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774">
        <f>IF('Final Calculation Sheet'!$U$16="","",'Final Calculation Sheet'!$U$16)</f>
        <v/>
      </c>
      <c r="D503" s="70">
        <f>IF('Final Calculation Sheet'!$U$17="","",'Final Calculation Sheet'!$U$17)</f>
        <v/>
      </c>
      <c r="E503" s="774">
        <f>IF('Final Calculation Sheet'!$U$23="","",'Final Calculation Sheet'!$U$23)</f>
        <v/>
      </c>
      <c r="F503" s="70">
        <f>IF('Final Calculation Sheet'!$U$29="","",'Final Calculation Sheet'!$U$29)</f>
        <v/>
      </c>
      <c r="G503" s="774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974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025">
        <f>IF('Final Calculation Sheet'!$V$16="","",'Final Calculation Sheet'!$V$16)</f>
        <v/>
      </c>
      <c r="D504" s="76">
        <f>IF('Final Calculation Sheet'!$V$17="","",'Final Calculation Sheet'!$V$17)</f>
        <v/>
      </c>
      <c r="E504" s="1025">
        <f>IF('Final Calculation Sheet'!$V$23="","",'Final Calculation Sheet'!$V$23)</f>
        <v/>
      </c>
      <c r="F504" s="76">
        <f>IF('Final Calculation Sheet'!$V$29="","",'Final Calculation Sheet'!$V$29)</f>
        <v/>
      </c>
      <c r="G504" s="1025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972" t="inlineStr">
        <is>
          <t>–</t>
        </is>
      </c>
    </row>
    <row r="505" outlineLevel="1" ht="16" customHeight="1">
      <c r="A505" s="969" t="inlineStr">
        <is>
          <t xml:space="preserve">  ▸ FINAL PAYMENT</t>
        </is>
      </c>
      <c r="B505" s="890" t="n"/>
      <c r="C505" s="890" t="n"/>
      <c r="D505" s="890" t="n"/>
      <c r="E505" s="890" t="n"/>
      <c r="F505" s="890" t="n"/>
      <c r="G505" s="890" t="n"/>
      <c r="H505" s="890" t="n"/>
      <c r="I505" s="890" t="n"/>
      <c r="J505" s="890" t="n"/>
      <c r="K505" s="890" t="n"/>
      <c r="L505" s="890" t="n"/>
      <c r="M505" s="890" t="n"/>
      <c r="N505" s="890" t="n"/>
      <c r="O505" s="890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774">
        <f>IF('Final Calculation Sheet'!$W$16="","",'Final Calculation Sheet'!$W$16)</f>
        <v/>
      </c>
      <c r="D506" s="70">
        <f>IF('Final Calculation Sheet'!$W$17="","",'Final Calculation Sheet'!$W$17)</f>
        <v/>
      </c>
      <c r="E506" s="774">
        <f>IF('Final Calculation Sheet'!$W$23="","",'Final Calculation Sheet'!$W$23)</f>
        <v/>
      </c>
      <c r="F506" s="70">
        <f>IF('Final Calculation Sheet'!$W$29="","",'Final Calculation Sheet'!$W$29)</f>
        <v/>
      </c>
      <c r="G506" s="774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974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774">
        <f>IF('Final Calculation Sheet'!$X$16="","",'Final Calculation Sheet'!$X$16)</f>
        <v/>
      </c>
      <c r="D507" s="70">
        <f>IF('Final Calculation Sheet'!$X$17="","",'Final Calculation Sheet'!$X$17)</f>
        <v/>
      </c>
      <c r="E507" s="774">
        <f>IF('Final Calculation Sheet'!$X$23="","",'Final Calculation Sheet'!$X$23)</f>
        <v/>
      </c>
      <c r="F507" s="70">
        <f>IF('Final Calculation Sheet'!$X$29="","",'Final Calculation Sheet'!$X$29)</f>
        <v/>
      </c>
      <c r="G507" s="774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974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025">
        <f>IF('Final Calculation Sheet'!$Y$16="","",'Final Calculation Sheet'!$Y$16)</f>
        <v/>
      </c>
      <c r="D508" s="76">
        <f>IF('Final Calculation Sheet'!$Y$17="","",'Final Calculation Sheet'!$Y$17)</f>
        <v/>
      </c>
      <c r="E508" s="1025">
        <f>IF('Final Calculation Sheet'!$Y$23="","",'Final Calculation Sheet'!$Y$23)</f>
        <v/>
      </c>
      <c r="F508" s="76">
        <f>IF('Final Calculation Sheet'!$Y$29="","",'Final Calculation Sheet'!$Y$29)</f>
        <v/>
      </c>
      <c r="G508" s="1025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972" t="inlineStr">
        <is>
          <t>–</t>
        </is>
      </c>
    </row>
    <row r="509" outlineLevel="1" ht="16" customHeight="1">
      <c r="A509" s="969" t="inlineStr">
        <is>
          <t xml:space="preserve">  ▸ LPP</t>
        </is>
      </c>
      <c r="B509" s="890" t="n"/>
      <c r="C509" s="890" t="n"/>
      <c r="D509" s="890" t="n"/>
      <c r="E509" s="890" t="n"/>
      <c r="F509" s="890" t="n"/>
      <c r="G509" s="890" t="n"/>
      <c r="H509" s="890" t="n"/>
      <c r="I509" s="890" t="n"/>
      <c r="J509" s="890" t="n"/>
      <c r="K509" s="890" t="n"/>
      <c r="L509" s="890" t="n"/>
      <c r="M509" s="890" t="n"/>
      <c r="N509" s="890" t="n"/>
      <c r="O509" s="890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774">
        <f>IF('Final Calculation Sheet'!$Z$16="","",'Final Calculation Sheet'!$Z$16)</f>
        <v/>
      </c>
      <c r="D510" s="70">
        <f>IF('Final Calculation Sheet'!$Z$17="","",'Final Calculation Sheet'!$Z$17)</f>
        <v/>
      </c>
      <c r="E510" s="774">
        <f>IF('Final Calculation Sheet'!$Z$23="","",'Final Calculation Sheet'!$Z$23)</f>
        <v/>
      </c>
      <c r="F510" s="70">
        <f>IF('Final Calculation Sheet'!$Z$29="","",'Final Calculation Sheet'!$Z$29)</f>
        <v/>
      </c>
      <c r="G510" s="774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974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774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774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774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974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025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025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025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972" t="inlineStr">
        <is>
          <t>–</t>
        </is>
      </c>
    </row>
    <row r="513" outlineLevel="1" ht="16" customHeight="1">
      <c r="A513" s="969" t="inlineStr">
        <is>
          <t xml:space="preserve">  ▸ SUMMARY</t>
        </is>
      </c>
      <c r="B513" s="890" t="n"/>
      <c r="C513" s="890" t="n"/>
      <c r="D513" s="890" t="n"/>
      <c r="E513" s="890" t="n"/>
      <c r="F513" s="890" t="n"/>
      <c r="G513" s="890" t="n"/>
      <c r="H513" s="890" t="n"/>
      <c r="I513" s="890" t="n"/>
      <c r="J513" s="890" t="n"/>
      <c r="K513" s="890" t="n"/>
      <c r="L513" s="890" t="n"/>
      <c r="M513" s="890" t="n"/>
      <c r="N513" s="890" t="n"/>
      <c r="O513" s="890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774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774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774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974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774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774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774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974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782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782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782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972" t="inlineStr">
        <is>
          <t>–</t>
        </is>
      </c>
    </row>
    <row r="517" outlineLevel="1" ht="16" customHeight="1">
      <c r="A517" s="969" t="inlineStr">
        <is>
          <t xml:space="preserve">  ▸ DOCUMENT</t>
        </is>
      </c>
      <c r="B517" s="890" t="n"/>
      <c r="C517" s="890" t="n"/>
      <c r="D517" s="890" t="n"/>
      <c r="E517" s="890" t="n"/>
      <c r="F517" s="890" t="n"/>
      <c r="G517" s="890" t="n"/>
      <c r="H517" s="890" t="n"/>
      <c r="I517" s="890" t="n"/>
      <c r="J517" s="890" t="n"/>
      <c r="K517" s="890" t="n"/>
      <c r="L517" s="890" t="n"/>
      <c r="M517" s="890" t="n"/>
      <c r="N517" s="890" t="n"/>
      <c r="O517" s="890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025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025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025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972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774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774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774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972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025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025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025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972" t="inlineStr">
        <is>
          <t>–</t>
        </is>
      </c>
    </row>
    <row r="521" ht="7" customHeight="1">
      <c r="A521" s="866" t="n"/>
      <c r="B521" s="866" t="n"/>
      <c r="C521" s="866" t="n"/>
      <c r="D521" s="866" t="n"/>
      <c r="E521" s="866" t="n"/>
      <c r="F521" s="866" t="n"/>
      <c r="G521" s="866" t="n"/>
      <c r="H521" s="866" t="n"/>
      <c r="I521" s="866" t="n"/>
      <c r="J521" s="866" t="n"/>
      <c r="K521" s="866" t="n"/>
      <c r="L521" s="866" t="n"/>
      <c r="M521" s="866" t="n"/>
      <c r="N521" s="866" t="n"/>
      <c r="O521" s="866" t="n"/>
    </row>
    <row r="522" ht="24" customHeight="1">
      <c r="A522" s="89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976" t="inlineStr">
        <is>
          <t xml:space="preserve">   Lot No. →</t>
        </is>
      </c>
      <c r="B523" s="977">
        <f>IF('Final Calculation Sheet'!$F$25="","",'Final Calculation Sheet'!$F$25)</f>
        <v/>
      </c>
      <c r="C523" s="977">
        <f>IF('Final Calculation Sheet'!$F$28="","",'Final Calculation Sheet'!$F$28)</f>
        <v/>
      </c>
      <c r="D523" s="977">
        <f>IF('Final Calculation Sheet'!$F$35="","",'Final Calculation Sheet'!$F$35)</f>
        <v/>
      </c>
      <c r="E523" s="900" t="n"/>
      <c r="F523" s="900" t="n"/>
      <c r="G523" s="900" t="n"/>
      <c r="H523" s="900" t="n"/>
      <c r="I523" s="900" t="n"/>
      <c r="J523" s="900" t="n"/>
      <c r="K523" s="900" t="n"/>
      <c r="L523" s="900" t="n"/>
      <c r="M523" s="900" t="n"/>
      <c r="N523" s="900" t="n"/>
      <c r="O523" s="978" t="inlineStr">
        <is>
          <t>TOTAL</t>
        </is>
      </c>
    </row>
    <row r="524" outlineLevel="1" ht="16" customHeight="1">
      <c r="A524" s="976" t="inlineStr">
        <is>
          <t xml:space="preserve">  ▸ LOT INFORMATION</t>
        </is>
      </c>
      <c r="B524" s="900" t="n"/>
      <c r="C524" s="900" t="n"/>
      <c r="D524" s="900" t="n"/>
      <c r="E524" s="900" t="n"/>
      <c r="F524" s="900" t="n"/>
      <c r="G524" s="900" t="n"/>
      <c r="H524" s="900" t="n"/>
      <c r="I524" s="900" t="n"/>
      <c r="J524" s="900" t="n"/>
      <c r="K524" s="900" t="n"/>
      <c r="L524" s="900" t="n"/>
      <c r="M524" s="900" t="n"/>
      <c r="N524" s="900" t="n"/>
      <c r="O524" s="90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027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979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028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979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027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979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029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980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030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979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027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979" t="inlineStr">
        <is>
          <t>–</t>
        </is>
      </c>
    </row>
    <row r="531" outlineLevel="1" ht="16" customHeight="1">
      <c r="A531" s="976" t="inlineStr">
        <is>
          <t xml:space="preserve">  ▸ FINANCIALS</t>
        </is>
      </c>
      <c r="B531" s="900" t="n"/>
      <c r="C531" s="900" t="n"/>
      <c r="D531" s="900" t="n"/>
      <c r="E531" s="900" t="n"/>
      <c r="F531" s="900" t="n"/>
      <c r="G531" s="900" t="n"/>
      <c r="H531" s="900" t="n"/>
      <c r="I531" s="900" t="n"/>
      <c r="J531" s="900" t="n"/>
      <c r="K531" s="900" t="n"/>
      <c r="L531" s="900" t="n"/>
      <c r="M531" s="900" t="n"/>
      <c r="N531" s="900" t="n"/>
      <c r="O531" s="90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027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981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027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981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027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981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027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981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031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982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031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982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031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982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031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982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027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981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032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979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027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981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027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981">
        <f>SUM(B543:N543)</f>
        <v/>
      </c>
    </row>
    <row r="544" outlineLevel="1" ht="16" customHeight="1">
      <c r="A544" s="976" t="inlineStr">
        <is>
          <t xml:space="preserve">  ▸ SECURITY DEPOSIT</t>
        </is>
      </c>
      <c r="B544" s="900" t="n"/>
      <c r="C544" s="900" t="n"/>
      <c r="D544" s="900" t="n"/>
      <c r="E544" s="900" t="n"/>
      <c r="F544" s="900" t="n"/>
      <c r="G544" s="900" t="n"/>
      <c r="H544" s="900" t="n"/>
      <c r="I544" s="900" t="n"/>
      <c r="J544" s="900" t="n"/>
      <c r="K544" s="900" t="n"/>
      <c r="L544" s="900" t="n"/>
      <c r="M544" s="900" t="n"/>
      <c r="N544" s="900" t="n"/>
      <c r="O544" s="90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027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981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027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981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030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979" t="inlineStr">
        <is>
          <t>–</t>
        </is>
      </c>
    </row>
    <row r="548" outlineLevel="1" ht="16" customHeight="1">
      <c r="A548" s="976" t="inlineStr">
        <is>
          <t xml:space="preserve">  ▸ FINAL PAYMENT</t>
        </is>
      </c>
      <c r="B548" s="900" t="n"/>
      <c r="C548" s="900" t="n"/>
      <c r="D548" s="900" t="n"/>
      <c r="E548" s="900" t="n"/>
      <c r="F548" s="900" t="n"/>
      <c r="G548" s="900" t="n"/>
      <c r="H548" s="900" t="n"/>
      <c r="I548" s="900" t="n"/>
      <c r="J548" s="900" t="n"/>
      <c r="K548" s="900" t="n"/>
      <c r="L548" s="900" t="n"/>
      <c r="M548" s="900" t="n"/>
      <c r="N548" s="900" t="n"/>
      <c r="O548" s="90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027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981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027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981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030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979" t="inlineStr">
        <is>
          <t>–</t>
        </is>
      </c>
    </row>
    <row r="552" outlineLevel="1" ht="16" customHeight="1">
      <c r="A552" s="976" t="inlineStr">
        <is>
          <t xml:space="preserve">  ▸ LPP</t>
        </is>
      </c>
      <c r="B552" s="900" t="n"/>
      <c r="C552" s="900" t="n"/>
      <c r="D552" s="900" t="n"/>
      <c r="E552" s="900" t="n"/>
      <c r="F552" s="900" t="n"/>
      <c r="G552" s="900" t="n"/>
      <c r="H552" s="900" t="n"/>
      <c r="I552" s="900" t="n"/>
      <c r="J552" s="900" t="n"/>
      <c r="K552" s="900" t="n"/>
      <c r="L552" s="900" t="n"/>
      <c r="M552" s="900" t="n"/>
      <c r="N552" s="900" t="n"/>
      <c r="O552" s="90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027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981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027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981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030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979" t="inlineStr">
        <is>
          <t>–</t>
        </is>
      </c>
    </row>
    <row r="556" outlineLevel="1" ht="16" customHeight="1">
      <c r="A556" s="976" t="inlineStr">
        <is>
          <t xml:space="preserve">  ▸ SUMMARY</t>
        </is>
      </c>
      <c r="B556" s="900" t="n"/>
      <c r="C556" s="900" t="n"/>
      <c r="D556" s="900" t="n"/>
      <c r="E556" s="900" t="n"/>
      <c r="F556" s="900" t="n"/>
      <c r="G556" s="900" t="n"/>
      <c r="H556" s="900" t="n"/>
      <c r="I556" s="900" t="n"/>
      <c r="J556" s="900" t="n"/>
      <c r="K556" s="900" t="n"/>
      <c r="L556" s="900" t="n"/>
      <c r="M556" s="900" t="n"/>
      <c r="N556" s="900" t="n"/>
      <c r="O556" s="90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027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981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027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981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033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979" t="inlineStr">
        <is>
          <t>–</t>
        </is>
      </c>
    </row>
    <row r="560" outlineLevel="1" ht="16" customHeight="1">
      <c r="A560" s="976" t="inlineStr">
        <is>
          <t xml:space="preserve">  ▸ DOCUMENT</t>
        </is>
      </c>
      <c r="B560" s="900" t="n"/>
      <c r="C560" s="900" t="n"/>
      <c r="D560" s="900" t="n"/>
      <c r="E560" s="900" t="n"/>
      <c r="F560" s="900" t="n"/>
      <c r="G560" s="900" t="n"/>
      <c r="H560" s="900" t="n"/>
      <c r="I560" s="900" t="n"/>
      <c r="J560" s="900" t="n"/>
      <c r="K560" s="900" t="n"/>
      <c r="L560" s="900" t="n"/>
      <c r="M560" s="900" t="n"/>
      <c r="N560" s="900" t="n"/>
      <c r="O560" s="90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030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979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027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979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030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979" t="inlineStr">
        <is>
          <t>–</t>
        </is>
      </c>
    </row>
    <row r="564" ht="7" customHeight="1">
      <c r="A564" s="866" t="n"/>
      <c r="B564" s="866" t="n"/>
      <c r="C564" s="866" t="n"/>
      <c r="D564" s="866" t="n"/>
      <c r="E564" s="866" t="n"/>
      <c r="F564" s="866" t="n"/>
      <c r="G564" s="866" t="n"/>
      <c r="H564" s="866" t="n"/>
      <c r="I564" s="866" t="n"/>
      <c r="J564" s="866" t="n"/>
      <c r="K564" s="866" t="n"/>
      <c r="L564" s="866" t="n"/>
      <c r="M564" s="866" t="n"/>
      <c r="N564" s="866" t="n"/>
      <c r="O564" s="866" t="n"/>
    </row>
    <row r="566" ht="22" customHeight="1">
      <c r="A566" s="1034" t="inlineStr">
        <is>
          <t>◈  BUYER INDEX  —  click a buyer name to jump to its block</t>
        </is>
      </c>
    </row>
    <row r="567" ht="26" customHeight="1">
      <c r="A567" s="1035" t="inlineStr">
        <is>
          <t>BUYER (click to jump)</t>
        </is>
      </c>
      <c r="B567" s="1035" t="inlineStr">
        <is>
          <t>LOTS</t>
        </is>
      </c>
      <c r="C567" s="1035" t="inlineStr">
        <is>
          <t>MAT. VALUE ₹</t>
        </is>
      </c>
      <c r="D567" s="1035" t="inlineStr">
        <is>
          <t>TOTAL RECEIVABLES ₹</t>
        </is>
      </c>
      <c r="E567" s="1035" t="inlineStr">
        <is>
          <t>TOTAL RECEIVED ₹</t>
        </is>
      </c>
      <c r="F567" s="1035" t="inlineStr">
        <is>
          <t>OUTSTANDING ₹</t>
        </is>
      </c>
      <c r="G567" s="1035" t="inlineStr">
        <is>
          <t>STATUS</t>
        </is>
      </c>
    </row>
    <row r="568" ht="16" customHeight="1">
      <c r="A568" s="1036" t="inlineStr">
        <is>
          <t>AL HAMD TRADE CORPORATION</t>
        </is>
      </c>
      <c r="B568" s="1037">
        <f>COUNTIF('Final Calculation Sheet'!$G$4:$G$1000,"AL HAMD TRADE CORPORATION")</f>
        <v/>
      </c>
      <c r="C568" s="864">
        <f>SUMIF('Final Calculation Sheet'!$G$4:$G$1000,"AL HAMD TRADE CORPORATION",'Final Calculation Sheet'!$H$4:$H$1000)</f>
        <v/>
      </c>
      <c r="D568" s="864">
        <f>SUMIF('Final Calculation Sheet'!$G$4:$G$1000,"AL HAMD TRADE CORPORATION",'Final Calculation Sheet'!$S$4:$S$1000)</f>
        <v/>
      </c>
      <c r="E568" s="864">
        <f>SUMIF('Final Calculation Sheet'!$G$4:$G$1000,"AL HAMD TRADE CORPORATION",'Final Calculation Sheet'!$AC$4:$AC$1000)</f>
        <v/>
      </c>
      <c r="F568" s="864">
        <f>SUMIF('Final Calculation Sheet'!$G$4:$G$1000,"AL HAMD TRADE CORPORATION",'Final Calculation Sheet'!$AD$4:$AD$1000)</f>
        <v/>
      </c>
      <c r="G568" s="947">
        <f>IF(F568&lt;=0,"SETTLED","OUTSTANDING")</f>
        <v/>
      </c>
    </row>
    <row r="569" ht="16" customHeight="1">
      <c r="A569" s="1038" t="inlineStr">
        <is>
          <t>F R KHANS ENTERPRISES</t>
        </is>
      </c>
      <c r="B569" s="1039">
        <f>COUNTIF('Final Calculation Sheet'!$G$4:$G$1000,"F R KHANS ENTERPRISES")</f>
        <v/>
      </c>
      <c r="C569" s="1040">
        <f>SUMIF('Final Calculation Sheet'!$G$4:$G$1000,"F R KHANS ENTERPRISES",'Final Calculation Sheet'!$H$4:$H$1000)</f>
        <v/>
      </c>
      <c r="D569" s="1040">
        <f>SUMIF('Final Calculation Sheet'!$G$4:$G$1000,"F R KHANS ENTERPRISES",'Final Calculation Sheet'!$S$4:$S$1000)</f>
        <v/>
      </c>
      <c r="E569" s="1040">
        <f>SUMIF('Final Calculation Sheet'!$G$4:$G$1000,"F R KHANS ENTERPRISES",'Final Calculation Sheet'!$AC$4:$AC$1000)</f>
        <v/>
      </c>
      <c r="F569" s="1040">
        <f>SUMIF('Final Calculation Sheet'!$G$4:$G$1000,"F R KHANS ENTERPRISES",'Final Calculation Sheet'!$AD$4:$AD$1000)</f>
        <v/>
      </c>
      <c r="G569" s="1041">
        <f>IF(F569&lt;=0,"SETTLED","OUTSTANDING")</f>
        <v/>
      </c>
    </row>
    <row r="570" ht="16" customHeight="1">
      <c r="A570" s="1042" t="inlineStr">
        <is>
          <t>HIND TRADERS</t>
        </is>
      </c>
      <c r="B570" s="1043">
        <f>COUNTIF('Final Calculation Sheet'!$G$4:$G$1000,"HIND TRADERS")</f>
        <v/>
      </c>
      <c r="C570" s="885">
        <f>SUMIF('Final Calculation Sheet'!$G$4:$G$1000,"HIND TRADERS",'Final Calculation Sheet'!$H$4:$H$1000)</f>
        <v/>
      </c>
      <c r="D570" s="885">
        <f>SUMIF('Final Calculation Sheet'!$G$4:$G$1000,"HIND TRADERS",'Final Calculation Sheet'!$S$4:$S$1000)</f>
        <v/>
      </c>
      <c r="E570" s="885">
        <f>SUMIF('Final Calculation Sheet'!$G$4:$G$1000,"HIND TRADERS",'Final Calculation Sheet'!$AC$4:$AC$1000)</f>
        <v/>
      </c>
      <c r="F570" s="885">
        <f>SUMIF('Final Calculation Sheet'!$G$4:$G$1000,"HIND TRADERS",'Final Calculation Sheet'!$AD$4:$AD$1000)</f>
        <v/>
      </c>
      <c r="G570" s="964">
        <f>IF(F570&lt;=0,"SETTLED","OUTSTANDING")</f>
        <v/>
      </c>
    </row>
    <row r="571" ht="16" customHeight="1">
      <c r="A571" s="1044" t="inlineStr">
        <is>
          <t>KASHYAP TRADING CO</t>
        </is>
      </c>
      <c r="B571" s="1045">
        <f>COUNTIF('Final Calculation Sheet'!$G$4:$G$1000,"KASHYAP TRADING CO")</f>
        <v/>
      </c>
      <c r="C571" s="1046">
        <f>SUMIF('Final Calculation Sheet'!$G$4:$G$1000,"KASHYAP TRADING CO",'Final Calculation Sheet'!$H$4:$H$1000)</f>
        <v/>
      </c>
      <c r="D571" s="1046">
        <f>SUMIF('Final Calculation Sheet'!$G$4:$G$1000,"KASHYAP TRADING CO",'Final Calculation Sheet'!$S$4:$S$1000)</f>
        <v/>
      </c>
      <c r="E571" s="1046">
        <f>SUMIF('Final Calculation Sheet'!$G$4:$G$1000,"KASHYAP TRADING CO",'Final Calculation Sheet'!$AC$4:$AC$1000)</f>
        <v/>
      </c>
      <c r="F571" s="1046">
        <f>SUMIF('Final Calculation Sheet'!$G$4:$G$1000,"KASHYAP TRADING CO",'Final Calculation Sheet'!$AD$4:$AD$1000)</f>
        <v/>
      </c>
      <c r="G571" s="1047">
        <f>IF(F571&lt;=0,"SETTLED","OUTSTANDING")</f>
        <v/>
      </c>
    </row>
    <row r="572" ht="16" customHeight="1">
      <c r="A572" s="1048" t="inlineStr">
        <is>
          <t>M I SCRAP TRADERS</t>
        </is>
      </c>
      <c r="B572" s="1049">
        <f>COUNTIF('Final Calculation Sheet'!$G$4:$G$1000,"M I SCRAP TRADERS")</f>
        <v/>
      </c>
      <c r="C572" s="905">
        <f>SUMIF('Final Calculation Sheet'!$G$4:$G$1000,"M I SCRAP TRADERS",'Final Calculation Sheet'!$H$4:$H$1000)</f>
        <v/>
      </c>
      <c r="D572" s="905">
        <f>SUMIF('Final Calculation Sheet'!$G$4:$G$1000,"M I SCRAP TRADERS",'Final Calculation Sheet'!$S$4:$S$1000)</f>
        <v/>
      </c>
      <c r="E572" s="905">
        <f>SUMIF('Final Calculation Sheet'!$G$4:$G$1000,"M I SCRAP TRADERS",'Final Calculation Sheet'!$AC$4:$AC$1000)</f>
        <v/>
      </c>
      <c r="F572" s="905">
        <f>SUMIF('Final Calculation Sheet'!$G$4:$G$1000,"M I SCRAP TRADERS",'Final Calculation Sheet'!$AD$4:$AD$1000)</f>
        <v/>
      </c>
      <c r="G572" s="978">
        <f>IF(F572&lt;=0,"SETTLED","OUTSTANDING")</f>
        <v/>
      </c>
    </row>
    <row r="573" ht="16" customHeight="1">
      <c r="A573" s="1050" t="inlineStr">
        <is>
          <t>NATIONAL ENTERPRISES</t>
        </is>
      </c>
      <c r="B573" s="1051">
        <f>COUNTIF('Final Calculation Sheet'!$G$4:$G$1000,"NATIONAL ENTERPRISES")</f>
        <v/>
      </c>
      <c r="C573" s="1052">
        <f>SUMIF('Final Calculation Sheet'!$G$4:$G$1000,"NATIONAL ENTERPRISES",'Final Calculation Sheet'!$H$4:$H$1000)</f>
        <v/>
      </c>
      <c r="D573" s="1052">
        <f>SUMIF('Final Calculation Sheet'!$G$4:$G$1000,"NATIONAL ENTERPRISES",'Final Calculation Sheet'!$S$4:$S$1000)</f>
        <v/>
      </c>
      <c r="E573" s="1052">
        <f>SUMIF('Final Calculation Sheet'!$G$4:$G$1000,"NATIONAL ENTERPRISES",'Final Calculation Sheet'!$AC$4:$AC$1000)</f>
        <v/>
      </c>
      <c r="F573" s="1052">
        <f>SUMIF('Final Calculation Sheet'!$G$4:$G$1000,"NATIONAL ENTERPRISES",'Final Calculation Sheet'!$AD$4:$AD$1000)</f>
        <v/>
      </c>
      <c r="G573" s="1053">
        <f>IF(F573&lt;=0,"SETTLED","OUTSTANDING")</f>
        <v/>
      </c>
    </row>
    <row r="574" ht="16" customHeight="1">
      <c r="A574" s="1054" t="inlineStr">
        <is>
          <t>NATIONAL SCRAP AND BUILDING MATERIAL SUPPLIER</t>
        </is>
      </c>
      <c r="B574" s="1055">
        <f>COUNTIF('Final Calculation Sheet'!$G$4:$G$1000,"NATIONAL SCRAP AND BUILDING MATERIAL SUPPLIER")</f>
        <v/>
      </c>
      <c r="C574" s="927">
        <f>SUMIF('Final Calculation Sheet'!$G$4:$G$1000,"NATIONAL SCRAP AND BUILDING MATERIAL SUPPLIER",'Final Calculation Sheet'!$H$4:$H$1000)</f>
        <v/>
      </c>
      <c r="D574" s="927">
        <f>SUMIF('Final Calculation Sheet'!$G$4:$G$1000,"NATIONAL SCRAP AND BUILDING MATERIAL SUPPLIER",'Final Calculation Sheet'!$S$4:$S$1000)</f>
        <v/>
      </c>
      <c r="E574" s="927">
        <f>SUMIF('Final Calculation Sheet'!$G$4:$G$1000,"NATIONAL SCRAP AND BUILDING MATERIAL SUPPLIER",'Final Calculation Sheet'!$AC$4:$AC$1000)</f>
        <v/>
      </c>
      <c r="F574" s="927">
        <f>SUMIF('Final Calculation Sheet'!$G$4:$G$1000,"NATIONAL SCRAP AND BUILDING MATERIAL SUPPLIER",'Final Calculation Sheet'!$AD$4:$AD$1000)</f>
        <v/>
      </c>
      <c r="G574" s="995">
        <f>IF(F574&lt;=0,"SETTLED","OUTSTANDING")</f>
        <v/>
      </c>
    </row>
    <row r="575" ht="16" customHeight="1">
      <c r="A575" s="1056" t="inlineStr">
        <is>
          <t>OMKAR STEELS</t>
        </is>
      </c>
      <c r="B575" s="1057">
        <f>COUNTIF('Final Calculation Sheet'!$G$4:$G$1000,"OMKAR STEELS")</f>
        <v/>
      </c>
      <c r="C575" s="1058">
        <f>SUMIF('Final Calculation Sheet'!$G$4:$G$1000,"OMKAR STEELS",'Final Calculation Sheet'!$H$4:$H$1000)</f>
        <v/>
      </c>
      <c r="D575" s="1058">
        <f>SUMIF('Final Calculation Sheet'!$G$4:$G$1000,"OMKAR STEELS",'Final Calculation Sheet'!$S$4:$S$1000)</f>
        <v/>
      </c>
      <c r="E575" s="1058">
        <f>SUMIF('Final Calculation Sheet'!$G$4:$G$1000,"OMKAR STEELS",'Final Calculation Sheet'!$AC$4:$AC$1000)</f>
        <v/>
      </c>
      <c r="F575" s="1058">
        <f>SUMIF('Final Calculation Sheet'!$G$4:$G$1000,"OMKAR STEELS",'Final Calculation Sheet'!$AD$4:$AD$1000)</f>
        <v/>
      </c>
      <c r="G575" s="1059">
        <f>IF(F575&lt;=0,"SETTLED","OUTSTANDING")</f>
        <v/>
      </c>
    </row>
    <row r="576" ht="16" customHeight="1">
      <c r="A576" s="1036" t="inlineStr">
        <is>
          <t>S M ENTERPRISES</t>
        </is>
      </c>
      <c r="B576" s="1037">
        <f>COUNTIF('Final Calculation Sheet'!$G$4:$G$1000,"S M ENTERPRISES")</f>
        <v/>
      </c>
      <c r="C576" s="864">
        <f>SUMIF('Final Calculation Sheet'!$G$4:$G$1000,"S M ENTERPRISES",'Final Calculation Sheet'!$H$4:$H$1000)</f>
        <v/>
      </c>
      <c r="D576" s="864">
        <f>SUMIF('Final Calculation Sheet'!$G$4:$G$1000,"S M ENTERPRISES",'Final Calculation Sheet'!$S$4:$S$1000)</f>
        <v/>
      </c>
      <c r="E576" s="864">
        <f>SUMIF('Final Calculation Sheet'!$G$4:$G$1000,"S M ENTERPRISES",'Final Calculation Sheet'!$AC$4:$AC$1000)</f>
        <v/>
      </c>
      <c r="F576" s="864">
        <f>SUMIF('Final Calculation Sheet'!$G$4:$G$1000,"S M ENTERPRISES",'Final Calculation Sheet'!$AD$4:$AD$1000)</f>
        <v/>
      </c>
      <c r="G576" s="947">
        <f>IF(F576&lt;=0,"SETTLED","OUTSTANDING")</f>
        <v/>
      </c>
    </row>
    <row r="577" ht="16" customHeight="1">
      <c r="A577" s="1038" t="inlineStr">
        <is>
          <t>SAHARA ENTERPRISES</t>
        </is>
      </c>
      <c r="B577" s="1039">
        <f>COUNTIF('Final Calculation Sheet'!$G$4:$G$1000,"SAHARA ENTERPRISES")</f>
        <v/>
      </c>
      <c r="C577" s="1040">
        <f>SUMIF('Final Calculation Sheet'!$G$4:$G$1000,"SAHARA ENTERPRISES",'Final Calculation Sheet'!$H$4:$H$1000)</f>
        <v/>
      </c>
      <c r="D577" s="1040">
        <f>SUMIF('Final Calculation Sheet'!$G$4:$G$1000,"SAHARA ENTERPRISES",'Final Calculation Sheet'!$S$4:$S$1000)</f>
        <v/>
      </c>
      <c r="E577" s="1040">
        <f>SUMIF('Final Calculation Sheet'!$G$4:$G$1000,"SAHARA ENTERPRISES",'Final Calculation Sheet'!$AC$4:$AC$1000)</f>
        <v/>
      </c>
      <c r="F577" s="1040">
        <f>SUMIF('Final Calculation Sheet'!$G$4:$G$1000,"SAHARA ENTERPRISES",'Final Calculation Sheet'!$AD$4:$AD$1000)</f>
        <v/>
      </c>
      <c r="G577" s="1041">
        <f>IF(F577&lt;=0,"SETTLED","OUTSTANDING")</f>
        <v/>
      </c>
    </row>
    <row r="578" ht="16" customHeight="1">
      <c r="A578" s="1042" t="inlineStr">
        <is>
          <t>SHAR JAHAN TRADERS</t>
        </is>
      </c>
      <c r="B578" s="1043">
        <f>COUNTIF('Final Calculation Sheet'!$G$4:$G$1000,"SHAR JAHAN TRADERS")</f>
        <v/>
      </c>
      <c r="C578" s="885">
        <f>SUMIF('Final Calculation Sheet'!$G$4:$G$1000,"SHAR JAHAN TRADERS",'Final Calculation Sheet'!$H$4:$H$1000)</f>
        <v/>
      </c>
      <c r="D578" s="885">
        <f>SUMIF('Final Calculation Sheet'!$G$4:$G$1000,"SHAR JAHAN TRADERS",'Final Calculation Sheet'!$S$4:$S$1000)</f>
        <v/>
      </c>
      <c r="E578" s="885">
        <f>SUMIF('Final Calculation Sheet'!$G$4:$G$1000,"SHAR JAHAN TRADERS",'Final Calculation Sheet'!$AC$4:$AC$1000)</f>
        <v/>
      </c>
      <c r="F578" s="885">
        <f>SUMIF('Final Calculation Sheet'!$G$4:$G$1000,"SHAR JAHAN TRADERS",'Final Calculation Sheet'!$AD$4:$AD$1000)</f>
        <v/>
      </c>
      <c r="G578" s="964">
        <f>IF(F578&lt;=0,"SETTLED","OUTSTANDING")</f>
        <v/>
      </c>
    </row>
    <row r="579" ht="16" customHeight="1">
      <c r="A579" s="1044" t="inlineStr">
        <is>
          <t>STERLING ENTERPRISES</t>
        </is>
      </c>
      <c r="B579" s="1045">
        <f>COUNTIF('Final Calculation Sheet'!$G$4:$G$1000,"STERLING ENTERPRISES")</f>
        <v/>
      </c>
      <c r="C579" s="1046">
        <f>SUMIF('Final Calculation Sheet'!$G$4:$G$1000,"STERLING ENTERPRISES",'Final Calculation Sheet'!$H$4:$H$1000)</f>
        <v/>
      </c>
      <c r="D579" s="1046">
        <f>SUMIF('Final Calculation Sheet'!$G$4:$G$1000,"STERLING ENTERPRISES",'Final Calculation Sheet'!$S$4:$S$1000)</f>
        <v/>
      </c>
      <c r="E579" s="1046">
        <f>SUMIF('Final Calculation Sheet'!$G$4:$G$1000,"STERLING ENTERPRISES",'Final Calculation Sheet'!$AC$4:$AC$1000)</f>
        <v/>
      </c>
      <c r="F579" s="1046">
        <f>SUMIF('Final Calculation Sheet'!$G$4:$G$1000,"STERLING ENTERPRISES",'Final Calculation Sheet'!$AD$4:$AD$1000)</f>
        <v/>
      </c>
      <c r="G579" s="1047">
        <f>IF(F579&lt;=0,"SETTLED","OUTSTANDING")</f>
        <v/>
      </c>
    </row>
    <row r="580" ht="16" customHeight="1">
      <c r="A580" s="1048" t="inlineStr">
        <is>
          <t>WATAN SCRAP TRADERS</t>
        </is>
      </c>
      <c r="B580" s="1049">
        <f>COUNTIF('Final Calculation Sheet'!$G$4:$G$1000,"WATAN SCRAP TRADERS")</f>
        <v/>
      </c>
      <c r="C580" s="905">
        <f>SUMIF('Final Calculation Sheet'!$G$4:$G$1000,"WATAN SCRAP TRADERS",'Final Calculation Sheet'!$H$4:$H$1000)</f>
        <v/>
      </c>
      <c r="D580" s="905">
        <f>SUMIF('Final Calculation Sheet'!$G$4:$G$1000,"WATAN SCRAP TRADERS",'Final Calculation Sheet'!$S$4:$S$1000)</f>
        <v/>
      </c>
      <c r="E580" s="905">
        <f>SUMIF('Final Calculation Sheet'!$G$4:$G$1000,"WATAN SCRAP TRADERS",'Final Calculation Sheet'!$AC$4:$AC$1000)</f>
        <v/>
      </c>
      <c r="F580" s="905">
        <f>SUMIF('Final Calculation Sheet'!$G$4:$G$1000,"WATAN SCRAP TRADERS",'Final Calculation Sheet'!$AD$4:$AD$1000)</f>
        <v/>
      </c>
      <c r="G580" s="978">
        <f>IF(F580&lt;=0,"SETTLED","OUTSTANDING")</f>
        <v/>
      </c>
    </row>
    <row r="581" ht="18" customHeight="1">
      <c r="A581" s="1060" t="inlineStr">
        <is>
          <t>∑  ALL BUYERS</t>
        </is>
      </c>
      <c r="B581" s="1061">
        <f>SUM(B568:B580)</f>
        <v/>
      </c>
      <c r="C581" s="849">
        <f>SUM(C568:C580)</f>
        <v/>
      </c>
      <c r="D581" s="849">
        <f>SUM(D568:D580)</f>
        <v/>
      </c>
      <c r="E581" s="849">
        <f>SUM(E568:E580)</f>
        <v/>
      </c>
      <c r="F581" s="849">
        <f>SUM(F568:F580)</f>
        <v/>
      </c>
      <c r="G581" s="1062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21">
      <formula>"SETTLED"</formula>
    </cfRule>
    <cfRule type="cellIs" priority="2" operator="equal" dxfId="22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658" t="inlineStr">
        <is>
          <t>MSTC LIMITED  •  BUYER × LOT COLLAPSIBLE VIEW   (fields ↓ rows  |  lots → columns)</t>
        </is>
      </c>
    </row>
    <row r="2" ht="18" customHeight="1">
      <c r="A2" s="944" t="inlineStr">
        <is>
          <t>Auctions 21977 • 21978 • 21979 • 21980   —   every figure below is a live link to 'Final Calculation Sheet'</t>
        </is>
      </c>
    </row>
    <row r="3" ht="32" customHeight="1">
      <c r="A3" s="659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855" t="inlineStr">
        <is>
          <t>FIELD  ▸  BUYER  |  LOT →</t>
        </is>
      </c>
      <c r="B5" s="855" t="inlineStr">
        <is>
          <t>LOT 1</t>
        </is>
      </c>
      <c r="C5" s="855" t="inlineStr">
        <is>
          <t>LOT 2</t>
        </is>
      </c>
      <c r="D5" s="855" t="inlineStr">
        <is>
          <t>LOT 3</t>
        </is>
      </c>
      <c r="E5" s="855" t="inlineStr">
        <is>
          <t>LOT 4</t>
        </is>
      </c>
      <c r="F5" s="855" t="inlineStr">
        <is>
          <t>LOT 5</t>
        </is>
      </c>
      <c r="G5" s="855" t="inlineStr">
        <is>
          <t>LOT 6</t>
        </is>
      </c>
      <c r="H5" s="855" t="inlineStr">
        <is>
          <t>LOT 7</t>
        </is>
      </c>
      <c r="I5" s="855" t="inlineStr">
        <is>
          <t>LOT 8</t>
        </is>
      </c>
      <c r="J5" s="855" t="inlineStr">
        <is>
          <t>LOT 9</t>
        </is>
      </c>
      <c r="K5" s="855" t="inlineStr">
        <is>
          <t>LOT 10</t>
        </is>
      </c>
      <c r="L5" s="855" t="inlineStr">
        <is>
          <t>LOT 11</t>
        </is>
      </c>
      <c r="M5" s="855" t="inlineStr">
        <is>
          <t>LOT 12</t>
        </is>
      </c>
      <c r="N5" s="855" t="inlineStr">
        <is>
          <t>LOT 13</t>
        </is>
      </c>
      <c r="O5" s="855" t="inlineStr">
        <is>
          <t>BUYER TOTAL</t>
        </is>
      </c>
    </row>
    <row r="6" ht="24" customHeight="1">
      <c r="A6" s="856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945" t="inlineStr">
        <is>
          <t xml:space="preserve">   Lot No. →</t>
        </is>
      </c>
      <c r="B7" s="946">
        <f>IF('Final Calculation Sheet'!$F$4="","",'Final Calculation Sheet'!$F$4)</f>
        <v/>
      </c>
      <c r="C7" s="859" t="n"/>
      <c r="D7" s="859" t="n"/>
      <c r="E7" s="859" t="n"/>
      <c r="F7" s="859" t="n"/>
      <c r="G7" s="859" t="n"/>
      <c r="H7" s="859" t="n"/>
      <c r="I7" s="859" t="n"/>
      <c r="J7" s="859" t="n"/>
      <c r="K7" s="859" t="n"/>
      <c r="L7" s="859" t="n"/>
      <c r="M7" s="859" t="n"/>
      <c r="N7" s="859" t="n"/>
      <c r="O7" s="947" t="inlineStr">
        <is>
          <t>TOTAL</t>
        </is>
      </c>
    </row>
    <row r="8" outlineLevel="1" ht="16" customHeight="1">
      <c r="A8" s="945" t="inlineStr">
        <is>
          <t xml:space="preserve">  ▸ LOT INFORMATION</t>
        </is>
      </c>
      <c r="B8" s="859" t="n"/>
      <c r="C8" s="859" t="n"/>
      <c r="D8" s="859" t="n"/>
      <c r="E8" s="859" t="n"/>
      <c r="F8" s="859" t="n"/>
      <c r="G8" s="859" t="n"/>
      <c r="H8" s="859" t="n"/>
      <c r="I8" s="859" t="n"/>
      <c r="J8" s="859" t="n"/>
      <c r="K8" s="859" t="n"/>
      <c r="L8" s="859" t="n"/>
      <c r="M8" s="859" t="n"/>
      <c r="N8" s="859" t="n"/>
      <c r="O8" s="859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948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948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948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949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948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948" t="inlineStr">
        <is>
          <t>–</t>
        </is>
      </c>
    </row>
    <row r="15" outlineLevel="1" ht="16" customHeight="1">
      <c r="A15" s="945" t="inlineStr">
        <is>
          <t xml:space="preserve">  ▸ FINANCIALS</t>
        </is>
      </c>
      <c r="B15" s="859" t="n"/>
      <c r="C15" s="859" t="n"/>
      <c r="D15" s="859" t="n"/>
      <c r="E15" s="859" t="n"/>
      <c r="F15" s="859" t="n"/>
      <c r="G15" s="859" t="n"/>
      <c r="H15" s="859" t="n"/>
      <c r="I15" s="859" t="n"/>
      <c r="J15" s="859" t="n"/>
      <c r="K15" s="859" t="n"/>
      <c r="L15" s="859" t="n"/>
      <c r="M15" s="859" t="n"/>
      <c r="N15" s="859" t="n"/>
      <c r="O15" s="859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950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950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950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950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951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951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951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951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950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948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950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950">
        <f>SUM(B27:N27)</f>
        <v/>
      </c>
    </row>
    <row r="28" outlineLevel="1" ht="16" customHeight="1">
      <c r="A28" s="945" t="inlineStr">
        <is>
          <t xml:space="preserve">  ▸ SECURITY DEPOSIT</t>
        </is>
      </c>
      <c r="B28" s="859" t="n"/>
      <c r="C28" s="859" t="n"/>
      <c r="D28" s="859" t="n"/>
      <c r="E28" s="859" t="n"/>
      <c r="F28" s="859" t="n"/>
      <c r="G28" s="859" t="n"/>
      <c r="H28" s="859" t="n"/>
      <c r="I28" s="859" t="n"/>
      <c r="J28" s="859" t="n"/>
      <c r="K28" s="859" t="n"/>
      <c r="L28" s="859" t="n"/>
      <c r="M28" s="859" t="n"/>
      <c r="N28" s="859" t="n"/>
      <c r="O28" s="859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950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950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948" t="inlineStr">
        <is>
          <t>–</t>
        </is>
      </c>
    </row>
    <row r="32" outlineLevel="1" ht="16" customHeight="1">
      <c r="A32" s="945" t="inlineStr">
        <is>
          <t xml:space="preserve">  ▸ FINAL PAYMENT</t>
        </is>
      </c>
      <c r="B32" s="859" t="n"/>
      <c r="C32" s="859" t="n"/>
      <c r="D32" s="859" t="n"/>
      <c r="E32" s="859" t="n"/>
      <c r="F32" s="859" t="n"/>
      <c r="G32" s="859" t="n"/>
      <c r="H32" s="859" t="n"/>
      <c r="I32" s="859" t="n"/>
      <c r="J32" s="859" t="n"/>
      <c r="K32" s="859" t="n"/>
      <c r="L32" s="859" t="n"/>
      <c r="M32" s="859" t="n"/>
      <c r="N32" s="859" t="n"/>
      <c r="O32" s="859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950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950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948" t="inlineStr">
        <is>
          <t>–</t>
        </is>
      </c>
    </row>
    <row r="36" outlineLevel="1" ht="16" customHeight="1">
      <c r="A36" s="945" t="inlineStr">
        <is>
          <t xml:space="preserve">  ▸ LPP</t>
        </is>
      </c>
      <c r="B36" s="859" t="n"/>
      <c r="C36" s="859" t="n"/>
      <c r="D36" s="859" t="n"/>
      <c r="E36" s="859" t="n"/>
      <c r="F36" s="859" t="n"/>
      <c r="G36" s="859" t="n"/>
      <c r="H36" s="859" t="n"/>
      <c r="I36" s="859" t="n"/>
      <c r="J36" s="859" t="n"/>
      <c r="K36" s="859" t="n"/>
      <c r="L36" s="859" t="n"/>
      <c r="M36" s="859" t="n"/>
      <c r="N36" s="859" t="n"/>
      <c r="O36" s="859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950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950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948" t="inlineStr">
        <is>
          <t>–</t>
        </is>
      </c>
    </row>
    <row r="40" outlineLevel="1" ht="16" customHeight="1">
      <c r="A40" s="945" t="inlineStr">
        <is>
          <t xml:space="preserve">  ▸ SUMMARY</t>
        </is>
      </c>
      <c r="B40" s="859" t="n"/>
      <c r="C40" s="859" t="n"/>
      <c r="D40" s="859" t="n"/>
      <c r="E40" s="859" t="n"/>
      <c r="F40" s="859" t="n"/>
      <c r="G40" s="859" t="n"/>
      <c r="H40" s="859" t="n"/>
      <c r="I40" s="859" t="n"/>
      <c r="J40" s="859" t="n"/>
      <c r="K40" s="859" t="n"/>
      <c r="L40" s="859" t="n"/>
      <c r="M40" s="859" t="n"/>
      <c r="N40" s="859" t="n"/>
      <c r="O40" s="859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950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950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948" t="inlineStr">
        <is>
          <t>–</t>
        </is>
      </c>
    </row>
    <row r="44" outlineLevel="1" ht="16" customHeight="1">
      <c r="A44" s="945" t="inlineStr">
        <is>
          <t xml:space="preserve">  ▸ DOCUMENT</t>
        </is>
      </c>
      <c r="B44" s="859" t="n"/>
      <c r="C44" s="859" t="n"/>
      <c r="D44" s="859" t="n"/>
      <c r="E44" s="859" t="n"/>
      <c r="F44" s="859" t="n"/>
      <c r="G44" s="859" t="n"/>
      <c r="H44" s="859" t="n"/>
      <c r="I44" s="859" t="n"/>
      <c r="J44" s="859" t="n"/>
      <c r="K44" s="859" t="n"/>
      <c r="L44" s="859" t="n"/>
      <c r="M44" s="859" t="n"/>
      <c r="N44" s="859" t="n"/>
      <c r="O44" s="859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948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948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948" t="inlineStr">
        <is>
          <t>–</t>
        </is>
      </c>
    </row>
    <row r="48" ht="7" customHeight="1">
      <c r="A48" s="866" t="n"/>
      <c r="B48" s="866" t="n"/>
      <c r="C48" s="866" t="n"/>
      <c r="D48" s="866" t="n"/>
      <c r="E48" s="866" t="n"/>
      <c r="F48" s="866" t="n"/>
      <c r="G48" s="866" t="n"/>
      <c r="H48" s="866" t="n"/>
      <c r="I48" s="866" t="n"/>
      <c r="J48" s="866" t="n"/>
      <c r="K48" s="866" t="n"/>
      <c r="L48" s="866" t="n"/>
      <c r="M48" s="866" t="n"/>
      <c r="N48" s="866" t="n"/>
      <c r="O48" s="866" t="n"/>
    </row>
    <row r="49" ht="24" customHeight="1">
      <c r="A49" s="867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952" t="inlineStr">
        <is>
          <t xml:space="preserve">   Lot No. →</t>
        </is>
      </c>
      <c r="B50" s="953">
        <f>IF('Final Calculation Sheet'!$F$6="","",'Final Calculation Sheet'!$F$6)</f>
        <v/>
      </c>
      <c r="C50" s="953">
        <f>IF('Final Calculation Sheet'!$F$7="","",'Final Calculation Sheet'!$F$7)</f>
        <v/>
      </c>
      <c r="D50" s="870" t="n"/>
      <c r="E50" s="870" t="n"/>
      <c r="F50" s="870" t="n"/>
      <c r="G50" s="870" t="n"/>
      <c r="H50" s="870" t="n"/>
      <c r="I50" s="870" t="n"/>
      <c r="J50" s="870" t="n"/>
      <c r="K50" s="870" t="n"/>
      <c r="L50" s="870" t="n"/>
      <c r="M50" s="870" t="n"/>
      <c r="N50" s="870" t="n"/>
      <c r="O50" s="954" t="inlineStr">
        <is>
          <t>TOTAL</t>
        </is>
      </c>
    </row>
    <row r="51" outlineLevel="1" ht="16" customHeight="1">
      <c r="A51" s="952" t="inlineStr">
        <is>
          <t xml:space="preserve">  ▸ LOT INFORMATION</t>
        </is>
      </c>
      <c r="B51" s="870" t="n"/>
      <c r="C51" s="870" t="n"/>
      <c r="D51" s="870" t="n"/>
      <c r="E51" s="870" t="n"/>
      <c r="F51" s="870" t="n"/>
      <c r="G51" s="870" t="n"/>
      <c r="H51" s="870" t="n"/>
      <c r="I51" s="870" t="n"/>
      <c r="J51" s="870" t="n"/>
      <c r="K51" s="870" t="n"/>
      <c r="L51" s="870" t="n"/>
      <c r="M51" s="870" t="n"/>
      <c r="N51" s="870" t="n"/>
      <c r="O51" s="870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772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955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56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955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772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955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790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57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58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955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772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955" t="inlineStr">
        <is>
          <t>–</t>
        </is>
      </c>
    </row>
    <row r="58" outlineLevel="1" ht="16" customHeight="1">
      <c r="A58" s="952" t="inlineStr">
        <is>
          <t xml:space="preserve">  ▸ FINANCIALS</t>
        </is>
      </c>
      <c r="B58" s="870" t="n"/>
      <c r="C58" s="870" t="n"/>
      <c r="D58" s="870" t="n"/>
      <c r="E58" s="870" t="n"/>
      <c r="F58" s="870" t="n"/>
      <c r="G58" s="870" t="n"/>
      <c r="H58" s="870" t="n"/>
      <c r="I58" s="870" t="n"/>
      <c r="J58" s="870" t="n"/>
      <c r="K58" s="870" t="n"/>
      <c r="L58" s="870" t="n"/>
      <c r="M58" s="870" t="n"/>
      <c r="N58" s="870" t="n"/>
      <c r="O58" s="870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772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59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772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59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772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59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772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59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800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0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800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0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800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0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800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0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772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59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61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955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772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59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772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59">
        <f>SUM(B70:N70)</f>
        <v/>
      </c>
    </row>
    <row r="71" outlineLevel="1" ht="16" customHeight="1">
      <c r="A71" s="952" t="inlineStr">
        <is>
          <t xml:space="preserve">  ▸ SECURITY DEPOSIT</t>
        </is>
      </c>
      <c r="B71" s="870" t="n"/>
      <c r="C71" s="870" t="n"/>
      <c r="D71" s="870" t="n"/>
      <c r="E71" s="870" t="n"/>
      <c r="F71" s="870" t="n"/>
      <c r="G71" s="870" t="n"/>
      <c r="H71" s="870" t="n"/>
      <c r="I71" s="870" t="n"/>
      <c r="J71" s="870" t="n"/>
      <c r="K71" s="870" t="n"/>
      <c r="L71" s="870" t="n"/>
      <c r="M71" s="870" t="n"/>
      <c r="N71" s="870" t="n"/>
      <c r="O71" s="870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772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59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772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59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58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955" t="inlineStr">
        <is>
          <t>–</t>
        </is>
      </c>
    </row>
    <row r="75" outlineLevel="1" ht="16" customHeight="1">
      <c r="A75" s="952" t="inlineStr">
        <is>
          <t xml:space="preserve">  ▸ FINAL PAYMENT</t>
        </is>
      </c>
      <c r="B75" s="870" t="n"/>
      <c r="C75" s="870" t="n"/>
      <c r="D75" s="870" t="n"/>
      <c r="E75" s="870" t="n"/>
      <c r="F75" s="870" t="n"/>
      <c r="G75" s="870" t="n"/>
      <c r="H75" s="870" t="n"/>
      <c r="I75" s="870" t="n"/>
      <c r="J75" s="870" t="n"/>
      <c r="K75" s="870" t="n"/>
      <c r="L75" s="870" t="n"/>
      <c r="M75" s="870" t="n"/>
      <c r="N75" s="870" t="n"/>
      <c r="O75" s="870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772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59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772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59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58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955" t="inlineStr">
        <is>
          <t>–</t>
        </is>
      </c>
    </row>
    <row r="79" outlineLevel="1" ht="16" customHeight="1">
      <c r="A79" s="952" t="inlineStr">
        <is>
          <t xml:space="preserve">  ▸ LPP</t>
        </is>
      </c>
      <c r="B79" s="870" t="n"/>
      <c r="C79" s="870" t="n"/>
      <c r="D79" s="870" t="n"/>
      <c r="E79" s="870" t="n"/>
      <c r="F79" s="870" t="n"/>
      <c r="G79" s="870" t="n"/>
      <c r="H79" s="870" t="n"/>
      <c r="I79" s="870" t="n"/>
      <c r="J79" s="870" t="n"/>
      <c r="K79" s="870" t="n"/>
      <c r="L79" s="870" t="n"/>
      <c r="M79" s="870" t="n"/>
      <c r="N79" s="870" t="n"/>
      <c r="O79" s="870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772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59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772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59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58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955" t="inlineStr">
        <is>
          <t>–</t>
        </is>
      </c>
    </row>
    <row r="83" outlineLevel="1" ht="16" customHeight="1">
      <c r="A83" s="952" t="inlineStr">
        <is>
          <t xml:space="preserve">  ▸ SUMMARY</t>
        </is>
      </c>
      <c r="B83" s="870" t="n"/>
      <c r="C83" s="870" t="n"/>
      <c r="D83" s="870" t="n"/>
      <c r="E83" s="870" t="n"/>
      <c r="F83" s="870" t="n"/>
      <c r="G83" s="870" t="n"/>
      <c r="H83" s="870" t="n"/>
      <c r="I83" s="870" t="n"/>
      <c r="J83" s="870" t="n"/>
      <c r="K83" s="870" t="n"/>
      <c r="L83" s="870" t="n"/>
      <c r="M83" s="870" t="n"/>
      <c r="N83" s="870" t="n"/>
      <c r="O83" s="870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772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59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772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59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780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955" t="inlineStr">
        <is>
          <t>–</t>
        </is>
      </c>
    </row>
    <row r="87" outlineLevel="1" ht="16" customHeight="1">
      <c r="A87" s="952" t="inlineStr">
        <is>
          <t xml:space="preserve">  ▸ DOCUMENT</t>
        </is>
      </c>
      <c r="B87" s="870" t="n"/>
      <c r="C87" s="870" t="n"/>
      <c r="D87" s="870" t="n"/>
      <c r="E87" s="870" t="n"/>
      <c r="F87" s="870" t="n"/>
      <c r="G87" s="870" t="n"/>
      <c r="H87" s="870" t="n"/>
      <c r="I87" s="870" t="n"/>
      <c r="J87" s="870" t="n"/>
      <c r="K87" s="870" t="n"/>
      <c r="L87" s="870" t="n"/>
      <c r="M87" s="870" t="n"/>
      <c r="N87" s="870" t="n"/>
      <c r="O87" s="870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58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955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772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955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58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955" t="inlineStr">
        <is>
          <t>–</t>
        </is>
      </c>
    </row>
    <row r="91" ht="7" customHeight="1">
      <c r="A91" s="866" t="n"/>
      <c r="B91" s="866" t="n"/>
      <c r="C91" s="866" t="n"/>
      <c r="D91" s="866" t="n"/>
      <c r="E91" s="866" t="n"/>
      <c r="F91" s="866" t="n"/>
      <c r="G91" s="866" t="n"/>
      <c r="H91" s="866" t="n"/>
      <c r="I91" s="866" t="n"/>
      <c r="J91" s="866" t="n"/>
      <c r="K91" s="866" t="n"/>
      <c r="L91" s="866" t="n"/>
      <c r="M91" s="866" t="n"/>
      <c r="N91" s="866" t="n"/>
      <c r="O91" s="866" t="n"/>
    </row>
    <row r="92" ht="24" customHeight="1">
      <c r="A92" s="877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962" t="inlineStr">
        <is>
          <t xml:space="preserve">   Lot No. →</t>
        </is>
      </c>
      <c r="B93" s="963">
        <f>IF('Final Calculation Sheet'!$F$15="","",'Final Calculation Sheet'!$F$15)</f>
        <v/>
      </c>
      <c r="C93" s="880" t="n"/>
      <c r="D93" s="880" t="n"/>
      <c r="E93" s="880" t="n"/>
      <c r="F93" s="880" t="n"/>
      <c r="G93" s="880" t="n"/>
      <c r="H93" s="880" t="n"/>
      <c r="I93" s="880" t="n"/>
      <c r="J93" s="880" t="n"/>
      <c r="K93" s="880" t="n"/>
      <c r="L93" s="880" t="n"/>
      <c r="M93" s="880" t="n"/>
      <c r="N93" s="880" t="n"/>
      <c r="O93" s="964" t="inlineStr">
        <is>
          <t>TOTAL</t>
        </is>
      </c>
    </row>
    <row r="94" outlineLevel="1" ht="16" customHeight="1">
      <c r="A94" s="962" t="inlineStr">
        <is>
          <t xml:space="preserve">  ▸ LOT INFORMATION</t>
        </is>
      </c>
      <c r="B94" s="880" t="n"/>
      <c r="C94" s="880" t="n"/>
      <c r="D94" s="880" t="n"/>
      <c r="E94" s="880" t="n"/>
      <c r="F94" s="880" t="n"/>
      <c r="G94" s="880" t="n"/>
      <c r="H94" s="880" t="n"/>
      <c r="I94" s="880" t="n"/>
      <c r="J94" s="880" t="n"/>
      <c r="K94" s="880" t="n"/>
      <c r="L94" s="880" t="n"/>
      <c r="M94" s="880" t="n"/>
      <c r="N94" s="880" t="n"/>
      <c r="O94" s="880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965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965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965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966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965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965" t="inlineStr">
        <is>
          <t>–</t>
        </is>
      </c>
    </row>
    <row r="101" outlineLevel="1" ht="16" customHeight="1">
      <c r="A101" s="962" t="inlineStr">
        <is>
          <t xml:space="preserve">  ▸ FINANCIALS</t>
        </is>
      </c>
      <c r="B101" s="880" t="n"/>
      <c r="C101" s="880" t="n"/>
      <c r="D101" s="880" t="n"/>
      <c r="E101" s="880" t="n"/>
      <c r="F101" s="880" t="n"/>
      <c r="G101" s="880" t="n"/>
      <c r="H101" s="880" t="n"/>
      <c r="I101" s="880" t="n"/>
      <c r="J101" s="880" t="n"/>
      <c r="K101" s="880" t="n"/>
      <c r="L101" s="880" t="n"/>
      <c r="M101" s="880" t="n"/>
      <c r="N101" s="880" t="n"/>
      <c r="O101" s="880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967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967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967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967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968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968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968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968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967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965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967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967">
        <f>SUM(B113:N113)</f>
        <v/>
      </c>
    </row>
    <row r="114" outlineLevel="1" ht="16" customHeight="1">
      <c r="A114" s="962" t="inlineStr">
        <is>
          <t xml:space="preserve">  ▸ SECURITY DEPOSIT</t>
        </is>
      </c>
      <c r="B114" s="880" t="n"/>
      <c r="C114" s="880" t="n"/>
      <c r="D114" s="880" t="n"/>
      <c r="E114" s="880" t="n"/>
      <c r="F114" s="880" t="n"/>
      <c r="G114" s="880" t="n"/>
      <c r="H114" s="880" t="n"/>
      <c r="I114" s="880" t="n"/>
      <c r="J114" s="880" t="n"/>
      <c r="K114" s="880" t="n"/>
      <c r="L114" s="880" t="n"/>
      <c r="M114" s="880" t="n"/>
      <c r="N114" s="880" t="n"/>
      <c r="O114" s="880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967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967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965" t="inlineStr">
        <is>
          <t>–</t>
        </is>
      </c>
    </row>
    <row r="118" outlineLevel="1" ht="16" customHeight="1">
      <c r="A118" s="962" t="inlineStr">
        <is>
          <t xml:space="preserve">  ▸ FINAL PAYMENT</t>
        </is>
      </c>
      <c r="B118" s="880" t="n"/>
      <c r="C118" s="880" t="n"/>
      <c r="D118" s="880" t="n"/>
      <c r="E118" s="880" t="n"/>
      <c r="F118" s="880" t="n"/>
      <c r="G118" s="880" t="n"/>
      <c r="H118" s="880" t="n"/>
      <c r="I118" s="880" t="n"/>
      <c r="J118" s="880" t="n"/>
      <c r="K118" s="880" t="n"/>
      <c r="L118" s="880" t="n"/>
      <c r="M118" s="880" t="n"/>
      <c r="N118" s="880" t="n"/>
      <c r="O118" s="880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967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967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965" t="inlineStr">
        <is>
          <t>–</t>
        </is>
      </c>
    </row>
    <row r="122" outlineLevel="1" ht="16" customHeight="1">
      <c r="A122" s="962" t="inlineStr">
        <is>
          <t xml:space="preserve">  ▸ LPP</t>
        </is>
      </c>
      <c r="B122" s="880" t="n"/>
      <c r="C122" s="880" t="n"/>
      <c r="D122" s="880" t="n"/>
      <c r="E122" s="880" t="n"/>
      <c r="F122" s="880" t="n"/>
      <c r="G122" s="880" t="n"/>
      <c r="H122" s="880" t="n"/>
      <c r="I122" s="880" t="n"/>
      <c r="J122" s="880" t="n"/>
      <c r="K122" s="880" t="n"/>
      <c r="L122" s="880" t="n"/>
      <c r="M122" s="880" t="n"/>
      <c r="N122" s="880" t="n"/>
      <c r="O122" s="880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967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967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965" t="inlineStr">
        <is>
          <t>–</t>
        </is>
      </c>
    </row>
    <row r="126" outlineLevel="1" ht="16" customHeight="1">
      <c r="A126" s="962" t="inlineStr">
        <is>
          <t xml:space="preserve">  ▸ SUMMARY</t>
        </is>
      </c>
      <c r="B126" s="880" t="n"/>
      <c r="C126" s="880" t="n"/>
      <c r="D126" s="880" t="n"/>
      <c r="E126" s="880" t="n"/>
      <c r="F126" s="880" t="n"/>
      <c r="G126" s="880" t="n"/>
      <c r="H126" s="880" t="n"/>
      <c r="I126" s="880" t="n"/>
      <c r="J126" s="880" t="n"/>
      <c r="K126" s="880" t="n"/>
      <c r="L126" s="880" t="n"/>
      <c r="M126" s="880" t="n"/>
      <c r="N126" s="880" t="n"/>
      <c r="O126" s="880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967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967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965" t="inlineStr">
        <is>
          <t>–</t>
        </is>
      </c>
    </row>
    <row r="130" outlineLevel="1" ht="16" customHeight="1">
      <c r="A130" s="962" t="inlineStr">
        <is>
          <t xml:space="preserve">  ▸ DOCUMENT</t>
        </is>
      </c>
      <c r="B130" s="880" t="n"/>
      <c r="C130" s="880" t="n"/>
      <c r="D130" s="880" t="n"/>
      <c r="E130" s="880" t="n"/>
      <c r="F130" s="880" t="n"/>
      <c r="G130" s="880" t="n"/>
      <c r="H130" s="880" t="n"/>
      <c r="I130" s="880" t="n"/>
      <c r="J130" s="880" t="n"/>
      <c r="K130" s="880" t="n"/>
      <c r="L130" s="880" t="n"/>
      <c r="M130" s="880" t="n"/>
      <c r="N130" s="880" t="n"/>
      <c r="O130" s="880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965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965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965" t="inlineStr">
        <is>
          <t>–</t>
        </is>
      </c>
    </row>
    <row r="134" ht="7" customHeight="1">
      <c r="A134" s="866" t="n"/>
      <c r="B134" s="866" t="n"/>
      <c r="C134" s="866" t="n"/>
      <c r="D134" s="866" t="n"/>
      <c r="E134" s="866" t="n"/>
      <c r="F134" s="866" t="n"/>
      <c r="G134" s="866" t="n"/>
      <c r="H134" s="866" t="n"/>
      <c r="I134" s="866" t="n"/>
      <c r="J134" s="866" t="n"/>
      <c r="K134" s="866" t="n"/>
      <c r="L134" s="866" t="n"/>
      <c r="M134" s="866" t="n"/>
      <c r="N134" s="866" t="n"/>
      <c r="O134" s="866" t="n"/>
    </row>
    <row r="135" ht="24" customHeight="1">
      <c r="A135" s="887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969" t="inlineStr">
        <is>
          <t xml:space="preserve">   Lot No. →</t>
        </is>
      </c>
      <c r="B136" s="970">
        <f>IF('Final Calculation Sheet'!$F$38="","",'Final Calculation Sheet'!$F$38)</f>
        <v/>
      </c>
      <c r="C136" s="890" t="n"/>
      <c r="D136" s="890" t="n"/>
      <c r="E136" s="890" t="n"/>
      <c r="F136" s="890" t="n"/>
      <c r="G136" s="890" t="n"/>
      <c r="H136" s="890" t="n"/>
      <c r="I136" s="890" t="n"/>
      <c r="J136" s="890" t="n"/>
      <c r="K136" s="890" t="n"/>
      <c r="L136" s="890" t="n"/>
      <c r="M136" s="890" t="n"/>
      <c r="N136" s="890" t="n"/>
      <c r="O136" s="971" t="inlineStr">
        <is>
          <t>TOTAL</t>
        </is>
      </c>
    </row>
    <row r="137" outlineLevel="1" ht="16" customHeight="1">
      <c r="A137" s="969" t="inlineStr">
        <is>
          <t xml:space="preserve">  ▸ LOT INFORMATION</t>
        </is>
      </c>
      <c r="B137" s="890" t="n"/>
      <c r="C137" s="890" t="n"/>
      <c r="D137" s="890" t="n"/>
      <c r="E137" s="890" t="n"/>
      <c r="F137" s="890" t="n"/>
      <c r="G137" s="890" t="n"/>
      <c r="H137" s="890" t="n"/>
      <c r="I137" s="890" t="n"/>
      <c r="J137" s="890" t="n"/>
      <c r="K137" s="890" t="n"/>
      <c r="L137" s="890" t="n"/>
      <c r="M137" s="890" t="n"/>
      <c r="N137" s="890" t="n"/>
      <c r="O137" s="890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972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972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972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973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972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972" t="inlineStr">
        <is>
          <t>–</t>
        </is>
      </c>
    </row>
    <row r="144" outlineLevel="1" ht="16" customHeight="1">
      <c r="A144" s="969" t="inlineStr">
        <is>
          <t xml:space="preserve">  ▸ FINANCIALS</t>
        </is>
      </c>
      <c r="B144" s="890" t="n"/>
      <c r="C144" s="890" t="n"/>
      <c r="D144" s="890" t="n"/>
      <c r="E144" s="890" t="n"/>
      <c r="F144" s="890" t="n"/>
      <c r="G144" s="890" t="n"/>
      <c r="H144" s="890" t="n"/>
      <c r="I144" s="890" t="n"/>
      <c r="J144" s="890" t="n"/>
      <c r="K144" s="890" t="n"/>
      <c r="L144" s="890" t="n"/>
      <c r="M144" s="890" t="n"/>
      <c r="N144" s="890" t="n"/>
      <c r="O144" s="890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974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974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974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974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975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975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975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975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974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972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974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974">
        <f>SUM(B156:N156)</f>
        <v/>
      </c>
    </row>
    <row r="157" outlineLevel="1" ht="16" customHeight="1">
      <c r="A157" s="969" t="inlineStr">
        <is>
          <t xml:space="preserve">  ▸ SECURITY DEPOSIT</t>
        </is>
      </c>
      <c r="B157" s="890" t="n"/>
      <c r="C157" s="890" t="n"/>
      <c r="D157" s="890" t="n"/>
      <c r="E157" s="890" t="n"/>
      <c r="F157" s="890" t="n"/>
      <c r="G157" s="890" t="n"/>
      <c r="H157" s="890" t="n"/>
      <c r="I157" s="890" t="n"/>
      <c r="J157" s="890" t="n"/>
      <c r="K157" s="890" t="n"/>
      <c r="L157" s="890" t="n"/>
      <c r="M157" s="890" t="n"/>
      <c r="N157" s="890" t="n"/>
      <c r="O157" s="890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974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974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972" t="inlineStr">
        <is>
          <t>–</t>
        </is>
      </c>
    </row>
    <row r="161" outlineLevel="1" ht="16" customHeight="1">
      <c r="A161" s="969" t="inlineStr">
        <is>
          <t xml:space="preserve">  ▸ FINAL PAYMENT</t>
        </is>
      </c>
      <c r="B161" s="890" t="n"/>
      <c r="C161" s="890" t="n"/>
      <c r="D161" s="890" t="n"/>
      <c r="E161" s="890" t="n"/>
      <c r="F161" s="890" t="n"/>
      <c r="G161" s="890" t="n"/>
      <c r="H161" s="890" t="n"/>
      <c r="I161" s="890" t="n"/>
      <c r="J161" s="890" t="n"/>
      <c r="K161" s="890" t="n"/>
      <c r="L161" s="890" t="n"/>
      <c r="M161" s="890" t="n"/>
      <c r="N161" s="890" t="n"/>
      <c r="O161" s="890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974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974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972" t="inlineStr">
        <is>
          <t>–</t>
        </is>
      </c>
    </row>
    <row r="165" outlineLevel="1" ht="16" customHeight="1">
      <c r="A165" s="969" t="inlineStr">
        <is>
          <t xml:space="preserve">  ▸ LPP</t>
        </is>
      </c>
      <c r="B165" s="890" t="n"/>
      <c r="C165" s="890" t="n"/>
      <c r="D165" s="890" t="n"/>
      <c r="E165" s="890" t="n"/>
      <c r="F165" s="890" t="n"/>
      <c r="G165" s="890" t="n"/>
      <c r="H165" s="890" t="n"/>
      <c r="I165" s="890" t="n"/>
      <c r="J165" s="890" t="n"/>
      <c r="K165" s="890" t="n"/>
      <c r="L165" s="890" t="n"/>
      <c r="M165" s="890" t="n"/>
      <c r="N165" s="890" t="n"/>
      <c r="O165" s="890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974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974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972" t="inlineStr">
        <is>
          <t>–</t>
        </is>
      </c>
    </row>
    <row r="169" outlineLevel="1" ht="16" customHeight="1">
      <c r="A169" s="969" t="inlineStr">
        <is>
          <t xml:space="preserve">  ▸ SUMMARY</t>
        </is>
      </c>
      <c r="B169" s="890" t="n"/>
      <c r="C169" s="890" t="n"/>
      <c r="D169" s="890" t="n"/>
      <c r="E169" s="890" t="n"/>
      <c r="F169" s="890" t="n"/>
      <c r="G169" s="890" t="n"/>
      <c r="H169" s="890" t="n"/>
      <c r="I169" s="890" t="n"/>
      <c r="J169" s="890" t="n"/>
      <c r="K169" s="890" t="n"/>
      <c r="L169" s="890" t="n"/>
      <c r="M169" s="890" t="n"/>
      <c r="N169" s="890" t="n"/>
      <c r="O169" s="890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974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974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972" t="inlineStr">
        <is>
          <t>–</t>
        </is>
      </c>
    </row>
    <row r="173" outlineLevel="1" ht="16" customHeight="1">
      <c r="A173" s="969" t="inlineStr">
        <is>
          <t xml:space="preserve">  ▸ DOCUMENT</t>
        </is>
      </c>
      <c r="B173" s="890" t="n"/>
      <c r="C173" s="890" t="n"/>
      <c r="D173" s="890" t="n"/>
      <c r="E173" s="890" t="n"/>
      <c r="F173" s="890" t="n"/>
      <c r="G173" s="890" t="n"/>
      <c r="H173" s="890" t="n"/>
      <c r="I173" s="890" t="n"/>
      <c r="J173" s="890" t="n"/>
      <c r="K173" s="890" t="n"/>
      <c r="L173" s="890" t="n"/>
      <c r="M173" s="890" t="n"/>
      <c r="N173" s="890" t="n"/>
      <c r="O173" s="890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972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972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972" t="inlineStr">
        <is>
          <t>–</t>
        </is>
      </c>
    </row>
    <row r="177" ht="7" customHeight="1">
      <c r="A177" s="866" t="n"/>
      <c r="B177" s="866" t="n"/>
      <c r="C177" s="866" t="n"/>
      <c r="D177" s="866" t="n"/>
      <c r="E177" s="866" t="n"/>
      <c r="F177" s="866" t="n"/>
      <c r="G177" s="866" t="n"/>
      <c r="H177" s="866" t="n"/>
      <c r="I177" s="866" t="n"/>
      <c r="J177" s="866" t="n"/>
      <c r="K177" s="866" t="n"/>
      <c r="L177" s="866" t="n"/>
      <c r="M177" s="866" t="n"/>
      <c r="N177" s="866" t="n"/>
      <c r="O177" s="866" t="n"/>
    </row>
    <row r="178" ht="24" customHeight="1">
      <c r="A178" s="89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976" t="inlineStr">
        <is>
          <t xml:space="preserve">   Lot No. →</t>
        </is>
      </c>
      <c r="B179" s="977">
        <f>IF('Final Calculation Sheet'!$F$27="","",'Final Calculation Sheet'!$F$27)</f>
        <v/>
      </c>
      <c r="C179" s="900" t="n"/>
      <c r="D179" s="900" t="n"/>
      <c r="E179" s="900" t="n"/>
      <c r="F179" s="900" t="n"/>
      <c r="G179" s="900" t="n"/>
      <c r="H179" s="900" t="n"/>
      <c r="I179" s="900" t="n"/>
      <c r="J179" s="900" t="n"/>
      <c r="K179" s="900" t="n"/>
      <c r="L179" s="900" t="n"/>
      <c r="M179" s="900" t="n"/>
      <c r="N179" s="900" t="n"/>
      <c r="O179" s="978" t="inlineStr">
        <is>
          <t>TOTAL</t>
        </is>
      </c>
    </row>
    <row r="180" outlineLevel="1" ht="16" customHeight="1">
      <c r="A180" s="976" t="inlineStr">
        <is>
          <t xml:space="preserve">  ▸ LOT INFORMATION</t>
        </is>
      </c>
      <c r="B180" s="900" t="n"/>
      <c r="C180" s="900" t="n"/>
      <c r="D180" s="900" t="n"/>
      <c r="E180" s="900" t="n"/>
      <c r="F180" s="900" t="n"/>
      <c r="G180" s="900" t="n"/>
      <c r="H180" s="900" t="n"/>
      <c r="I180" s="900" t="n"/>
      <c r="J180" s="900" t="n"/>
      <c r="K180" s="900" t="n"/>
      <c r="L180" s="900" t="n"/>
      <c r="M180" s="900" t="n"/>
      <c r="N180" s="900" t="n"/>
      <c r="O180" s="90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979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979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979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980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979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979" t="inlineStr">
        <is>
          <t>–</t>
        </is>
      </c>
    </row>
    <row r="187" outlineLevel="1" ht="16" customHeight="1">
      <c r="A187" s="976" t="inlineStr">
        <is>
          <t xml:space="preserve">  ▸ FINANCIALS</t>
        </is>
      </c>
      <c r="B187" s="900" t="n"/>
      <c r="C187" s="900" t="n"/>
      <c r="D187" s="900" t="n"/>
      <c r="E187" s="900" t="n"/>
      <c r="F187" s="900" t="n"/>
      <c r="G187" s="900" t="n"/>
      <c r="H187" s="900" t="n"/>
      <c r="I187" s="900" t="n"/>
      <c r="J187" s="900" t="n"/>
      <c r="K187" s="900" t="n"/>
      <c r="L187" s="900" t="n"/>
      <c r="M187" s="900" t="n"/>
      <c r="N187" s="900" t="n"/>
      <c r="O187" s="90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981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981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981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981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982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982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982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982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981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979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981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981">
        <f>SUM(B199:N199)</f>
        <v/>
      </c>
    </row>
    <row r="200" outlineLevel="1" ht="16" customHeight="1">
      <c r="A200" s="976" t="inlineStr">
        <is>
          <t xml:space="preserve">  ▸ SECURITY DEPOSIT</t>
        </is>
      </c>
      <c r="B200" s="900" t="n"/>
      <c r="C200" s="900" t="n"/>
      <c r="D200" s="900" t="n"/>
      <c r="E200" s="900" t="n"/>
      <c r="F200" s="900" t="n"/>
      <c r="G200" s="900" t="n"/>
      <c r="H200" s="900" t="n"/>
      <c r="I200" s="900" t="n"/>
      <c r="J200" s="900" t="n"/>
      <c r="K200" s="900" t="n"/>
      <c r="L200" s="900" t="n"/>
      <c r="M200" s="900" t="n"/>
      <c r="N200" s="900" t="n"/>
      <c r="O200" s="90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981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981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979" t="inlineStr">
        <is>
          <t>–</t>
        </is>
      </c>
    </row>
    <row r="204" outlineLevel="1" ht="16" customHeight="1">
      <c r="A204" s="976" t="inlineStr">
        <is>
          <t xml:space="preserve">  ▸ FINAL PAYMENT</t>
        </is>
      </c>
      <c r="B204" s="900" t="n"/>
      <c r="C204" s="900" t="n"/>
      <c r="D204" s="900" t="n"/>
      <c r="E204" s="900" t="n"/>
      <c r="F204" s="900" t="n"/>
      <c r="G204" s="900" t="n"/>
      <c r="H204" s="900" t="n"/>
      <c r="I204" s="900" t="n"/>
      <c r="J204" s="900" t="n"/>
      <c r="K204" s="900" t="n"/>
      <c r="L204" s="900" t="n"/>
      <c r="M204" s="900" t="n"/>
      <c r="N204" s="900" t="n"/>
      <c r="O204" s="90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981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981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979" t="inlineStr">
        <is>
          <t>–</t>
        </is>
      </c>
    </row>
    <row r="208" outlineLevel="1" ht="16" customHeight="1">
      <c r="A208" s="976" t="inlineStr">
        <is>
          <t xml:space="preserve">  ▸ LPP</t>
        </is>
      </c>
      <c r="B208" s="900" t="n"/>
      <c r="C208" s="900" t="n"/>
      <c r="D208" s="900" t="n"/>
      <c r="E208" s="900" t="n"/>
      <c r="F208" s="900" t="n"/>
      <c r="G208" s="900" t="n"/>
      <c r="H208" s="900" t="n"/>
      <c r="I208" s="900" t="n"/>
      <c r="J208" s="900" t="n"/>
      <c r="K208" s="900" t="n"/>
      <c r="L208" s="900" t="n"/>
      <c r="M208" s="900" t="n"/>
      <c r="N208" s="900" t="n"/>
      <c r="O208" s="90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981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981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979" t="inlineStr">
        <is>
          <t>–</t>
        </is>
      </c>
    </row>
    <row r="212" outlineLevel="1" ht="16" customHeight="1">
      <c r="A212" s="976" t="inlineStr">
        <is>
          <t xml:space="preserve">  ▸ SUMMARY</t>
        </is>
      </c>
      <c r="B212" s="900" t="n"/>
      <c r="C212" s="900" t="n"/>
      <c r="D212" s="900" t="n"/>
      <c r="E212" s="900" t="n"/>
      <c r="F212" s="900" t="n"/>
      <c r="G212" s="900" t="n"/>
      <c r="H212" s="900" t="n"/>
      <c r="I212" s="900" t="n"/>
      <c r="J212" s="900" t="n"/>
      <c r="K212" s="900" t="n"/>
      <c r="L212" s="900" t="n"/>
      <c r="M212" s="900" t="n"/>
      <c r="N212" s="900" t="n"/>
      <c r="O212" s="90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981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981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979" t="inlineStr">
        <is>
          <t>–</t>
        </is>
      </c>
    </row>
    <row r="216" outlineLevel="1" ht="16" customHeight="1">
      <c r="A216" s="976" t="inlineStr">
        <is>
          <t xml:space="preserve">  ▸ DOCUMENT</t>
        </is>
      </c>
      <c r="B216" s="900" t="n"/>
      <c r="C216" s="900" t="n"/>
      <c r="D216" s="900" t="n"/>
      <c r="E216" s="900" t="n"/>
      <c r="F216" s="900" t="n"/>
      <c r="G216" s="900" t="n"/>
      <c r="H216" s="900" t="n"/>
      <c r="I216" s="900" t="n"/>
      <c r="J216" s="900" t="n"/>
      <c r="K216" s="900" t="n"/>
      <c r="L216" s="900" t="n"/>
      <c r="M216" s="900" t="n"/>
      <c r="N216" s="900" t="n"/>
      <c r="O216" s="90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979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979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979" t="inlineStr">
        <is>
          <t>–</t>
        </is>
      </c>
    </row>
    <row r="220" ht="7" customHeight="1">
      <c r="A220" s="866" t="n"/>
      <c r="B220" s="866" t="n"/>
      <c r="C220" s="866" t="n"/>
      <c r="D220" s="866" t="n"/>
      <c r="E220" s="866" t="n"/>
      <c r="F220" s="866" t="n"/>
      <c r="G220" s="866" t="n"/>
      <c r="H220" s="866" t="n"/>
      <c r="I220" s="866" t="n"/>
      <c r="J220" s="866" t="n"/>
      <c r="K220" s="866" t="n"/>
      <c r="L220" s="866" t="n"/>
      <c r="M220" s="866" t="n"/>
      <c r="N220" s="866" t="n"/>
      <c r="O220" s="866" t="n"/>
    </row>
    <row r="221" ht="24" customHeight="1">
      <c r="A221" s="907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983" t="inlineStr">
        <is>
          <t xml:space="preserve">   Lot No. →</t>
        </is>
      </c>
      <c r="B222" s="984">
        <f>IF('Final Calculation Sheet'!$F$5="","",'Final Calculation Sheet'!$F$5)</f>
        <v/>
      </c>
      <c r="C222" s="984">
        <f>IF('Final Calculation Sheet'!$F$10="","",'Final Calculation Sheet'!$F$10)</f>
        <v/>
      </c>
      <c r="D222" s="984">
        <f>IF('Final Calculation Sheet'!$F$11="","",'Final Calculation Sheet'!$F$11)</f>
        <v/>
      </c>
      <c r="E222" s="984">
        <f>IF('Final Calculation Sheet'!$F$12="","",'Final Calculation Sheet'!$F$12)</f>
        <v/>
      </c>
      <c r="F222" s="984">
        <f>IF('Final Calculation Sheet'!$F$18="","",'Final Calculation Sheet'!$F$18)</f>
        <v/>
      </c>
      <c r="G222" s="984">
        <f>IF('Final Calculation Sheet'!$F$19="","",'Final Calculation Sheet'!$F$19)</f>
        <v/>
      </c>
      <c r="H222" s="984">
        <f>IF('Final Calculation Sheet'!$F$22="","",'Final Calculation Sheet'!$F$22)</f>
        <v/>
      </c>
      <c r="I222" s="984">
        <f>IF('Final Calculation Sheet'!$F$24="","",'Final Calculation Sheet'!$F$24)</f>
        <v/>
      </c>
      <c r="J222" s="984">
        <f>IF('Final Calculation Sheet'!$F$26="","",'Final Calculation Sheet'!$F$26)</f>
        <v/>
      </c>
      <c r="K222" s="984">
        <f>IF('Final Calculation Sheet'!$F$30="","",'Final Calculation Sheet'!$F$30)</f>
        <v/>
      </c>
      <c r="L222" s="984">
        <f>IF('Final Calculation Sheet'!$F$32="","",'Final Calculation Sheet'!$F$32)</f>
        <v/>
      </c>
      <c r="M222" s="984">
        <f>IF('Final Calculation Sheet'!$F$33="","",'Final Calculation Sheet'!$F$33)</f>
        <v/>
      </c>
      <c r="N222" s="984">
        <f>IF('Final Calculation Sheet'!$F$37="","",'Final Calculation Sheet'!$F$37)</f>
        <v/>
      </c>
      <c r="O222" s="985" t="inlineStr">
        <is>
          <t>TOTAL</t>
        </is>
      </c>
    </row>
    <row r="223" outlineLevel="1" ht="16" customHeight="1">
      <c r="A223" s="983" t="inlineStr">
        <is>
          <t xml:space="preserve">  ▸ LOT INFORMATION</t>
        </is>
      </c>
      <c r="B223" s="910" t="n"/>
      <c r="C223" s="910" t="n"/>
      <c r="D223" s="910" t="n"/>
      <c r="E223" s="910" t="n"/>
      <c r="F223" s="910" t="n"/>
      <c r="G223" s="910" t="n"/>
      <c r="H223" s="910" t="n"/>
      <c r="I223" s="910" t="n"/>
      <c r="J223" s="910" t="n"/>
      <c r="K223" s="910" t="n"/>
      <c r="L223" s="910" t="n"/>
      <c r="M223" s="910" t="n"/>
      <c r="N223" s="910" t="n"/>
      <c r="O223" s="91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776">
        <f>IF('Final Calculation Sheet'!$F$10="","",'Final Calculation Sheet'!$F$10)</f>
        <v/>
      </c>
      <c r="D224" s="70">
        <f>IF('Final Calculation Sheet'!$F$11="","",'Final Calculation Sheet'!$F$11)</f>
        <v/>
      </c>
      <c r="E224" s="776">
        <f>IF('Final Calculation Sheet'!$F$12="","",'Final Calculation Sheet'!$F$12)</f>
        <v/>
      </c>
      <c r="F224" s="70">
        <f>IF('Final Calculation Sheet'!$F$18="","",'Final Calculation Sheet'!$F$18)</f>
        <v/>
      </c>
      <c r="G224" s="776">
        <f>IF('Final Calculation Sheet'!$F$19="","",'Final Calculation Sheet'!$F$19)</f>
        <v/>
      </c>
      <c r="H224" s="70">
        <f>IF('Final Calculation Sheet'!$F$22="","",'Final Calculation Sheet'!$F$22)</f>
        <v/>
      </c>
      <c r="I224" s="776">
        <f>IF('Final Calculation Sheet'!$F$24="","",'Final Calculation Sheet'!$F$24)</f>
        <v/>
      </c>
      <c r="J224" s="70">
        <f>IF('Final Calculation Sheet'!$F$26="","",'Final Calculation Sheet'!$F$26)</f>
        <v/>
      </c>
      <c r="K224" s="776">
        <f>IF('Final Calculation Sheet'!$F$30="","",'Final Calculation Sheet'!$F$30)</f>
        <v/>
      </c>
      <c r="L224" s="70">
        <f>IF('Final Calculation Sheet'!$F$32="","",'Final Calculation Sheet'!$F$32)</f>
        <v/>
      </c>
      <c r="M224" s="776">
        <f>IF('Final Calculation Sheet'!$F$33="","",'Final Calculation Sheet'!$F$33)</f>
        <v/>
      </c>
      <c r="N224" s="70">
        <f>IF('Final Calculation Sheet'!$F$37="","",'Final Calculation Sheet'!$F$37)</f>
        <v/>
      </c>
      <c r="O224" s="986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987">
        <f>IF('Final Calculation Sheet'!$B$10="","",'Final Calculation Sheet'!$B$10)</f>
        <v/>
      </c>
      <c r="D225" s="73">
        <f>IF('Final Calculation Sheet'!$B$11="","",'Final Calculation Sheet'!$B$11)</f>
        <v/>
      </c>
      <c r="E225" s="987">
        <f>IF('Final Calculation Sheet'!$B$12="","",'Final Calculation Sheet'!$B$12)</f>
        <v/>
      </c>
      <c r="F225" s="73">
        <f>IF('Final Calculation Sheet'!$B$18="","",'Final Calculation Sheet'!$B$18)</f>
        <v/>
      </c>
      <c r="G225" s="987">
        <f>IF('Final Calculation Sheet'!$B$19="","",'Final Calculation Sheet'!$B$19)</f>
        <v/>
      </c>
      <c r="H225" s="73">
        <f>IF('Final Calculation Sheet'!$B$22="","",'Final Calculation Sheet'!$B$22)</f>
        <v/>
      </c>
      <c r="I225" s="987">
        <f>IF('Final Calculation Sheet'!$B$24="","",'Final Calculation Sheet'!$B$24)</f>
        <v/>
      </c>
      <c r="J225" s="73">
        <f>IF('Final Calculation Sheet'!$B$26="","",'Final Calculation Sheet'!$B$26)</f>
        <v/>
      </c>
      <c r="K225" s="987">
        <f>IF('Final Calculation Sheet'!$B$30="","",'Final Calculation Sheet'!$B$30)</f>
        <v/>
      </c>
      <c r="L225" s="73">
        <f>IF('Final Calculation Sheet'!$B$32="","",'Final Calculation Sheet'!$B$32)</f>
        <v/>
      </c>
      <c r="M225" s="987">
        <f>IF('Final Calculation Sheet'!$B$33="","",'Final Calculation Sheet'!$B$33)</f>
        <v/>
      </c>
      <c r="N225" s="73">
        <f>IF('Final Calculation Sheet'!$B$37="","",'Final Calculation Sheet'!$B$37)</f>
        <v/>
      </c>
      <c r="O225" s="986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776">
        <f>IF('Final Calculation Sheet'!$D$10="","",'Final Calculation Sheet'!$D$10)</f>
        <v/>
      </c>
      <c r="D226" s="70">
        <f>IF('Final Calculation Sheet'!$D$11="","",'Final Calculation Sheet'!$D$11)</f>
        <v/>
      </c>
      <c r="E226" s="776">
        <f>IF('Final Calculation Sheet'!$D$12="","",'Final Calculation Sheet'!$D$12)</f>
        <v/>
      </c>
      <c r="F226" s="70">
        <f>IF('Final Calculation Sheet'!$D$18="","",'Final Calculation Sheet'!$D$18)</f>
        <v/>
      </c>
      <c r="G226" s="776">
        <f>IF('Final Calculation Sheet'!$D$19="","",'Final Calculation Sheet'!$D$19)</f>
        <v/>
      </c>
      <c r="H226" s="70">
        <f>IF('Final Calculation Sheet'!$D$22="","",'Final Calculation Sheet'!$D$22)</f>
        <v/>
      </c>
      <c r="I226" s="776">
        <f>IF('Final Calculation Sheet'!$D$24="","",'Final Calculation Sheet'!$D$24)</f>
        <v/>
      </c>
      <c r="J226" s="70">
        <f>IF('Final Calculation Sheet'!$D$26="","",'Final Calculation Sheet'!$D$26)</f>
        <v/>
      </c>
      <c r="K226" s="776">
        <f>IF('Final Calculation Sheet'!$D$30="","",'Final Calculation Sheet'!$D$30)</f>
        <v/>
      </c>
      <c r="L226" s="70">
        <f>IF('Final Calculation Sheet'!$D$32="","",'Final Calculation Sheet'!$D$32)</f>
        <v/>
      </c>
      <c r="M226" s="776">
        <f>IF('Final Calculation Sheet'!$D$33="","",'Final Calculation Sheet'!$D$33)</f>
        <v/>
      </c>
      <c r="N226" s="70">
        <f>IF('Final Calculation Sheet'!$D$37="","",'Final Calculation Sheet'!$D$37)</f>
        <v/>
      </c>
      <c r="O226" s="986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794">
        <f>IF('Final Calculation Sheet'!$A$10="","",'Final Calculation Sheet'!$A$10)</f>
        <v/>
      </c>
      <c r="D227" s="74">
        <f>IF('Final Calculation Sheet'!$A$11="","",'Final Calculation Sheet'!$A$11)</f>
        <v/>
      </c>
      <c r="E227" s="794">
        <f>IF('Final Calculation Sheet'!$A$12="","",'Final Calculation Sheet'!$A$12)</f>
        <v/>
      </c>
      <c r="F227" s="74">
        <f>IF('Final Calculation Sheet'!$A$18="","",'Final Calculation Sheet'!$A$18)</f>
        <v/>
      </c>
      <c r="G227" s="794">
        <f>IF('Final Calculation Sheet'!$A$19="","",'Final Calculation Sheet'!$A$19)</f>
        <v/>
      </c>
      <c r="H227" s="74">
        <f>IF('Final Calculation Sheet'!$A$22="","",'Final Calculation Sheet'!$A$22)</f>
        <v/>
      </c>
      <c r="I227" s="794">
        <f>IF('Final Calculation Sheet'!$A$24="","",'Final Calculation Sheet'!$A$24)</f>
        <v/>
      </c>
      <c r="J227" s="74">
        <f>IF('Final Calculation Sheet'!$A$26="","",'Final Calculation Sheet'!$A$26)</f>
        <v/>
      </c>
      <c r="K227" s="794">
        <f>IF('Final Calculation Sheet'!$A$30="","",'Final Calculation Sheet'!$A$30)</f>
        <v/>
      </c>
      <c r="L227" s="74">
        <f>IF('Final Calculation Sheet'!$A$32="","",'Final Calculation Sheet'!$A$32)</f>
        <v/>
      </c>
      <c r="M227" s="794">
        <f>IF('Final Calculation Sheet'!$A$33="","",'Final Calculation Sheet'!$A$33)</f>
        <v/>
      </c>
      <c r="N227" s="74">
        <f>IF('Final Calculation Sheet'!$A$37="","",'Final Calculation Sheet'!$A$37)</f>
        <v/>
      </c>
      <c r="O227" s="988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989">
        <f>IF('Final Calculation Sheet'!$E$10="","",'Final Calculation Sheet'!$E$10)</f>
        <v/>
      </c>
      <c r="D228" s="76">
        <f>IF('Final Calculation Sheet'!$E$11="","",'Final Calculation Sheet'!$E$11)</f>
        <v/>
      </c>
      <c r="E228" s="989">
        <f>IF('Final Calculation Sheet'!$E$12="","",'Final Calculation Sheet'!$E$12)</f>
        <v/>
      </c>
      <c r="F228" s="76">
        <f>IF('Final Calculation Sheet'!$E$18="","",'Final Calculation Sheet'!$E$18)</f>
        <v/>
      </c>
      <c r="G228" s="989">
        <f>IF('Final Calculation Sheet'!$E$19="","",'Final Calculation Sheet'!$E$19)</f>
        <v/>
      </c>
      <c r="H228" s="76">
        <f>IF('Final Calculation Sheet'!$E$22="","",'Final Calculation Sheet'!$E$22)</f>
        <v/>
      </c>
      <c r="I228" s="989">
        <f>IF('Final Calculation Sheet'!$E$24="","",'Final Calculation Sheet'!$E$24)</f>
        <v/>
      </c>
      <c r="J228" s="76">
        <f>IF('Final Calculation Sheet'!$E$26="","",'Final Calculation Sheet'!$E$26)</f>
        <v/>
      </c>
      <c r="K228" s="989">
        <f>IF('Final Calculation Sheet'!$E$30="","",'Final Calculation Sheet'!$E$30)</f>
        <v/>
      </c>
      <c r="L228" s="76">
        <f>IF('Final Calculation Sheet'!$E$32="","",'Final Calculation Sheet'!$E$32)</f>
        <v/>
      </c>
      <c r="M228" s="989">
        <f>IF('Final Calculation Sheet'!$E$33="","",'Final Calculation Sheet'!$E$33)</f>
        <v/>
      </c>
      <c r="N228" s="76">
        <f>IF('Final Calculation Sheet'!$E$37="","",'Final Calculation Sheet'!$E$37)</f>
        <v/>
      </c>
      <c r="O228" s="986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776">
        <f>IF('Final Calculation Sheet'!$C$10="","",'Final Calculation Sheet'!$C$10)</f>
        <v/>
      </c>
      <c r="D229" s="70">
        <f>IF('Final Calculation Sheet'!$C$11="","",'Final Calculation Sheet'!$C$11)</f>
        <v/>
      </c>
      <c r="E229" s="776">
        <f>IF('Final Calculation Sheet'!$C$12="","",'Final Calculation Sheet'!$C$12)</f>
        <v/>
      </c>
      <c r="F229" s="70">
        <f>IF('Final Calculation Sheet'!$C$18="","",'Final Calculation Sheet'!$C$18)</f>
        <v/>
      </c>
      <c r="G229" s="776">
        <f>IF('Final Calculation Sheet'!$C$19="","",'Final Calculation Sheet'!$C$19)</f>
        <v/>
      </c>
      <c r="H229" s="70">
        <f>IF('Final Calculation Sheet'!$C$22="","",'Final Calculation Sheet'!$C$22)</f>
        <v/>
      </c>
      <c r="I229" s="776">
        <f>IF('Final Calculation Sheet'!$C$24="","",'Final Calculation Sheet'!$C$24)</f>
        <v/>
      </c>
      <c r="J229" s="70">
        <f>IF('Final Calculation Sheet'!$C$26="","",'Final Calculation Sheet'!$C$26)</f>
        <v/>
      </c>
      <c r="K229" s="776">
        <f>IF('Final Calculation Sheet'!$C$30="","",'Final Calculation Sheet'!$C$30)</f>
        <v/>
      </c>
      <c r="L229" s="70">
        <f>IF('Final Calculation Sheet'!$C$32="","",'Final Calculation Sheet'!$C$32)</f>
        <v/>
      </c>
      <c r="M229" s="776">
        <f>IF('Final Calculation Sheet'!$C$33="","",'Final Calculation Sheet'!$C$33)</f>
        <v/>
      </c>
      <c r="N229" s="70">
        <f>IF('Final Calculation Sheet'!$C$37="","",'Final Calculation Sheet'!$C$37)</f>
        <v/>
      </c>
      <c r="O229" s="986" t="inlineStr">
        <is>
          <t>–</t>
        </is>
      </c>
    </row>
    <row r="230" outlineLevel="1" ht="16" customHeight="1">
      <c r="A230" s="983" t="inlineStr">
        <is>
          <t xml:space="preserve">  ▸ FINANCIALS</t>
        </is>
      </c>
      <c r="B230" s="910" t="n"/>
      <c r="C230" s="910" t="n"/>
      <c r="D230" s="910" t="n"/>
      <c r="E230" s="910" t="n"/>
      <c r="F230" s="910" t="n"/>
      <c r="G230" s="910" t="n"/>
      <c r="H230" s="910" t="n"/>
      <c r="I230" s="910" t="n"/>
      <c r="J230" s="910" t="n"/>
      <c r="K230" s="910" t="n"/>
      <c r="L230" s="910" t="n"/>
      <c r="M230" s="910" t="n"/>
      <c r="N230" s="910" t="n"/>
      <c r="O230" s="91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776">
        <f>IF('Final Calculation Sheet'!$H$10="","",'Final Calculation Sheet'!$H$10)</f>
        <v/>
      </c>
      <c r="D231" s="70">
        <f>IF('Final Calculation Sheet'!$H$11="","",'Final Calculation Sheet'!$H$11)</f>
        <v/>
      </c>
      <c r="E231" s="776">
        <f>IF('Final Calculation Sheet'!$H$12="","",'Final Calculation Sheet'!$H$12)</f>
        <v/>
      </c>
      <c r="F231" s="70">
        <f>IF('Final Calculation Sheet'!$H$18="","",'Final Calculation Sheet'!$H$18)</f>
        <v/>
      </c>
      <c r="G231" s="776">
        <f>IF('Final Calculation Sheet'!$H$19="","",'Final Calculation Sheet'!$H$19)</f>
        <v/>
      </c>
      <c r="H231" s="70">
        <f>IF('Final Calculation Sheet'!$H$22="","",'Final Calculation Sheet'!$H$22)</f>
        <v/>
      </c>
      <c r="I231" s="776">
        <f>IF('Final Calculation Sheet'!$H$24="","",'Final Calculation Sheet'!$H$24)</f>
        <v/>
      </c>
      <c r="J231" s="70">
        <f>IF('Final Calculation Sheet'!$H$26="","",'Final Calculation Sheet'!$H$26)</f>
        <v/>
      </c>
      <c r="K231" s="776">
        <f>IF('Final Calculation Sheet'!$H$30="","",'Final Calculation Sheet'!$H$30)</f>
        <v/>
      </c>
      <c r="L231" s="70">
        <f>IF('Final Calculation Sheet'!$H$32="","",'Final Calculation Sheet'!$H$32)</f>
        <v/>
      </c>
      <c r="M231" s="776">
        <f>IF('Final Calculation Sheet'!$H$33="","",'Final Calculation Sheet'!$H$33)</f>
        <v/>
      </c>
      <c r="N231" s="70">
        <f>IF('Final Calculation Sheet'!$H$37="","",'Final Calculation Sheet'!$H$37)</f>
        <v/>
      </c>
      <c r="O231" s="990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776">
        <f>IF('Final Calculation Sheet'!$I$10="","",'Final Calculation Sheet'!$I$10)</f>
        <v/>
      </c>
      <c r="D232" s="70">
        <f>IF('Final Calculation Sheet'!$I$11="","",'Final Calculation Sheet'!$I$11)</f>
        <v/>
      </c>
      <c r="E232" s="776">
        <f>IF('Final Calculation Sheet'!$I$12="","",'Final Calculation Sheet'!$I$12)</f>
        <v/>
      </c>
      <c r="F232" s="70">
        <f>IF('Final Calculation Sheet'!$I$18="","",'Final Calculation Sheet'!$I$18)</f>
        <v/>
      </c>
      <c r="G232" s="776">
        <f>IF('Final Calculation Sheet'!$I$19="","",'Final Calculation Sheet'!$I$19)</f>
        <v/>
      </c>
      <c r="H232" s="70">
        <f>IF('Final Calculation Sheet'!$I$22="","",'Final Calculation Sheet'!$I$22)</f>
        <v/>
      </c>
      <c r="I232" s="776">
        <f>IF('Final Calculation Sheet'!$I$24="","",'Final Calculation Sheet'!$I$24)</f>
        <v/>
      </c>
      <c r="J232" s="70">
        <f>IF('Final Calculation Sheet'!$I$26="","",'Final Calculation Sheet'!$I$26)</f>
        <v/>
      </c>
      <c r="K232" s="776">
        <f>IF('Final Calculation Sheet'!$I$30="","",'Final Calculation Sheet'!$I$30)</f>
        <v/>
      </c>
      <c r="L232" s="70">
        <f>IF('Final Calculation Sheet'!$I$32="","",'Final Calculation Sheet'!$I$32)</f>
        <v/>
      </c>
      <c r="M232" s="776">
        <f>IF('Final Calculation Sheet'!$I$33="","",'Final Calculation Sheet'!$I$33)</f>
        <v/>
      </c>
      <c r="N232" s="70">
        <f>IF('Final Calculation Sheet'!$I$37="","",'Final Calculation Sheet'!$I$37)</f>
        <v/>
      </c>
      <c r="O232" s="990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776">
        <f>IF('Final Calculation Sheet'!$J$10="","",'Final Calculation Sheet'!$J$10)</f>
        <v/>
      </c>
      <c r="D233" s="70">
        <f>IF('Final Calculation Sheet'!$J$11="","",'Final Calculation Sheet'!$J$11)</f>
        <v/>
      </c>
      <c r="E233" s="776">
        <f>IF('Final Calculation Sheet'!$J$12="","",'Final Calculation Sheet'!$J$12)</f>
        <v/>
      </c>
      <c r="F233" s="70">
        <f>IF('Final Calculation Sheet'!$J$18="","",'Final Calculation Sheet'!$J$18)</f>
        <v/>
      </c>
      <c r="G233" s="776">
        <f>IF('Final Calculation Sheet'!$J$19="","",'Final Calculation Sheet'!$J$19)</f>
        <v/>
      </c>
      <c r="H233" s="70">
        <f>IF('Final Calculation Sheet'!$J$22="","",'Final Calculation Sheet'!$J$22)</f>
        <v/>
      </c>
      <c r="I233" s="776">
        <f>IF('Final Calculation Sheet'!$J$24="","",'Final Calculation Sheet'!$J$24)</f>
        <v/>
      </c>
      <c r="J233" s="70">
        <f>IF('Final Calculation Sheet'!$J$26="","",'Final Calculation Sheet'!$J$26)</f>
        <v/>
      </c>
      <c r="K233" s="776">
        <f>IF('Final Calculation Sheet'!$J$30="","",'Final Calculation Sheet'!$J$30)</f>
        <v/>
      </c>
      <c r="L233" s="70">
        <f>IF('Final Calculation Sheet'!$J$32="","",'Final Calculation Sheet'!$J$32)</f>
        <v/>
      </c>
      <c r="M233" s="776">
        <f>IF('Final Calculation Sheet'!$J$33="","",'Final Calculation Sheet'!$J$33)</f>
        <v/>
      </c>
      <c r="N233" s="70">
        <f>IF('Final Calculation Sheet'!$J$37="","",'Final Calculation Sheet'!$J$37)</f>
        <v/>
      </c>
      <c r="O233" s="990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776">
        <f>IF('Final Calculation Sheet'!$K$10="","",'Final Calculation Sheet'!$K$10)</f>
        <v/>
      </c>
      <c r="D234" s="70">
        <f>IF('Final Calculation Sheet'!$K$11="","",'Final Calculation Sheet'!$K$11)</f>
        <v/>
      </c>
      <c r="E234" s="776">
        <f>IF('Final Calculation Sheet'!$K$12="","",'Final Calculation Sheet'!$K$12)</f>
        <v/>
      </c>
      <c r="F234" s="70">
        <f>IF('Final Calculation Sheet'!$K$18="","",'Final Calculation Sheet'!$K$18)</f>
        <v/>
      </c>
      <c r="G234" s="776">
        <f>IF('Final Calculation Sheet'!$K$19="","",'Final Calculation Sheet'!$K$19)</f>
        <v/>
      </c>
      <c r="H234" s="70">
        <f>IF('Final Calculation Sheet'!$K$22="","",'Final Calculation Sheet'!$K$22)</f>
        <v/>
      </c>
      <c r="I234" s="776">
        <f>IF('Final Calculation Sheet'!$K$24="","",'Final Calculation Sheet'!$K$24)</f>
        <v/>
      </c>
      <c r="J234" s="70">
        <f>IF('Final Calculation Sheet'!$K$26="","",'Final Calculation Sheet'!$K$26)</f>
        <v/>
      </c>
      <c r="K234" s="776">
        <f>IF('Final Calculation Sheet'!$K$30="","",'Final Calculation Sheet'!$K$30)</f>
        <v/>
      </c>
      <c r="L234" s="70">
        <f>IF('Final Calculation Sheet'!$K$32="","",'Final Calculation Sheet'!$K$32)</f>
        <v/>
      </c>
      <c r="M234" s="776">
        <f>IF('Final Calculation Sheet'!$K$33="","",'Final Calculation Sheet'!$K$33)</f>
        <v/>
      </c>
      <c r="N234" s="70">
        <f>IF('Final Calculation Sheet'!$K$37="","",'Final Calculation Sheet'!$K$37)</f>
        <v/>
      </c>
      <c r="O234" s="990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804">
        <f>IF('Final Calculation Sheet'!$L$10="","",'Final Calculation Sheet'!$L$10)</f>
        <v/>
      </c>
      <c r="D235" s="78">
        <f>IF('Final Calculation Sheet'!$L$11="","",'Final Calculation Sheet'!$L$11)</f>
        <v/>
      </c>
      <c r="E235" s="804">
        <f>IF('Final Calculation Sheet'!$L$12="","",'Final Calculation Sheet'!$L$12)</f>
        <v/>
      </c>
      <c r="F235" s="78">
        <f>IF('Final Calculation Sheet'!$L$18="","",'Final Calculation Sheet'!$L$18)</f>
        <v/>
      </c>
      <c r="G235" s="804">
        <f>IF('Final Calculation Sheet'!$L$19="","",'Final Calculation Sheet'!$L$19)</f>
        <v/>
      </c>
      <c r="H235" s="78">
        <f>IF('Final Calculation Sheet'!$L$22="","",'Final Calculation Sheet'!$L$22)</f>
        <v/>
      </c>
      <c r="I235" s="804">
        <f>IF('Final Calculation Sheet'!$L$24="","",'Final Calculation Sheet'!$L$24)</f>
        <v/>
      </c>
      <c r="J235" s="78">
        <f>IF('Final Calculation Sheet'!$L$26="","",'Final Calculation Sheet'!$L$26)</f>
        <v/>
      </c>
      <c r="K235" s="804">
        <f>IF('Final Calculation Sheet'!$L$30="","",'Final Calculation Sheet'!$L$30)</f>
        <v/>
      </c>
      <c r="L235" s="78">
        <f>IF('Final Calculation Sheet'!$L$32="","",'Final Calculation Sheet'!$L$32)</f>
        <v/>
      </c>
      <c r="M235" s="804">
        <f>IF('Final Calculation Sheet'!$L$33="","",'Final Calculation Sheet'!$L$33)</f>
        <v/>
      </c>
      <c r="N235" s="78">
        <f>IF('Final Calculation Sheet'!$L$37="","",'Final Calculation Sheet'!$L$37)</f>
        <v/>
      </c>
      <c r="O235" s="991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804">
        <f>IF('Final Calculation Sheet'!$M$10="","",'Final Calculation Sheet'!$M$10)</f>
        <v/>
      </c>
      <c r="D236" s="78">
        <f>IF('Final Calculation Sheet'!$M$11="","",'Final Calculation Sheet'!$M$11)</f>
        <v/>
      </c>
      <c r="E236" s="804">
        <f>IF('Final Calculation Sheet'!$M$12="","",'Final Calculation Sheet'!$M$12)</f>
        <v/>
      </c>
      <c r="F236" s="78">
        <f>IF('Final Calculation Sheet'!$M$18="","",'Final Calculation Sheet'!$M$18)</f>
        <v/>
      </c>
      <c r="G236" s="804">
        <f>IF('Final Calculation Sheet'!$M$19="","",'Final Calculation Sheet'!$M$19)</f>
        <v/>
      </c>
      <c r="H236" s="78">
        <f>IF('Final Calculation Sheet'!$M$22="","",'Final Calculation Sheet'!$M$22)</f>
        <v/>
      </c>
      <c r="I236" s="804">
        <f>IF('Final Calculation Sheet'!$M$24="","",'Final Calculation Sheet'!$M$24)</f>
        <v/>
      </c>
      <c r="J236" s="78">
        <f>IF('Final Calculation Sheet'!$M$26="","",'Final Calculation Sheet'!$M$26)</f>
        <v/>
      </c>
      <c r="K236" s="804">
        <f>IF('Final Calculation Sheet'!$M$30="","",'Final Calculation Sheet'!$M$30)</f>
        <v/>
      </c>
      <c r="L236" s="78">
        <f>IF('Final Calculation Sheet'!$M$32="","",'Final Calculation Sheet'!$M$32)</f>
        <v/>
      </c>
      <c r="M236" s="804">
        <f>IF('Final Calculation Sheet'!$M$33="","",'Final Calculation Sheet'!$M$33)</f>
        <v/>
      </c>
      <c r="N236" s="78">
        <f>IF('Final Calculation Sheet'!$M$37="","",'Final Calculation Sheet'!$M$37)</f>
        <v/>
      </c>
      <c r="O236" s="991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804">
        <f>IF('Final Calculation Sheet'!$N$10="","",'Final Calculation Sheet'!$N$10)</f>
        <v/>
      </c>
      <c r="D237" s="78">
        <f>IF('Final Calculation Sheet'!$N$11="","",'Final Calculation Sheet'!$N$11)</f>
        <v/>
      </c>
      <c r="E237" s="804">
        <f>IF('Final Calculation Sheet'!$N$12="","",'Final Calculation Sheet'!$N$12)</f>
        <v/>
      </c>
      <c r="F237" s="78">
        <f>IF('Final Calculation Sheet'!$N$18="","",'Final Calculation Sheet'!$N$18)</f>
        <v/>
      </c>
      <c r="G237" s="804">
        <f>IF('Final Calculation Sheet'!$N$19="","",'Final Calculation Sheet'!$N$19)</f>
        <v/>
      </c>
      <c r="H237" s="78">
        <f>IF('Final Calculation Sheet'!$N$22="","",'Final Calculation Sheet'!$N$22)</f>
        <v/>
      </c>
      <c r="I237" s="804">
        <f>IF('Final Calculation Sheet'!$N$24="","",'Final Calculation Sheet'!$N$24)</f>
        <v/>
      </c>
      <c r="J237" s="78">
        <f>IF('Final Calculation Sheet'!$N$26="","",'Final Calculation Sheet'!$N$26)</f>
        <v/>
      </c>
      <c r="K237" s="804">
        <f>IF('Final Calculation Sheet'!$N$30="","",'Final Calculation Sheet'!$N$30)</f>
        <v/>
      </c>
      <c r="L237" s="78">
        <f>IF('Final Calculation Sheet'!$N$32="","",'Final Calculation Sheet'!$N$32)</f>
        <v/>
      </c>
      <c r="M237" s="804">
        <f>IF('Final Calculation Sheet'!$N$33="","",'Final Calculation Sheet'!$N$33)</f>
        <v/>
      </c>
      <c r="N237" s="78">
        <f>IF('Final Calculation Sheet'!$N$37="","",'Final Calculation Sheet'!$N$37)</f>
        <v/>
      </c>
      <c r="O237" s="991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804">
        <f>IF('Final Calculation Sheet'!$O$10="","",'Final Calculation Sheet'!$O$10)</f>
        <v/>
      </c>
      <c r="D238" s="78">
        <f>IF('Final Calculation Sheet'!$O$11="","",'Final Calculation Sheet'!$O$11)</f>
        <v/>
      </c>
      <c r="E238" s="804">
        <f>IF('Final Calculation Sheet'!$O$12="","",'Final Calculation Sheet'!$O$12)</f>
        <v/>
      </c>
      <c r="F238" s="78">
        <f>IF('Final Calculation Sheet'!$O$18="","",'Final Calculation Sheet'!$O$18)</f>
        <v/>
      </c>
      <c r="G238" s="804">
        <f>IF('Final Calculation Sheet'!$O$19="","",'Final Calculation Sheet'!$O$19)</f>
        <v/>
      </c>
      <c r="H238" s="78">
        <f>IF('Final Calculation Sheet'!$O$22="","",'Final Calculation Sheet'!$O$22)</f>
        <v/>
      </c>
      <c r="I238" s="804">
        <f>IF('Final Calculation Sheet'!$O$24="","",'Final Calculation Sheet'!$O$24)</f>
        <v/>
      </c>
      <c r="J238" s="78">
        <f>IF('Final Calculation Sheet'!$O$26="","",'Final Calculation Sheet'!$O$26)</f>
        <v/>
      </c>
      <c r="K238" s="804">
        <f>IF('Final Calculation Sheet'!$O$30="","",'Final Calculation Sheet'!$O$30)</f>
        <v/>
      </c>
      <c r="L238" s="78">
        <f>IF('Final Calculation Sheet'!$O$32="","",'Final Calculation Sheet'!$O$32)</f>
        <v/>
      </c>
      <c r="M238" s="804">
        <f>IF('Final Calculation Sheet'!$O$33="","",'Final Calculation Sheet'!$O$33)</f>
        <v/>
      </c>
      <c r="N238" s="78">
        <f>IF('Final Calculation Sheet'!$O$37="","",'Final Calculation Sheet'!$O$37)</f>
        <v/>
      </c>
      <c r="O238" s="991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776">
        <f>IF('Final Calculation Sheet'!$P$10="","",'Final Calculation Sheet'!$P$10)</f>
        <v/>
      </c>
      <c r="D239" s="70">
        <f>IF('Final Calculation Sheet'!$P$11="","",'Final Calculation Sheet'!$P$11)</f>
        <v/>
      </c>
      <c r="E239" s="776">
        <f>IF('Final Calculation Sheet'!$P$12="","",'Final Calculation Sheet'!$P$12)</f>
        <v/>
      </c>
      <c r="F239" s="70">
        <f>IF('Final Calculation Sheet'!$P$18="","",'Final Calculation Sheet'!$P$18)</f>
        <v/>
      </c>
      <c r="G239" s="776">
        <f>IF('Final Calculation Sheet'!$P$19="","",'Final Calculation Sheet'!$P$19)</f>
        <v/>
      </c>
      <c r="H239" s="70">
        <f>IF('Final Calculation Sheet'!$P$22="","",'Final Calculation Sheet'!$P$22)</f>
        <v/>
      </c>
      <c r="I239" s="776">
        <f>IF('Final Calculation Sheet'!$P$24="","",'Final Calculation Sheet'!$P$24)</f>
        <v/>
      </c>
      <c r="J239" s="70">
        <f>IF('Final Calculation Sheet'!$P$26="","",'Final Calculation Sheet'!$P$26)</f>
        <v/>
      </c>
      <c r="K239" s="776">
        <f>IF('Final Calculation Sheet'!$P$30="","",'Final Calculation Sheet'!$P$30)</f>
        <v/>
      </c>
      <c r="L239" s="70">
        <f>IF('Final Calculation Sheet'!$P$32="","",'Final Calculation Sheet'!$P$32)</f>
        <v/>
      </c>
      <c r="M239" s="776">
        <f>IF('Final Calculation Sheet'!$P$33="","",'Final Calculation Sheet'!$P$33)</f>
        <v/>
      </c>
      <c r="N239" s="70">
        <f>IF('Final Calculation Sheet'!$P$37="","",'Final Calculation Sheet'!$P$37)</f>
        <v/>
      </c>
      <c r="O239" s="990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992">
        <f>IF('Final Calculation Sheet'!$Q$10="","",'Final Calculation Sheet'!$Q$10)</f>
        <v/>
      </c>
      <c r="D240" s="80">
        <f>IF('Final Calculation Sheet'!$Q$11="","",'Final Calculation Sheet'!$Q$11)</f>
        <v/>
      </c>
      <c r="E240" s="992">
        <f>IF('Final Calculation Sheet'!$Q$12="","",'Final Calculation Sheet'!$Q$12)</f>
        <v/>
      </c>
      <c r="F240" s="80">
        <f>IF('Final Calculation Sheet'!$Q$18="","",'Final Calculation Sheet'!$Q$18)</f>
        <v/>
      </c>
      <c r="G240" s="992">
        <f>IF('Final Calculation Sheet'!$Q$19="","",'Final Calculation Sheet'!$Q$19)</f>
        <v/>
      </c>
      <c r="H240" s="80">
        <f>IF('Final Calculation Sheet'!$Q$22="","",'Final Calculation Sheet'!$Q$22)</f>
        <v/>
      </c>
      <c r="I240" s="992">
        <f>IF('Final Calculation Sheet'!$Q$24="","",'Final Calculation Sheet'!$Q$24)</f>
        <v/>
      </c>
      <c r="J240" s="80">
        <f>IF('Final Calculation Sheet'!$Q$26="","",'Final Calculation Sheet'!$Q$26)</f>
        <v/>
      </c>
      <c r="K240" s="992">
        <f>IF('Final Calculation Sheet'!$Q$30="","",'Final Calculation Sheet'!$Q$30)</f>
        <v/>
      </c>
      <c r="L240" s="80">
        <f>IF('Final Calculation Sheet'!$Q$32="","",'Final Calculation Sheet'!$Q$32)</f>
        <v/>
      </c>
      <c r="M240" s="992">
        <f>IF('Final Calculation Sheet'!$Q$33="","",'Final Calculation Sheet'!$Q$33)</f>
        <v/>
      </c>
      <c r="N240" s="80">
        <f>IF('Final Calculation Sheet'!$Q$37="","",'Final Calculation Sheet'!$Q$37)</f>
        <v/>
      </c>
      <c r="O240" s="986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776">
        <f>IF('Final Calculation Sheet'!$R$10="","",'Final Calculation Sheet'!$R$10)</f>
        <v/>
      </c>
      <c r="D241" s="70">
        <f>IF('Final Calculation Sheet'!$R$11="","",'Final Calculation Sheet'!$R$11)</f>
        <v/>
      </c>
      <c r="E241" s="776">
        <f>IF('Final Calculation Sheet'!$R$12="","",'Final Calculation Sheet'!$R$12)</f>
        <v/>
      </c>
      <c r="F241" s="70">
        <f>IF('Final Calculation Sheet'!$R$18="","",'Final Calculation Sheet'!$R$18)</f>
        <v/>
      </c>
      <c r="G241" s="776">
        <f>IF('Final Calculation Sheet'!$R$19="","",'Final Calculation Sheet'!$R$19)</f>
        <v/>
      </c>
      <c r="H241" s="70">
        <f>IF('Final Calculation Sheet'!$R$22="","",'Final Calculation Sheet'!$R$22)</f>
        <v/>
      </c>
      <c r="I241" s="776">
        <f>IF('Final Calculation Sheet'!$R$24="","",'Final Calculation Sheet'!$R$24)</f>
        <v/>
      </c>
      <c r="J241" s="70">
        <f>IF('Final Calculation Sheet'!$R$26="","",'Final Calculation Sheet'!$R$26)</f>
        <v/>
      </c>
      <c r="K241" s="776">
        <f>IF('Final Calculation Sheet'!$R$30="","",'Final Calculation Sheet'!$R$30)</f>
        <v/>
      </c>
      <c r="L241" s="70">
        <f>IF('Final Calculation Sheet'!$R$32="","",'Final Calculation Sheet'!$R$32)</f>
        <v/>
      </c>
      <c r="M241" s="776">
        <f>IF('Final Calculation Sheet'!$R$33="","",'Final Calculation Sheet'!$R$33)</f>
        <v/>
      </c>
      <c r="N241" s="70">
        <f>IF('Final Calculation Sheet'!$R$37="","",'Final Calculation Sheet'!$R$37)</f>
        <v/>
      </c>
      <c r="O241" s="990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776">
        <f>IF('Final Calculation Sheet'!$S$10="","",'Final Calculation Sheet'!$S$10)</f>
        <v/>
      </c>
      <c r="D242" s="70">
        <f>IF('Final Calculation Sheet'!$S$11="","",'Final Calculation Sheet'!$S$11)</f>
        <v/>
      </c>
      <c r="E242" s="776">
        <f>IF('Final Calculation Sheet'!$S$12="","",'Final Calculation Sheet'!$S$12)</f>
        <v/>
      </c>
      <c r="F242" s="70">
        <f>IF('Final Calculation Sheet'!$S$18="","",'Final Calculation Sheet'!$S$18)</f>
        <v/>
      </c>
      <c r="G242" s="776">
        <f>IF('Final Calculation Sheet'!$S$19="","",'Final Calculation Sheet'!$S$19)</f>
        <v/>
      </c>
      <c r="H242" s="70">
        <f>IF('Final Calculation Sheet'!$S$22="","",'Final Calculation Sheet'!$S$22)</f>
        <v/>
      </c>
      <c r="I242" s="776">
        <f>IF('Final Calculation Sheet'!$S$24="","",'Final Calculation Sheet'!$S$24)</f>
        <v/>
      </c>
      <c r="J242" s="70">
        <f>IF('Final Calculation Sheet'!$S$26="","",'Final Calculation Sheet'!$S$26)</f>
        <v/>
      </c>
      <c r="K242" s="776">
        <f>IF('Final Calculation Sheet'!$S$30="","",'Final Calculation Sheet'!$S$30)</f>
        <v/>
      </c>
      <c r="L242" s="70">
        <f>IF('Final Calculation Sheet'!$S$32="","",'Final Calculation Sheet'!$S$32)</f>
        <v/>
      </c>
      <c r="M242" s="776">
        <f>IF('Final Calculation Sheet'!$S$33="","",'Final Calculation Sheet'!$S$33)</f>
        <v/>
      </c>
      <c r="N242" s="70">
        <f>IF('Final Calculation Sheet'!$S$37="","",'Final Calculation Sheet'!$S$37)</f>
        <v/>
      </c>
      <c r="O242" s="990">
        <f>SUM(B242:N242)</f>
        <v/>
      </c>
    </row>
    <row r="243" outlineLevel="1" ht="16" customHeight="1">
      <c r="A243" s="983" t="inlineStr">
        <is>
          <t xml:space="preserve">  ▸ SECURITY DEPOSIT</t>
        </is>
      </c>
      <c r="B243" s="910" t="n"/>
      <c r="C243" s="910" t="n"/>
      <c r="D243" s="910" t="n"/>
      <c r="E243" s="910" t="n"/>
      <c r="F243" s="910" t="n"/>
      <c r="G243" s="910" t="n"/>
      <c r="H243" s="910" t="n"/>
      <c r="I243" s="910" t="n"/>
      <c r="J243" s="910" t="n"/>
      <c r="K243" s="910" t="n"/>
      <c r="L243" s="910" t="n"/>
      <c r="M243" s="910" t="n"/>
      <c r="N243" s="910" t="n"/>
      <c r="O243" s="91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776">
        <f>IF('Final Calculation Sheet'!$T$10="","",'Final Calculation Sheet'!$T$10)</f>
        <v/>
      </c>
      <c r="D244" s="70">
        <f>IF('Final Calculation Sheet'!$T$11="","",'Final Calculation Sheet'!$T$11)</f>
        <v/>
      </c>
      <c r="E244" s="776">
        <f>IF('Final Calculation Sheet'!$T$12="","",'Final Calculation Sheet'!$T$12)</f>
        <v/>
      </c>
      <c r="F244" s="70">
        <f>IF('Final Calculation Sheet'!$T$18="","",'Final Calculation Sheet'!$T$18)</f>
        <v/>
      </c>
      <c r="G244" s="776">
        <f>IF('Final Calculation Sheet'!$T$19="","",'Final Calculation Sheet'!$T$19)</f>
        <v/>
      </c>
      <c r="H244" s="70">
        <f>IF('Final Calculation Sheet'!$T$22="","",'Final Calculation Sheet'!$T$22)</f>
        <v/>
      </c>
      <c r="I244" s="776">
        <f>IF('Final Calculation Sheet'!$T$24="","",'Final Calculation Sheet'!$T$24)</f>
        <v/>
      </c>
      <c r="J244" s="70">
        <f>IF('Final Calculation Sheet'!$T$26="","",'Final Calculation Sheet'!$T$26)</f>
        <v/>
      </c>
      <c r="K244" s="776">
        <f>IF('Final Calculation Sheet'!$T$30="","",'Final Calculation Sheet'!$T$30)</f>
        <v/>
      </c>
      <c r="L244" s="70">
        <f>IF('Final Calculation Sheet'!$T$32="","",'Final Calculation Sheet'!$T$32)</f>
        <v/>
      </c>
      <c r="M244" s="776">
        <f>IF('Final Calculation Sheet'!$T$33="","",'Final Calculation Sheet'!$T$33)</f>
        <v/>
      </c>
      <c r="N244" s="70">
        <f>IF('Final Calculation Sheet'!$T$37="","",'Final Calculation Sheet'!$T$37)</f>
        <v/>
      </c>
      <c r="O244" s="990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776">
        <f>IF('Final Calculation Sheet'!$U$10="","",'Final Calculation Sheet'!$U$10)</f>
        <v/>
      </c>
      <c r="D245" s="70">
        <f>IF('Final Calculation Sheet'!$U$11="","",'Final Calculation Sheet'!$U$11)</f>
        <v/>
      </c>
      <c r="E245" s="776">
        <f>IF('Final Calculation Sheet'!$U$12="","",'Final Calculation Sheet'!$U$12)</f>
        <v/>
      </c>
      <c r="F245" s="70">
        <f>IF('Final Calculation Sheet'!$U$18="","",'Final Calculation Sheet'!$U$18)</f>
        <v/>
      </c>
      <c r="G245" s="776">
        <f>IF('Final Calculation Sheet'!$U$19="","",'Final Calculation Sheet'!$U$19)</f>
        <v/>
      </c>
      <c r="H245" s="70">
        <f>IF('Final Calculation Sheet'!$U$22="","",'Final Calculation Sheet'!$U$22)</f>
        <v/>
      </c>
      <c r="I245" s="776">
        <f>IF('Final Calculation Sheet'!$U$24="","",'Final Calculation Sheet'!$U$24)</f>
        <v/>
      </c>
      <c r="J245" s="70">
        <f>IF('Final Calculation Sheet'!$U$26="","",'Final Calculation Sheet'!$U$26)</f>
        <v/>
      </c>
      <c r="K245" s="776">
        <f>IF('Final Calculation Sheet'!$U$30="","",'Final Calculation Sheet'!$U$30)</f>
        <v/>
      </c>
      <c r="L245" s="70">
        <f>IF('Final Calculation Sheet'!$U$32="","",'Final Calculation Sheet'!$U$32)</f>
        <v/>
      </c>
      <c r="M245" s="776">
        <f>IF('Final Calculation Sheet'!$U$33="","",'Final Calculation Sheet'!$U$33)</f>
        <v/>
      </c>
      <c r="N245" s="70">
        <f>IF('Final Calculation Sheet'!$U$37="","",'Final Calculation Sheet'!$U$37)</f>
        <v/>
      </c>
      <c r="O245" s="990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989">
        <f>IF('Final Calculation Sheet'!$V$10="","",'Final Calculation Sheet'!$V$10)</f>
        <v/>
      </c>
      <c r="D246" s="76">
        <f>IF('Final Calculation Sheet'!$V$11="","",'Final Calculation Sheet'!$V$11)</f>
        <v/>
      </c>
      <c r="E246" s="989">
        <f>IF('Final Calculation Sheet'!$V$12="","",'Final Calculation Sheet'!$V$12)</f>
        <v/>
      </c>
      <c r="F246" s="76">
        <f>IF('Final Calculation Sheet'!$V$18="","",'Final Calculation Sheet'!$V$18)</f>
        <v/>
      </c>
      <c r="G246" s="989">
        <f>IF('Final Calculation Sheet'!$V$19="","",'Final Calculation Sheet'!$V$19)</f>
        <v/>
      </c>
      <c r="H246" s="76">
        <f>IF('Final Calculation Sheet'!$V$22="","",'Final Calculation Sheet'!$V$22)</f>
        <v/>
      </c>
      <c r="I246" s="989">
        <f>IF('Final Calculation Sheet'!$V$24="","",'Final Calculation Sheet'!$V$24)</f>
        <v/>
      </c>
      <c r="J246" s="76">
        <f>IF('Final Calculation Sheet'!$V$26="","",'Final Calculation Sheet'!$V$26)</f>
        <v/>
      </c>
      <c r="K246" s="989">
        <f>IF('Final Calculation Sheet'!$V$30="","",'Final Calculation Sheet'!$V$30)</f>
        <v/>
      </c>
      <c r="L246" s="76">
        <f>IF('Final Calculation Sheet'!$V$32="","",'Final Calculation Sheet'!$V$32)</f>
        <v/>
      </c>
      <c r="M246" s="989">
        <f>IF('Final Calculation Sheet'!$V$33="","",'Final Calculation Sheet'!$V$33)</f>
        <v/>
      </c>
      <c r="N246" s="76">
        <f>IF('Final Calculation Sheet'!$V$37="","",'Final Calculation Sheet'!$V$37)</f>
        <v/>
      </c>
      <c r="O246" s="986" t="inlineStr">
        <is>
          <t>–</t>
        </is>
      </c>
    </row>
    <row r="247" outlineLevel="1" ht="16" customHeight="1">
      <c r="A247" s="983" t="inlineStr">
        <is>
          <t xml:space="preserve">  ▸ FINAL PAYMENT</t>
        </is>
      </c>
      <c r="B247" s="910" t="n"/>
      <c r="C247" s="910" t="n"/>
      <c r="D247" s="910" t="n"/>
      <c r="E247" s="910" t="n"/>
      <c r="F247" s="910" t="n"/>
      <c r="G247" s="910" t="n"/>
      <c r="H247" s="910" t="n"/>
      <c r="I247" s="910" t="n"/>
      <c r="J247" s="910" t="n"/>
      <c r="K247" s="910" t="n"/>
      <c r="L247" s="910" t="n"/>
      <c r="M247" s="910" t="n"/>
      <c r="N247" s="910" t="n"/>
      <c r="O247" s="91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776">
        <f>IF('Final Calculation Sheet'!$W$10="","",'Final Calculation Sheet'!$W$10)</f>
        <v/>
      </c>
      <c r="D248" s="70">
        <f>IF('Final Calculation Sheet'!$W$11="","",'Final Calculation Sheet'!$W$11)</f>
        <v/>
      </c>
      <c r="E248" s="776">
        <f>IF('Final Calculation Sheet'!$W$12="","",'Final Calculation Sheet'!$W$12)</f>
        <v/>
      </c>
      <c r="F248" s="70">
        <f>IF('Final Calculation Sheet'!$W$18="","",'Final Calculation Sheet'!$W$18)</f>
        <v/>
      </c>
      <c r="G248" s="776">
        <f>IF('Final Calculation Sheet'!$W$19="","",'Final Calculation Sheet'!$W$19)</f>
        <v/>
      </c>
      <c r="H248" s="70">
        <f>IF('Final Calculation Sheet'!$W$22="","",'Final Calculation Sheet'!$W$22)</f>
        <v/>
      </c>
      <c r="I248" s="776">
        <f>IF('Final Calculation Sheet'!$W$24="","",'Final Calculation Sheet'!$W$24)</f>
        <v/>
      </c>
      <c r="J248" s="70">
        <f>IF('Final Calculation Sheet'!$W$26="","",'Final Calculation Sheet'!$W$26)</f>
        <v/>
      </c>
      <c r="K248" s="776">
        <f>IF('Final Calculation Sheet'!$W$30="","",'Final Calculation Sheet'!$W$30)</f>
        <v/>
      </c>
      <c r="L248" s="70">
        <f>IF('Final Calculation Sheet'!$W$32="","",'Final Calculation Sheet'!$W$32)</f>
        <v/>
      </c>
      <c r="M248" s="776">
        <f>IF('Final Calculation Sheet'!$W$33="","",'Final Calculation Sheet'!$W$33)</f>
        <v/>
      </c>
      <c r="N248" s="70">
        <f>IF('Final Calculation Sheet'!$W$37="","",'Final Calculation Sheet'!$W$37)</f>
        <v/>
      </c>
      <c r="O248" s="990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776">
        <f>IF('Final Calculation Sheet'!$X$10="","",'Final Calculation Sheet'!$X$10)</f>
        <v/>
      </c>
      <c r="D249" s="70">
        <f>IF('Final Calculation Sheet'!$X$11="","",'Final Calculation Sheet'!$X$11)</f>
        <v/>
      </c>
      <c r="E249" s="776">
        <f>IF('Final Calculation Sheet'!$X$12="","",'Final Calculation Sheet'!$X$12)</f>
        <v/>
      </c>
      <c r="F249" s="70">
        <f>IF('Final Calculation Sheet'!$X$18="","",'Final Calculation Sheet'!$X$18)</f>
        <v/>
      </c>
      <c r="G249" s="776">
        <f>IF('Final Calculation Sheet'!$X$19="","",'Final Calculation Sheet'!$X$19)</f>
        <v/>
      </c>
      <c r="H249" s="70">
        <f>IF('Final Calculation Sheet'!$X$22="","",'Final Calculation Sheet'!$X$22)</f>
        <v/>
      </c>
      <c r="I249" s="776">
        <f>IF('Final Calculation Sheet'!$X$24="","",'Final Calculation Sheet'!$X$24)</f>
        <v/>
      </c>
      <c r="J249" s="70">
        <f>IF('Final Calculation Sheet'!$X$26="","",'Final Calculation Sheet'!$X$26)</f>
        <v/>
      </c>
      <c r="K249" s="776">
        <f>IF('Final Calculation Sheet'!$X$30="","",'Final Calculation Sheet'!$X$30)</f>
        <v/>
      </c>
      <c r="L249" s="70">
        <f>IF('Final Calculation Sheet'!$X$32="","",'Final Calculation Sheet'!$X$32)</f>
        <v/>
      </c>
      <c r="M249" s="776">
        <f>IF('Final Calculation Sheet'!$X$33="","",'Final Calculation Sheet'!$X$33)</f>
        <v/>
      </c>
      <c r="N249" s="70">
        <f>IF('Final Calculation Sheet'!$X$37="","",'Final Calculation Sheet'!$X$37)</f>
        <v/>
      </c>
      <c r="O249" s="990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989">
        <f>IF('Final Calculation Sheet'!$Y$10="","",'Final Calculation Sheet'!$Y$10)</f>
        <v/>
      </c>
      <c r="D250" s="76">
        <f>IF('Final Calculation Sheet'!$Y$11="","",'Final Calculation Sheet'!$Y$11)</f>
        <v/>
      </c>
      <c r="E250" s="989">
        <f>IF('Final Calculation Sheet'!$Y$12="","",'Final Calculation Sheet'!$Y$12)</f>
        <v/>
      </c>
      <c r="F250" s="76">
        <f>IF('Final Calculation Sheet'!$Y$18="","",'Final Calculation Sheet'!$Y$18)</f>
        <v/>
      </c>
      <c r="G250" s="989">
        <f>IF('Final Calculation Sheet'!$Y$19="","",'Final Calculation Sheet'!$Y$19)</f>
        <v/>
      </c>
      <c r="H250" s="76">
        <f>IF('Final Calculation Sheet'!$Y$22="","",'Final Calculation Sheet'!$Y$22)</f>
        <v/>
      </c>
      <c r="I250" s="989">
        <f>IF('Final Calculation Sheet'!$Y$24="","",'Final Calculation Sheet'!$Y$24)</f>
        <v/>
      </c>
      <c r="J250" s="76">
        <f>IF('Final Calculation Sheet'!$Y$26="","",'Final Calculation Sheet'!$Y$26)</f>
        <v/>
      </c>
      <c r="K250" s="989">
        <f>IF('Final Calculation Sheet'!$Y$30="","",'Final Calculation Sheet'!$Y$30)</f>
        <v/>
      </c>
      <c r="L250" s="76">
        <f>IF('Final Calculation Sheet'!$Y$32="","",'Final Calculation Sheet'!$Y$32)</f>
        <v/>
      </c>
      <c r="M250" s="989">
        <f>IF('Final Calculation Sheet'!$Y$33="","",'Final Calculation Sheet'!$Y$33)</f>
        <v/>
      </c>
      <c r="N250" s="76">
        <f>IF('Final Calculation Sheet'!$Y$37="","",'Final Calculation Sheet'!$Y$37)</f>
        <v/>
      </c>
      <c r="O250" s="986" t="inlineStr">
        <is>
          <t>–</t>
        </is>
      </c>
    </row>
    <row r="251" outlineLevel="1" ht="16" customHeight="1">
      <c r="A251" s="983" t="inlineStr">
        <is>
          <t xml:space="preserve">  ▸ LPP</t>
        </is>
      </c>
      <c r="B251" s="910" t="n"/>
      <c r="C251" s="910" t="n"/>
      <c r="D251" s="910" t="n"/>
      <c r="E251" s="910" t="n"/>
      <c r="F251" s="910" t="n"/>
      <c r="G251" s="910" t="n"/>
      <c r="H251" s="910" t="n"/>
      <c r="I251" s="910" t="n"/>
      <c r="J251" s="910" t="n"/>
      <c r="K251" s="910" t="n"/>
      <c r="L251" s="910" t="n"/>
      <c r="M251" s="910" t="n"/>
      <c r="N251" s="910" t="n"/>
      <c r="O251" s="91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776">
        <f>IF('Final Calculation Sheet'!$Z$10="","",'Final Calculation Sheet'!$Z$10)</f>
        <v/>
      </c>
      <c r="D252" s="70">
        <f>IF('Final Calculation Sheet'!$Z$11="","",'Final Calculation Sheet'!$Z$11)</f>
        <v/>
      </c>
      <c r="E252" s="776">
        <f>IF('Final Calculation Sheet'!$Z$12="","",'Final Calculation Sheet'!$Z$12)</f>
        <v/>
      </c>
      <c r="F252" s="70">
        <f>IF('Final Calculation Sheet'!$Z$18="","",'Final Calculation Sheet'!$Z$18)</f>
        <v/>
      </c>
      <c r="G252" s="776">
        <f>IF('Final Calculation Sheet'!$Z$19="","",'Final Calculation Sheet'!$Z$19)</f>
        <v/>
      </c>
      <c r="H252" s="70">
        <f>IF('Final Calculation Sheet'!$Z$22="","",'Final Calculation Sheet'!$Z$22)</f>
        <v/>
      </c>
      <c r="I252" s="776">
        <f>IF('Final Calculation Sheet'!$Z$24="","",'Final Calculation Sheet'!$Z$24)</f>
        <v/>
      </c>
      <c r="J252" s="70">
        <f>IF('Final Calculation Sheet'!$Z$26="","",'Final Calculation Sheet'!$Z$26)</f>
        <v/>
      </c>
      <c r="K252" s="776">
        <f>IF('Final Calculation Sheet'!$Z$30="","",'Final Calculation Sheet'!$Z$30)</f>
        <v/>
      </c>
      <c r="L252" s="70">
        <f>IF('Final Calculation Sheet'!$Z$32="","",'Final Calculation Sheet'!$Z$32)</f>
        <v/>
      </c>
      <c r="M252" s="776">
        <f>IF('Final Calculation Sheet'!$Z$33="","",'Final Calculation Sheet'!$Z$33)</f>
        <v/>
      </c>
      <c r="N252" s="70">
        <f>IF('Final Calculation Sheet'!$Z$37="","",'Final Calculation Sheet'!$Z$37)</f>
        <v/>
      </c>
      <c r="O252" s="990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776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776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776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776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776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776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990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989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989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989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989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989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989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986" t="inlineStr">
        <is>
          <t>–</t>
        </is>
      </c>
    </row>
    <row r="255" outlineLevel="1" ht="16" customHeight="1">
      <c r="A255" s="983" t="inlineStr">
        <is>
          <t xml:space="preserve">  ▸ SUMMARY</t>
        </is>
      </c>
      <c r="B255" s="910" t="n"/>
      <c r="C255" s="910" t="n"/>
      <c r="D255" s="910" t="n"/>
      <c r="E255" s="910" t="n"/>
      <c r="F255" s="910" t="n"/>
      <c r="G255" s="910" t="n"/>
      <c r="H255" s="910" t="n"/>
      <c r="I255" s="910" t="n"/>
      <c r="J255" s="910" t="n"/>
      <c r="K255" s="910" t="n"/>
      <c r="L255" s="910" t="n"/>
      <c r="M255" s="910" t="n"/>
      <c r="N255" s="910" t="n"/>
      <c r="O255" s="91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776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776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776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776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776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776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990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776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776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776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776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776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776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990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784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784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784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784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784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784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986" t="inlineStr">
        <is>
          <t>–</t>
        </is>
      </c>
    </row>
    <row r="259" outlineLevel="1" ht="16" customHeight="1">
      <c r="A259" s="983" t="inlineStr">
        <is>
          <t xml:space="preserve">  ▸ DOCUMENT</t>
        </is>
      </c>
      <c r="B259" s="910" t="n"/>
      <c r="C259" s="910" t="n"/>
      <c r="D259" s="910" t="n"/>
      <c r="E259" s="910" t="n"/>
      <c r="F259" s="910" t="n"/>
      <c r="G259" s="910" t="n"/>
      <c r="H259" s="910" t="n"/>
      <c r="I259" s="910" t="n"/>
      <c r="J259" s="910" t="n"/>
      <c r="K259" s="910" t="n"/>
      <c r="L259" s="910" t="n"/>
      <c r="M259" s="910" t="n"/>
      <c r="N259" s="910" t="n"/>
      <c r="O259" s="91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989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989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989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989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989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989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986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776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776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776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776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776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776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986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989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989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989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989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989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989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986" t="inlineStr">
        <is>
          <t>–</t>
        </is>
      </c>
    </row>
    <row r="263" ht="7" customHeight="1">
      <c r="A263" s="866" t="n"/>
      <c r="B263" s="866" t="n"/>
      <c r="C263" s="866" t="n"/>
      <c r="D263" s="866" t="n"/>
      <c r="E263" s="866" t="n"/>
      <c r="F263" s="866" t="n"/>
      <c r="G263" s="866" t="n"/>
      <c r="H263" s="866" t="n"/>
      <c r="I263" s="866" t="n"/>
      <c r="J263" s="866" t="n"/>
      <c r="K263" s="866" t="n"/>
      <c r="L263" s="866" t="n"/>
      <c r="M263" s="866" t="n"/>
      <c r="N263" s="866" t="n"/>
      <c r="O263" s="866" t="n"/>
    </row>
    <row r="264" ht="24" customHeight="1">
      <c r="A264" s="918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993" t="inlineStr">
        <is>
          <t xml:space="preserve">   Lot No. →</t>
        </is>
      </c>
      <c r="B265" s="994">
        <f>IF('Final Calculation Sheet'!$F$21="","",'Final Calculation Sheet'!$F$21)</f>
        <v/>
      </c>
      <c r="C265" s="921" t="n"/>
      <c r="D265" s="921" t="n"/>
      <c r="E265" s="921" t="n"/>
      <c r="F265" s="921" t="n"/>
      <c r="G265" s="921" t="n"/>
      <c r="H265" s="921" t="n"/>
      <c r="I265" s="921" t="n"/>
      <c r="J265" s="921" t="n"/>
      <c r="K265" s="921" t="n"/>
      <c r="L265" s="921" t="n"/>
      <c r="M265" s="921" t="n"/>
      <c r="N265" s="921" t="n"/>
      <c r="O265" s="995" t="inlineStr">
        <is>
          <t>TOTAL</t>
        </is>
      </c>
    </row>
    <row r="266" outlineLevel="1" ht="16" customHeight="1">
      <c r="A266" s="993" t="inlineStr">
        <is>
          <t xml:space="preserve">  ▸ LOT INFORMATION</t>
        </is>
      </c>
      <c r="B266" s="921" t="n"/>
      <c r="C266" s="921" t="n"/>
      <c r="D266" s="921" t="n"/>
      <c r="E266" s="921" t="n"/>
      <c r="F266" s="921" t="n"/>
      <c r="G266" s="921" t="n"/>
      <c r="H266" s="921" t="n"/>
      <c r="I266" s="921" t="n"/>
      <c r="J266" s="921" t="n"/>
      <c r="K266" s="921" t="n"/>
      <c r="L266" s="921" t="n"/>
      <c r="M266" s="921" t="n"/>
      <c r="N266" s="921" t="n"/>
      <c r="O266" s="921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996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996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996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997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996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996" t="inlineStr">
        <is>
          <t>–</t>
        </is>
      </c>
    </row>
    <row r="273" outlineLevel="1" ht="16" customHeight="1">
      <c r="A273" s="993" t="inlineStr">
        <is>
          <t xml:space="preserve">  ▸ FINANCIALS</t>
        </is>
      </c>
      <c r="B273" s="921" t="n"/>
      <c r="C273" s="921" t="n"/>
      <c r="D273" s="921" t="n"/>
      <c r="E273" s="921" t="n"/>
      <c r="F273" s="921" t="n"/>
      <c r="G273" s="921" t="n"/>
      <c r="H273" s="921" t="n"/>
      <c r="I273" s="921" t="n"/>
      <c r="J273" s="921" t="n"/>
      <c r="K273" s="921" t="n"/>
      <c r="L273" s="921" t="n"/>
      <c r="M273" s="921" t="n"/>
      <c r="N273" s="921" t="n"/>
      <c r="O273" s="921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998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998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998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998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999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999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999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999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998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996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998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998">
        <f>SUM(B285:N285)</f>
        <v/>
      </c>
    </row>
    <row r="286" outlineLevel="1" ht="16" customHeight="1">
      <c r="A286" s="993" t="inlineStr">
        <is>
          <t xml:space="preserve">  ▸ SECURITY DEPOSIT</t>
        </is>
      </c>
      <c r="B286" s="921" t="n"/>
      <c r="C286" s="921" t="n"/>
      <c r="D286" s="921" t="n"/>
      <c r="E286" s="921" t="n"/>
      <c r="F286" s="921" t="n"/>
      <c r="G286" s="921" t="n"/>
      <c r="H286" s="921" t="n"/>
      <c r="I286" s="921" t="n"/>
      <c r="J286" s="921" t="n"/>
      <c r="K286" s="921" t="n"/>
      <c r="L286" s="921" t="n"/>
      <c r="M286" s="921" t="n"/>
      <c r="N286" s="921" t="n"/>
      <c r="O286" s="921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998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998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996" t="inlineStr">
        <is>
          <t>–</t>
        </is>
      </c>
    </row>
    <row r="290" outlineLevel="1" ht="16" customHeight="1">
      <c r="A290" s="993" t="inlineStr">
        <is>
          <t xml:space="preserve">  ▸ FINAL PAYMENT</t>
        </is>
      </c>
      <c r="B290" s="921" t="n"/>
      <c r="C290" s="921" t="n"/>
      <c r="D290" s="921" t="n"/>
      <c r="E290" s="921" t="n"/>
      <c r="F290" s="921" t="n"/>
      <c r="G290" s="921" t="n"/>
      <c r="H290" s="921" t="n"/>
      <c r="I290" s="921" t="n"/>
      <c r="J290" s="921" t="n"/>
      <c r="K290" s="921" t="n"/>
      <c r="L290" s="921" t="n"/>
      <c r="M290" s="921" t="n"/>
      <c r="N290" s="921" t="n"/>
      <c r="O290" s="921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998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998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996" t="inlineStr">
        <is>
          <t>–</t>
        </is>
      </c>
    </row>
    <row r="294" outlineLevel="1" ht="16" customHeight="1">
      <c r="A294" s="993" t="inlineStr">
        <is>
          <t xml:space="preserve">  ▸ LPP</t>
        </is>
      </c>
      <c r="B294" s="921" t="n"/>
      <c r="C294" s="921" t="n"/>
      <c r="D294" s="921" t="n"/>
      <c r="E294" s="921" t="n"/>
      <c r="F294" s="921" t="n"/>
      <c r="G294" s="921" t="n"/>
      <c r="H294" s="921" t="n"/>
      <c r="I294" s="921" t="n"/>
      <c r="J294" s="921" t="n"/>
      <c r="K294" s="921" t="n"/>
      <c r="L294" s="921" t="n"/>
      <c r="M294" s="921" t="n"/>
      <c r="N294" s="921" t="n"/>
      <c r="O294" s="921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998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998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996" t="inlineStr">
        <is>
          <t>–</t>
        </is>
      </c>
    </row>
    <row r="298" outlineLevel="1" ht="16" customHeight="1">
      <c r="A298" s="993" t="inlineStr">
        <is>
          <t xml:space="preserve">  ▸ SUMMARY</t>
        </is>
      </c>
      <c r="B298" s="921" t="n"/>
      <c r="C298" s="921" t="n"/>
      <c r="D298" s="921" t="n"/>
      <c r="E298" s="921" t="n"/>
      <c r="F298" s="921" t="n"/>
      <c r="G298" s="921" t="n"/>
      <c r="H298" s="921" t="n"/>
      <c r="I298" s="921" t="n"/>
      <c r="J298" s="921" t="n"/>
      <c r="K298" s="921" t="n"/>
      <c r="L298" s="921" t="n"/>
      <c r="M298" s="921" t="n"/>
      <c r="N298" s="921" t="n"/>
      <c r="O298" s="921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998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998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996" t="inlineStr">
        <is>
          <t>–</t>
        </is>
      </c>
    </row>
    <row r="302" outlineLevel="1" ht="16" customHeight="1">
      <c r="A302" s="993" t="inlineStr">
        <is>
          <t xml:space="preserve">  ▸ DOCUMENT</t>
        </is>
      </c>
      <c r="B302" s="921" t="n"/>
      <c r="C302" s="921" t="n"/>
      <c r="D302" s="921" t="n"/>
      <c r="E302" s="921" t="n"/>
      <c r="F302" s="921" t="n"/>
      <c r="G302" s="921" t="n"/>
      <c r="H302" s="921" t="n"/>
      <c r="I302" s="921" t="n"/>
      <c r="J302" s="921" t="n"/>
      <c r="K302" s="921" t="n"/>
      <c r="L302" s="921" t="n"/>
      <c r="M302" s="921" t="n"/>
      <c r="N302" s="921" t="n"/>
      <c r="O302" s="921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996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996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996" t="inlineStr">
        <is>
          <t>–</t>
        </is>
      </c>
    </row>
    <row r="306" ht="7" customHeight="1">
      <c r="A306" s="866" t="n"/>
      <c r="B306" s="866" t="n"/>
      <c r="C306" s="866" t="n"/>
      <c r="D306" s="866" t="n"/>
      <c r="E306" s="866" t="n"/>
      <c r="F306" s="866" t="n"/>
      <c r="G306" s="866" t="n"/>
      <c r="H306" s="866" t="n"/>
      <c r="I306" s="866" t="n"/>
      <c r="J306" s="866" t="n"/>
      <c r="K306" s="866" t="n"/>
      <c r="L306" s="866" t="n"/>
      <c r="M306" s="866" t="n"/>
      <c r="N306" s="866" t="n"/>
      <c r="O306" s="866" t="n"/>
    </row>
    <row r="307" ht="24" customHeight="1">
      <c r="A307" s="929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000" t="inlineStr">
        <is>
          <t xml:space="preserve">   Lot No. →</t>
        </is>
      </c>
      <c r="B308" s="1001">
        <f>IF('Final Calculation Sheet'!$F$8="","",'Final Calculation Sheet'!$F$8)</f>
        <v/>
      </c>
      <c r="C308" s="1001">
        <f>IF('Final Calculation Sheet'!$F$20="","",'Final Calculation Sheet'!$F$20)</f>
        <v/>
      </c>
      <c r="D308" s="932" t="n"/>
      <c r="E308" s="932" t="n"/>
      <c r="F308" s="932" t="n"/>
      <c r="G308" s="932" t="n"/>
      <c r="H308" s="932" t="n"/>
      <c r="I308" s="932" t="n"/>
      <c r="J308" s="932" t="n"/>
      <c r="K308" s="932" t="n"/>
      <c r="L308" s="932" t="n"/>
      <c r="M308" s="932" t="n"/>
      <c r="N308" s="932" t="n"/>
      <c r="O308" s="1002" t="inlineStr">
        <is>
          <t>TOTAL</t>
        </is>
      </c>
    </row>
    <row r="309" outlineLevel="1" ht="16" customHeight="1">
      <c r="A309" s="1000" t="inlineStr">
        <is>
          <t xml:space="preserve">  ▸ LOT INFORMATION</t>
        </is>
      </c>
      <c r="B309" s="932" t="n"/>
      <c r="C309" s="932" t="n"/>
      <c r="D309" s="932" t="n"/>
      <c r="E309" s="932" t="n"/>
      <c r="F309" s="932" t="n"/>
      <c r="G309" s="932" t="n"/>
      <c r="H309" s="932" t="n"/>
      <c r="I309" s="932" t="n"/>
      <c r="J309" s="932" t="n"/>
      <c r="K309" s="932" t="n"/>
      <c r="L309" s="932" t="n"/>
      <c r="M309" s="932" t="n"/>
      <c r="N309" s="932" t="n"/>
      <c r="O309" s="932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778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003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004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003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778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003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796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005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006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003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778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003" t="inlineStr">
        <is>
          <t>–</t>
        </is>
      </c>
    </row>
    <row r="316" outlineLevel="1" ht="16" customHeight="1">
      <c r="A316" s="1000" t="inlineStr">
        <is>
          <t xml:space="preserve">  ▸ FINANCIALS</t>
        </is>
      </c>
      <c r="B316" s="932" t="n"/>
      <c r="C316" s="932" t="n"/>
      <c r="D316" s="932" t="n"/>
      <c r="E316" s="932" t="n"/>
      <c r="F316" s="932" t="n"/>
      <c r="G316" s="932" t="n"/>
      <c r="H316" s="932" t="n"/>
      <c r="I316" s="932" t="n"/>
      <c r="J316" s="932" t="n"/>
      <c r="K316" s="932" t="n"/>
      <c r="L316" s="932" t="n"/>
      <c r="M316" s="932" t="n"/>
      <c r="N316" s="932" t="n"/>
      <c r="O316" s="932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778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007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778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007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778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007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778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007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806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008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806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008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806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008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806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008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778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007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009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003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778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007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778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007">
        <f>SUM(B328:N328)</f>
        <v/>
      </c>
    </row>
    <row r="329" outlineLevel="1" ht="16" customHeight="1">
      <c r="A329" s="1000" t="inlineStr">
        <is>
          <t xml:space="preserve">  ▸ SECURITY DEPOSIT</t>
        </is>
      </c>
      <c r="B329" s="932" t="n"/>
      <c r="C329" s="932" t="n"/>
      <c r="D329" s="932" t="n"/>
      <c r="E329" s="932" t="n"/>
      <c r="F329" s="932" t="n"/>
      <c r="G329" s="932" t="n"/>
      <c r="H329" s="932" t="n"/>
      <c r="I329" s="932" t="n"/>
      <c r="J329" s="932" t="n"/>
      <c r="K329" s="932" t="n"/>
      <c r="L329" s="932" t="n"/>
      <c r="M329" s="932" t="n"/>
      <c r="N329" s="932" t="n"/>
      <c r="O329" s="932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778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007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778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007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006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003" t="inlineStr">
        <is>
          <t>–</t>
        </is>
      </c>
    </row>
    <row r="333" outlineLevel="1" ht="16" customHeight="1">
      <c r="A333" s="1000" t="inlineStr">
        <is>
          <t xml:space="preserve">  ▸ FINAL PAYMENT</t>
        </is>
      </c>
      <c r="B333" s="932" t="n"/>
      <c r="C333" s="932" t="n"/>
      <c r="D333" s="932" t="n"/>
      <c r="E333" s="932" t="n"/>
      <c r="F333" s="932" t="n"/>
      <c r="G333" s="932" t="n"/>
      <c r="H333" s="932" t="n"/>
      <c r="I333" s="932" t="n"/>
      <c r="J333" s="932" t="n"/>
      <c r="K333" s="932" t="n"/>
      <c r="L333" s="932" t="n"/>
      <c r="M333" s="932" t="n"/>
      <c r="N333" s="932" t="n"/>
      <c r="O333" s="932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778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007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778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007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006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003" t="inlineStr">
        <is>
          <t>–</t>
        </is>
      </c>
    </row>
    <row r="337" outlineLevel="1" ht="16" customHeight="1">
      <c r="A337" s="1000" t="inlineStr">
        <is>
          <t xml:space="preserve">  ▸ LPP</t>
        </is>
      </c>
      <c r="B337" s="932" t="n"/>
      <c r="C337" s="932" t="n"/>
      <c r="D337" s="932" t="n"/>
      <c r="E337" s="932" t="n"/>
      <c r="F337" s="932" t="n"/>
      <c r="G337" s="932" t="n"/>
      <c r="H337" s="932" t="n"/>
      <c r="I337" s="932" t="n"/>
      <c r="J337" s="932" t="n"/>
      <c r="K337" s="932" t="n"/>
      <c r="L337" s="932" t="n"/>
      <c r="M337" s="932" t="n"/>
      <c r="N337" s="932" t="n"/>
      <c r="O337" s="932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778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007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778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007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006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003" t="inlineStr">
        <is>
          <t>–</t>
        </is>
      </c>
    </row>
    <row r="341" outlineLevel="1" ht="16" customHeight="1">
      <c r="A341" s="1000" t="inlineStr">
        <is>
          <t xml:space="preserve">  ▸ SUMMARY</t>
        </is>
      </c>
      <c r="B341" s="932" t="n"/>
      <c r="C341" s="932" t="n"/>
      <c r="D341" s="932" t="n"/>
      <c r="E341" s="932" t="n"/>
      <c r="F341" s="932" t="n"/>
      <c r="G341" s="932" t="n"/>
      <c r="H341" s="932" t="n"/>
      <c r="I341" s="932" t="n"/>
      <c r="J341" s="932" t="n"/>
      <c r="K341" s="932" t="n"/>
      <c r="L341" s="932" t="n"/>
      <c r="M341" s="932" t="n"/>
      <c r="N341" s="932" t="n"/>
      <c r="O341" s="932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778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007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778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007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78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003" t="inlineStr">
        <is>
          <t>–</t>
        </is>
      </c>
    </row>
    <row r="345" outlineLevel="1" ht="16" customHeight="1">
      <c r="A345" s="1000" t="inlineStr">
        <is>
          <t xml:space="preserve">  ▸ DOCUMENT</t>
        </is>
      </c>
      <c r="B345" s="932" t="n"/>
      <c r="C345" s="932" t="n"/>
      <c r="D345" s="932" t="n"/>
      <c r="E345" s="932" t="n"/>
      <c r="F345" s="932" t="n"/>
      <c r="G345" s="932" t="n"/>
      <c r="H345" s="932" t="n"/>
      <c r="I345" s="932" t="n"/>
      <c r="J345" s="932" t="n"/>
      <c r="K345" s="932" t="n"/>
      <c r="L345" s="932" t="n"/>
      <c r="M345" s="932" t="n"/>
      <c r="N345" s="932" t="n"/>
      <c r="O345" s="932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006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003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778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003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006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003" t="inlineStr">
        <is>
          <t>–</t>
        </is>
      </c>
    </row>
    <row r="349" ht="7" customHeight="1">
      <c r="A349" s="866" t="n"/>
      <c r="B349" s="866" t="n"/>
      <c r="C349" s="866" t="n"/>
      <c r="D349" s="866" t="n"/>
      <c r="E349" s="866" t="n"/>
      <c r="F349" s="866" t="n"/>
      <c r="G349" s="866" t="n"/>
      <c r="H349" s="866" t="n"/>
      <c r="I349" s="866" t="n"/>
      <c r="J349" s="866" t="n"/>
      <c r="K349" s="866" t="n"/>
      <c r="L349" s="866" t="n"/>
      <c r="M349" s="866" t="n"/>
      <c r="N349" s="866" t="n"/>
      <c r="O349" s="866" t="n"/>
    </row>
    <row r="350" ht="24" customHeight="1">
      <c r="A350" s="856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945" t="inlineStr">
        <is>
          <t xml:space="preserve">   Lot No. →</t>
        </is>
      </c>
      <c r="B351" s="946">
        <f>IF('Final Calculation Sheet'!$F$39="","",'Final Calculation Sheet'!$F$39)</f>
        <v/>
      </c>
      <c r="C351" s="946">
        <f>IF('Final Calculation Sheet'!$F$40="","",'Final Calculation Sheet'!$F$40)</f>
        <v/>
      </c>
      <c r="D351" s="859" t="n"/>
      <c r="E351" s="859" t="n"/>
      <c r="F351" s="859" t="n"/>
      <c r="G351" s="859" t="n"/>
      <c r="H351" s="859" t="n"/>
      <c r="I351" s="859" t="n"/>
      <c r="J351" s="859" t="n"/>
      <c r="K351" s="859" t="n"/>
      <c r="L351" s="859" t="n"/>
      <c r="M351" s="859" t="n"/>
      <c r="N351" s="859" t="n"/>
      <c r="O351" s="947" t="inlineStr">
        <is>
          <t>TOTAL</t>
        </is>
      </c>
    </row>
    <row r="352" outlineLevel="1" ht="16" customHeight="1">
      <c r="A352" s="945" t="inlineStr">
        <is>
          <t xml:space="preserve">  ▸ LOT INFORMATION</t>
        </is>
      </c>
      <c r="B352" s="859" t="n"/>
      <c r="C352" s="859" t="n"/>
      <c r="D352" s="859" t="n"/>
      <c r="E352" s="859" t="n"/>
      <c r="F352" s="859" t="n"/>
      <c r="G352" s="859" t="n"/>
      <c r="H352" s="859" t="n"/>
      <c r="I352" s="859" t="n"/>
      <c r="J352" s="859" t="n"/>
      <c r="K352" s="859" t="n"/>
      <c r="L352" s="859" t="n"/>
      <c r="M352" s="859" t="n"/>
      <c r="N352" s="859" t="n"/>
      <c r="O352" s="859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010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948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011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948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010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948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012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949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013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948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010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948" t="inlineStr">
        <is>
          <t>–</t>
        </is>
      </c>
    </row>
    <row r="359" outlineLevel="1" ht="16" customHeight="1">
      <c r="A359" s="945" t="inlineStr">
        <is>
          <t xml:space="preserve">  ▸ FINANCIALS</t>
        </is>
      </c>
      <c r="B359" s="859" t="n"/>
      <c r="C359" s="859" t="n"/>
      <c r="D359" s="859" t="n"/>
      <c r="E359" s="859" t="n"/>
      <c r="F359" s="859" t="n"/>
      <c r="G359" s="859" t="n"/>
      <c r="H359" s="859" t="n"/>
      <c r="I359" s="859" t="n"/>
      <c r="J359" s="859" t="n"/>
      <c r="K359" s="859" t="n"/>
      <c r="L359" s="859" t="n"/>
      <c r="M359" s="859" t="n"/>
      <c r="N359" s="859" t="n"/>
      <c r="O359" s="859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010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950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010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950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010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950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010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950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014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951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014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951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014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951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014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951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010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950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015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948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010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950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010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950">
        <f>SUM(B371:N371)</f>
        <v/>
      </c>
    </row>
    <row r="372" outlineLevel="1" ht="16" customHeight="1">
      <c r="A372" s="945" t="inlineStr">
        <is>
          <t xml:space="preserve">  ▸ SECURITY DEPOSIT</t>
        </is>
      </c>
      <c r="B372" s="859" t="n"/>
      <c r="C372" s="859" t="n"/>
      <c r="D372" s="859" t="n"/>
      <c r="E372" s="859" t="n"/>
      <c r="F372" s="859" t="n"/>
      <c r="G372" s="859" t="n"/>
      <c r="H372" s="859" t="n"/>
      <c r="I372" s="859" t="n"/>
      <c r="J372" s="859" t="n"/>
      <c r="K372" s="859" t="n"/>
      <c r="L372" s="859" t="n"/>
      <c r="M372" s="859" t="n"/>
      <c r="N372" s="859" t="n"/>
      <c r="O372" s="859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010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950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010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950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013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948" t="inlineStr">
        <is>
          <t>–</t>
        </is>
      </c>
    </row>
    <row r="376" outlineLevel="1" ht="16" customHeight="1">
      <c r="A376" s="945" t="inlineStr">
        <is>
          <t xml:space="preserve">  ▸ FINAL PAYMENT</t>
        </is>
      </c>
      <c r="B376" s="859" t="n"/>
      <c r="C376" s="859" t="n"/>
      <c r="D376" s="859" t="n"/>
      <c r="E376" s="859" t="n"/>
      <c r="F376" s="859" t="n"/>
      <c r="G376" s="859" t="n"/>
      <c r="H376" s="859" t="n"/>
      <c r="I376" s="859" t="n"/>
      <c r="J376" s="859" t="n"/>
      <c r="K376" s="859" t="n"/>
      <c r="L376" s="859" t="n"/>
      <c r="M376" s="859" t="n"/>
      <c r="N376" s="859" t="n"/>
      <c r="O376" s="859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010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950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010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950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013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948" t="inlineStr">
        <is>
          <t>–</t>
        </is>
      </c>
    </row>
    <row r="380" outlineLevel="1" ht="16" customHeight="1">
      <c r="A380" s="945" t="inlineStr">
        <is>
          <t xml:space="preserve">  ▸ LPP</t>
        </is>
      </c>
      <c r="B380" s="859" t="n"/>
      <c r="C380" s="859" t="n"/>
      <c r="D380" s="859" t="n"/>
      <c r="E380" s="859" t="n"/>
      <c r="F380" s="859" t="n"/>
      <c r="G380" s="859" t="n"/>
      <c r="H380" s="859" t="n"/>
      <c r="I380" s="859" t="n"/>
      <c r="J380" s="859" t="n"/>
      <c r="K380" s="859" t="n"/>
      <c r="L380" s="859" t="n"/>
      <c r="M380" s="859" t="n"/>
      <c r="N380" s="859" t="n"/>
      <c r="O380" s="859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010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950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010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950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013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948" t="inlineStr">
        <is>
          <t>–</t>
        </is>
      </c>
    </row>
    <row r="384" outlineLevel="1" ht="16" customHeight="1">
      <c r="A384" s="945" t="inlineStr">
        <is>
          <t xml:space="preserve">  ▸ SUMMARY</t>
        </is>
      </c>
      <c r="B384" s="859" t="n"/>
      <c r="C384" s="859" t="n"/>
      <c r="D384" s="859" t="n"/>
      <c r="E384" s="859" t="n"/>
      <c r="F384" s="859" t="n"/>
      <c r="G384" s="859" t="n"/>
      <c r="H384" s="859" t="n"/>
      <c r="I384" s="859" t="n"/>
      <c r="J384" s="859" t="n"/>
      <c r="K384" s="859" t="n"/>
      <c r="L384" s="859" t="n"/>
      <c r="M384" s="859" t="n"/>
      <c r="N384" s="859" t="n"/>
      <c r="O384" s="859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010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950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010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950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016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948" t="inlineStr">
        <is>
          <t>–</t>
        </is>
      </c>
    </row>
    <row r="388" outlineLevel="1" ht="16" customHeight="1">
      <c r="A388" s="945" t="inlineStr">
        <is>
          <t xml:space="preserve">  ▸ DOCUMENT</t>
        </is>
      </c>
      <c r="B388" s="859" t="n"/>
      <c r="C388" s="859" t="n"/>
      <c r="D388" s="859" t="n"/>
      <c r="E388" s="859" t="n"/>
      <c r="F388" s="859" t="n"/>
      <c r="G388" s="859" t="n"/>
      <c r="H388" s="859" t="n"/>
      <c r="I388" s="859" t="n"/>
      <c r="J388" s="859" t="n"/>
      <c r="K388" s="859" t="n"/>
      <c r="L388" s="859" t="n"/>
      <c r="M388" s="859" t="n"/>
      <c r="N388" s="859" t="n"/>
      <c r="O388" s="859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013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948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010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948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013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948" t="inlineStr">
        <is>
          <t>–</t>
        </is>
      </c>
    </row>
    <row r="392" ht="7" customHeight="1">
      <c r="A392" s="866" t="n"/>
      <c r="B392" s="866" t="n"/>
      <c r="C392" s="866" t="n"/>
      <c r="D392" s="866" t="n"/>
      <c r="E392" s="866" t="n"/>
      <c r="F392" s="866" t="n"/>
      <c r="G392" s="866" t="n"/>
      <c r="H392" s="866" t="n"/>
      <c r="I392" s="866" t="n"/>
      <c r="J392" s="866" t="n"/>
      <c r="K392" s="866" t="n"/>
      <c r="L392" s="866" t="n"/>
      <c r="M392" s="866" t="n"/>
      <c r="N392" s="866" t="n"/>
      <c r="O392" s="866" t="n"/>
    </row>
    <row r="393" ht="24" customHeight="1">
      <c r="A393" s="867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952" t="inlineStr">
        <is>
          <t xml:space="preserve">   Lot No. →</t>
        </is>
      </c>
      <c r="B394" s="953">
        <f>IF('Final Calculation Sheet'!$F$31="","",'Final Calculation Sheet'!$F$31)</f>
        <v/>
      </c>
      <c r="C394" s="870" t="n"/>
      <c r="D394" s="870" t="n"/>
      <c r="E394" s="870" t="n"/>
      <c r="F394" s="870" t="n"/>
      <c r="G394" s="870" t="n"/>
      <c r="H394" s="870" t="n"/>
      <c r="I394" s="870" t="n"/>
      <c r="J394" s="870" t="n"/>
      <c r="K394" s="870" t="n"/>
      <c r="L394" s="870" t="n"/>
      <c r="M394" s="870" t="n"/>
      <c r="N394" s="870" t="n"/>
      <c r="O394" s="954" t="inlineStr">
        <is>
          <t>TOTAL</t>
        </is>
      </c>
    </row>
    <row r="395" outlineLevel="1" ht="16" customHeight="1">
      <c r="A395" s="952" t="inlineStr">
        <is>
          <t xml:space="preserve">  ▸ LOT INFORMATION</t>
        </is>
      </c>
      <c r="B395" s="870" t="n"/>
      <c r="C395" s="870" t="n"/>
      <c r="D395" s="870" t="n"/>
      <c r="E395" s="870" t="n"/>
      <c r="F395" s="870" t="n"/>
      <c r="G395" s="870" t="n"/>
      <c r="H395" s="870" t="n"/>
      <c r="I395" s="870" t="n"/>
      <c r="J395" s="870" t="n"/>
      <c r="K395" s="870" t="n"/>
      <c r="L395" s="870" t="n"/>
      <c r="M395" s="870" t="n"/>
      <c r="N395" s="870" t="n"/>
      <c r="O395" s="870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955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955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955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57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955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955" t="inlineStr">
        <is>
          <t>–</t>
        </is>
      </c>
    </row>
    <row r="402" outlineLevel="1" ht="16" customHeight="1">
      <c r="A402" s="952" t="inlineStr">
        <is>
          <t xml:space="preserve">  ▸ FINANCIALS</t>
        </is>
      </c>
      <c r="B402" s="870" t="n"/>
      <c r="C402" s="870" t="n"/>
      <c r="D402" s="870" t="n"/>
      <c r="E402" s="870" t="n"/>
      <c r="F402" s="870" t="n"/>
      <c r="G402" s="870" t="n"/>
      <c r="H402" s="870" t="n"/>
      <c r="I402" s="870" t="n"/>
      <c r="J402" s="870" t="n"/>
      <c r="K402" s="870" t="n"/>
      <c r="L402" s="870" t="n"/>
      <c r="M402" s="870" t="n"/>
      <c r="N402" s="870" t="n"/>
      <c r="O402" s="870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59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59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59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59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0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0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0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0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59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955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59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59">
        <f>SUM(B414:N414)</f>
        <v/>
      </c>
    </row>
    <row r="415" outlineLevel="1" ht="16" customHeight="1">
      <c r="A415" s="952" t="inlineStr">
        <is>
          <t xml:space="preserve">  ▸ SECURITY DEPOSIT</t>
        </is>
      </c>
      <c r="B415" s="870" t="n"/>
      <c r="C415" s="870" t="n"/>
      <c r="D415" s="870" t="n"/>
      <c r="E415" s="870" t="n"/>
      <c r="F415" s="870" t="n"/>
      <c r="G415" s="870" t="n"/>
      <c r="H415" s="870" t="n"/>
      <c r="I415" s="870" t="n"/>
      <c r="J415" s="870" t="n"/>
      <c r="K415" s="870" t="n"/>
      <c r="L415" s="870" t="n"/>
      <c r="M415" s="870" t="n"/>
      <c r="N415" s="870" t="n"/>
      <c r="O415" s="870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59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59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955" t="inlineStr">
        <is>
          <t>–</t>
        </is>
      </c>
    </row>
    <row r="419" outlineLevel="1" ht="16" customHeight="1">
      <c r="A419" s="952" t="inlineStr">
        <is>
          <t xml:space="preserve">  ▸ FINAL PAYMENT</t>
        </is>
      </c>
      <c r="B419" s="870" t="n"/>
      <c r="C419" s="870" t="n"/>
      <c r="D419" s="870" t="n"/>
      <c r="E419" s="870" t="n"/>
      <c r="F419" s="870" t="n"/>
      <c r="G419" s="870" t="n"/>
      <c r="H419" s="870" t="n"/>
      <c r="I419" s="870" t="n"/>
      <c r="J419" s="870" t="n"/>
      <c r="K419" s="870" t="n"/>
      <c r="L419" s="870" t="n"/>
      <c r="M419" s="870" t="n"/>
      <c r="N419" s="870" t="n"/>
      <c r="O419" s="870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59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59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955" t="inlineStr">
        <is>
          <t>–</t>
        </is>
      </c>
    </row>
    <row r="423" outlineLevel="1" ht="16" customHeight="1">
      <c r="A423" s="952" t="inlineStr">
        <is>
          <t xml:space="preserve">  ▸ LPP</t>
        </is>
      </c>
      <c r="B423" s="870" t="n"/>
      <c r="C423" s="870" t="n"/>
      <c r="D423" s="870" t="n"/>
      <c r="E423" s="870" t="n"/>
      <c r="F423" s="870" t="n"/>
      <c r="G423" s="870" t="n"/>
      <c r="H423" s="870" t="n"/>
      <c r="I423" s="870" t="n"/>
      <c r="J423" s="870" t="n"/>
      <c r="K423" s="870" t="n"/>
      <c r="L423" s="870" t="n"/>
      <c r="M423" s="870" t="n"/>
      <c r="N423" s="870" t="n"/>
      <c r="O423" s="870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59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59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955" t="inlineStr">
        <is>
          <t>–</t>
        </is>
      </c>
    </row>
    <row r="427" outlineLevel="1" ht="16" customHeight="1">
      <c r="A427" s="952" t="inlineStr">
        <is>
          <t xml:space="preserve">  ▸ SUMMARY</t>
        </is>
      </c>
      <c r="B427" s="870" t="n"/>
      <c r="C427" s="870" t="n"/>
      <c r="D427" s="870" t="n"/>
      <c r="E427" s="870" t="n"/>
      <c r="F427" s="870" t="n"/>
      <c r="G427" s="870" t="n"/>
      <c r="H427" s="870" t="n"/>
      <c r="I427" s="870" t="n"/>
      <c r="J427" s="870" t="n"/>
      <c r="K427" s="870" t="n"/>
      <c r="L427" s="870" t="n"/>
      <c r="M427" s="870" t="n"/>
      <c r="N427" s="870" t="n"/>
      <c r="O427" s="870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59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59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955" t="inlineStr">
        <is>
          <t>–</t>
        </is>
      </c>
    </row>
    <row r="431" outlineLevel="1" ht="16" customHeight="1">
      <c r="A431" s="952" t="inlineStr">
        <is>
          <t xml:space="preserve">  ▸ DOCUMENT</t>
        </is>
      </c>
      <c r="B431" s="870" t="n"/>
      <c r="C431" s="870" t="n"/>
      <c r="D431" s="870" t="n"/>
      <c r="E431" s="870" t="n"/>
      <c r="F431" s="870" t="n"/>
      <c r="G431" s="870" t="n"/>
      <c r="H431" s="870" t="n"/>
      <c r="I431" s="870" t="n"/>
      <c r="J431" s="870" t="n"/>
      <c r="K431" s="870" t="n"/>
      <c r="L431" s="870" t="n"/>
      <c r="M431" s="870" t="n"/>
      <c r="N431" s="870" t="n"/>
      <c r="O431" s="870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955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955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955" t="inlineStr">
        <is>
          <t>–</t>
        </is>
      </c>
    </row>
    <row r="435" ht="7" customHeight="1">
      <c r="A435" s="866" t="n"/>
      <c r="B435" s="866" t="n"/>
      <c r="C435" s="866" t="n"/>
      <c r="D435" s="866" t="n"/>
      <c r="E435" s="866" t="n"/>
      <c r="F435" s="866" t="n"/>
      <c r="G435" s="866" t="n"/>
      <c r="H435" s="866" t="n"/>
      <c r="I435" s="866" t="n"/>
      <c r="J435" s="866" t="n"/>
      <c r="K435" s="866" t="n"/>
      <c r="L435" s="866" t="n"/>
      <c r="M435" s="866" t="n"/>
      <c r="N435" s="866" t="n"/>
      <c r="O435" s="866" t="n"/>
    </row>
    <row r="436" ht="24" customHeight="1">
      <c r="A436" s="877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962" t="inlineStr">
        <is>
          <t xml:space="preserve">   Lot No. →</t>
        </is>
      </c>
      <c r="B437" s="963">
        <f>IF('Final Calculation Sheet'!$F$9="","",'Final Calculation Sheet'!$F$9)</f>
        <v/>
      </c>
      <c r="C437" s="963">
        <f>IF('Final Calculation Sheet'!$F$14="","",'Final Calculation Sheet'!$F$14)</f>
        <v/>
      </c>
      <c r="D437" s="880" t="n"/>
      <c r="E437" s="880" t="n"/>
      <c r="F437" s="880" t="n"/>
      <c r="G437" s="880" t="n"/>
      <c r="H437" s="880" t="n"/>
      <c r="I437" s="880" t="n"/>
      <c r="J437" s="880" t="n"/>
      <c r="K437" s="880" t="n"/>
      <c r="L437" s="880" t="n"/>
      <c r="M437" s="880" t="n"/>
      <c r="N437" s="880" t="n"/>
      <c r="O437" s="964" t="inlineStr">
        <is>
          <t>TOTAL</t>
        </is>
      </c>
    </row>
    <row r="438" outlineLevel="1" ht="16" customHeight="1">
      <c r="A438" s="962" t="inlineStr">
        <is>
          <t xml:space="preserve">  ▸ LOT INFORMATION</t>
        </is>
      </c>
      <c r="B438" s="880" t="n"/>
      <c r="C438" s="880" t="n"/>
      <c r="D438" s="880" t="n"/>
      <c r="E438" s="880" t="n"/>
      <c r="F438" s="880" t="n"/>
      <c r="G438" s="880" t="n"/>
      <c r="H438" s="880" t="n"/>
      <c r="I438" s="880" t="n"/>
      <c r="J438" s="880" t="n"/>
      <c r="K438" s="880" t="n"/>
      <c r="L438" s="880" t="n"/>
      <c r="M438" s="880" t="n"/>
      <c r="N438" s="880" t="n"/>
      <c r="O438" s="880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017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965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018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965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017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965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019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966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020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965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017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965" t="inlineStr">
        <is>
          <t>–</t>
        </is>
      </c>
    </row>
    <row r="445" outlineLevel="1" ht="16" customHeight="1">
      <c r="A445" s="962" t="inlineStr">
        <is>
          <t xml:space="preserve">  ▸ FINANCIALS</t>
        </is>
      </c>
      <c r="B445" s="880" t="n"/>
      <c r="C445" s="880" t="n"/>
      <c r="D445" s="880" t="n"/>
      <c r="E445" s="880" t="n"/>
      <c r="F445" s="880" t="n"/>
      <c r="G445" s="880" t="n"/>
      <c r="H445" s="880" t="n"/>
      <c r="I445" s="880" t="n"/>
      <c r="J445" s="880" t="n"/>
      <c r="K445" s="880" t="n"/>
      <c r="L445" s="880" t="n"/>
      <c r="M445" s="880" t="n"/>
      <c r="N445" s="880" t="n"/>
      <c r="O445" s="880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017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967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017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967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017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967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017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967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021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968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021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968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021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968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021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968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017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967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022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965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017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967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017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967">
        <f>SUM(B457:N457)</f>
        <v/>
      </c>
    </row>
    <row r="458" outlineLevel="1" ht="16" customHeight="1">
      <c r="A458" s="962" t="inlineStr">
        <is>
          <t xml:space="preserve">  ▸ SECURITY DEPOSIT</t>
        </is>
      </c>
      <c r="B458" s="880" t="n"/>
      <c r="C458" s="880" t="n"/>
      <c r="D458" s="880" t="n"/>
      <c r="E458" s="880" t="n"/>
      <c r="F458" s="880" t="n"/>
      <c r="G458" s="880" t="n"/>
      <c r="H458" s="880" t="n"/>
      <c r="I458" s="880" t="n"/>
      <c r="J458" s="880" t="n"/>
      <c r="K458" s="880" t="n"/>
      <c r="L458" s="880" t="n"/>
      <c r="M458" s="880" t="n"/>
      <c r="N458" s="880" t="n"/>
      <c r="O458" s="880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017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967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017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967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020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965" t="inlineStr">
        <is>
          <t>–</t>
        </is>
      </c>
    </row>
    <row r="462" outlineLevel="1" ht="16" customHeight="1">
      <c r="A462" s="962" t="inlineStr">
        <is>
          <t xml:space="preserve">  ▸ FINAL PAYMENT</t>
        </is>
      </c>
      <c r="B462" s="880" t="n"/>
      <c r="C462" s="880" t="n"/>
      <c r="D462" s="880" t="n"/>
      <c r="E462" s="880" t="n"/>
      <c r="F462" s="880" t="n"/>
      <c r="G462" s="880" t="n"/>
      <c r="H462" s="880" t="n"/>
      <c r="I462" s="880" t="n"/>
      <c r="J462" s="880" t="n"/>
      <c r="K462" s="880" t="n"/>
      <c r="L462" s="880" t="n"/>
      <c r="M462" s="880" t="n"/>
      <c r="N462" s="880" t="n"/>
      <c r="O462" s="880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017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967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017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967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020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965" t="inlineStr">
        <is>
          <t>–</t>
        </is>
      </c>
    </row>
    <row r="466" outlineLevel="1" ht="16" customHeight="1">
      <c r="A466" s="962" t="inlineStr">
        <is>
          <t xml:space="preserve">  ▸ LPP</t>
        </is>
      </c>
      <c r="B466" s="880" t="n"/>
      <c r="C466" s="880" t="n"/>
      <c r="D466" s="880" t="n"/>
      <c r="E466" s="880" t="n"/>
      <c r="F466" s="880" t="n"/>
      <c r="G466" s="880" t="n"/>
      <c r="H466" s="880" t="n"/>
      <c r="I466" s="880" t="n"/>
      <c r="J466" s="880" t="n"/>
      <c r="K466" s="880" t="n"/>
      <c r="L466" s="880" t="n"/>
      <c r="M466" s="880" t="n"/>
      <c r="N466" s="880" t="n"/>
      <c r="O466" s="880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017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967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017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967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020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965" t="inlineStr">
        <is>
          <t>–</t>
        </is>
      </c>
    </row>
    <row r="470" outlineLevel="1" ht="16" customHeight="1">
      <c r="A470" s="962" t="inlineStr">
        <is>
          <t xml:space="preserve">  ▸ SUMMARY</t>
        </is>
      </c>
      <c r="B470" s="880" t="n"/>
      <c r="C470" s="880" t="n"/>
      <c r="D470" s="880" t="n"/>
      <c r="E470" s="880" t="n"/>
      <c r="F470" s="880" t="n"/>
      <c r="G470" s="880" t="n"/>
      <c r="H470" s="880" t="n"/>
      <c r="I470" s="880" t="n"/>
      <c r="J470" s="880" t="n"/>
      <c r="K470" s="880" t="n"/>
      <c r="L470" s="880" t="n"/>
      <c r="M470" s="880" t="n"/>
      <c r="N470" s="880" t="n"/>
      <c r="O470" s="880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017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967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017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967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023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965" t="inlineStr">
        <is>
          <t>–</t>
        </is>
      </c>
    </row>
    <row r="474" outlineLevel="1" ht="16" customHeight="1">
      <c r="A474" s="962" t="inlineStr">
        <is>
          <t xml:space="preserve">  ▸ DOCUMENT</t>
        </is>
      </c>
      <c r="B474" s="880" t="n"/>
      <c r="C474" s="880" t="n"/>
      <c r="D474" s="880" t="n"/>
      <c r="E474" s="880" t="n"/>
      <c r="F474" s="880" t="n"/>
      <c r="G474" s="880" t="n"/>
      <c r="H474" s="880" t="n"/>
      <c r="I474" s="880" t="n"/>
      <c r="J474" s="880" t="n"/>
      <c r="K474" s="880" t="n"/>
      <c r="L474" s="880" t="n"/>
      <c r="M474" s="880" t="n"/>
      <c r="N474" s="880" t="n"/>
      <c r="O474" s="880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020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965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017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965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020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965" t="inlineStr">
        <is>
          <t>–</t>
        </is>
      </c>
    </row>
    <row r="478" ht="7" customHeight="1">
      <c r="A478" s="866" t="n"/>
      <c r="B478" s="866" t="n"/>
      <c r="C478" s="866" t="n"/>
      <c r="D478" s="866" t="n"/>
      <c r="E478" s="866" t="n"/>
      <c r="F478" s="866" t="n"/>
      <c r="G478" s="866" t="n"/>
      <c r="H478" s="866" t="n"/>
      <c r="I478" s="866" t="n"/>
      <c r="J478" s="866" t="n"/>
      <c r="K478" s="866" t="n"/>
      <c r="L478" s="866" t="n"/>
      <c r="M478" s="866" t="n"/>
      <c r="N478" s="866" t="n"/>
      <c r="O478" s="866" t="n"/>
    </row>
    <row r="479" ht="24" customHeight="1">
      <c r="A479" s="887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969" t="inlineStr">
        <is>
          <t xml:space="preserve">   Lot No. →</t>
        </is>
      </c>
      <c r="B480" s="970">
        <f>IF('Final Calculation Sheet'!$F$13="","",'Final Calculation Sheet'!$F$13)</f>
        <v/>
      </c>
      <c r="C480" s="970">
        <f>IF('Final Calculation Sheet'!$F$16="","",'Final Calculation Sheet'!$F$16)</f>
        <v/>
      </c>
      <c r="D480" s="970">
        <f>IF('Final Calculation Sheet'!$F$17="","",'Final Calculation Sheet'!$F$17)</f>
        <v/>
      </c>
      <c r="E480" s="970">
        <f>IF('Final Calculation Sheet'!$F$23="","",'Final Calculation Sheet'!$F$23)</f>
        <v/>
      </c>
      <c r="F480" s="970">
        <f>IF('Final Calculation Sheet'!$F$29="","",'Final Calculation Sheet'!$F$29)</f>
        <v/>
      </c>
      <c r="G480" s="970">
        <f>IF('Final Calculation Sheet'!$F$34="","",'Final Calculation Sheet'!$F$34)</f>
        <v/>
      </c>
      <c r="H480" s="970">
        <f>IF('Final Calculation Sheet'!$F$36="","",'Final Calculation Sheet'!$F$36)</f>
        <v/>
      </c>
      <c r="I480" s="890" t="n"/>
      <c r="J480" s="890" t="n"/>
      <c r="K480" s="890" t="n"/>
      <c r="L480" s="890" t="n"/>
      <c r="M480" s="890" t="n"/>
      <c r="N480" s="890" t="n"/>
      <c r="O480" s="971" t="inlineStr">
        <is>
          <t>TOTAL</t>
        </is>
      </c>
    </row>
    <row r="481" outlineLevel="1" ht="16" customHeight="1">
      <c r="A481" s="969" t="inlineStr">
        <is>
          <t xml:space="preserve">  ▸ LOT INFORMATION</t>
        </is>
      </c>
      <c r="B481" s="890" t="n"/>
      <c r="C481" s="890" t="n"/>
      <c r="D481" s="890" t="n"/>
      <c r="E481" s="890" t="n"/>
      <c r="F481" s="890" t="n"/>
      <c r="G481" s="890" t="n"/>
      <c r="H481" s="890" t="n"/>
      <c r="I481" s="890" t="n"/>
      <c r="J481" s="890" t="n"/>
      <c r="K481" s="890" t="n"/>
      <c r="L481" s="890" t="n"/>
      <c r="M481" s="890" t="n"/>
      <c r="N481" s="890" t="n"/>
      <c r="O481" s="890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774">
        <f>IF('Final Calculation Sheet'!$F$16="","",'Final Calculation Sheet'!$F$16)</f>
        <v/>
      </c>
      <c r="D482" s="70">
        <f>IF('Final Calculation Sheet'!$F$17="","",'Final Calculation Sheet'!$F$17)</f>
        <v/>
      </c>
      <c r="E482" s="774">
        <f>IF('Final Calculation Sheet'!$F$23="","",'Final Calculation Sheet'!$F$23)</f>
        <v/>
      </c>
      <c r="F482" s="70">
        <f>IF('Final Calculation Sheet'!$F$29="","",'Final Calculation Sheet'!$F$29)</f>
        <v/>
      </c>
      <c r="G482" s="774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972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024">
        <f>IF('Final Calculation Sheet'!$B$16="","",'Final Calculation Sheet'!$B$16)</f>
        <v/>
      </c>
      <c r="D483" s="73">
        <f>IF('Final Calculation Sheet'!$B$17="","",'Final Calculation Sheet'!$B$17)</f>
        <v/>
      </c>
      <c r="E483" s="1024">
        <f>IF('Final Calculation Sheet'!$B$23="","",'Final Calculation Sheet'!$B$23)</f>
        <v/>
      </c>
      <c r="F483" s="73">
        <f>IF('Final Calculation Sheet'!$B$29="","",'Final Calculation Sheet'!$B$29)</f>
        <v/>
      </c>
      <c r="G483" s="1024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972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774">
        <f>IF('Final Calculation Sheet'!$D$16="","",'Final Calculation Sheet'!$D$16)</f>
        <v/>
      </c>
      <c r="D484" s="70">
        <f>IF('Final Calculation Sheet'!$D$17="","",'Final Calculation Sheet'!$D$17)</f>
        <v/>
      </c>
      <c r="E484" s="774">
        <f>IF('Final Calculation Sheet'!$D$23="","",'Final Calculation Sheet'!$D$23)</f>
        <v/>
      </c>
      <c r="F484" s="70">
        <f>IF('Final Calculation Sheet'!$D$29="","",'Final Calculation Sheet'!$D$29)</f>
        <v/>
      </c>
      <c r="G484" s="774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972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792">
        <f>IF('Final Calculation Sheet'!$A$16="","",'Final Calculation Sheet'!$A$16)</f>
        <v/>
      </c>
      <c r="D485" s="74">
        <f>IF('Final Calculation Sheet'!$A$17="","",'Final Calculation Sheet'!$A$17)</f>
        <v/>
      </c>
      <c r="E485" s="792">
        <f>IF('Final Calculation Sheet'!$A$23="","",'Final Calculation Sheet'!$A$23)</f>
        <v/>
      </c>
      <c r="F485" s="74">
        <f>IF('Final Calculation Sheet'!$A$29="","",'Final Calculation Sheet'!$A$29)</f>
        <v/>
      </c>
      <c r="G485" s="792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973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025">
        <f>IF('Final Calculation Sheet'!$E$16="","",'Final Calculation Sheet'!$E$16)</f>
        <v/>
      </c>
      <c r="D486" s="76">
        <f>IF('Final Calculation Sheet'!$E$17="","",'Final Calculation Sheet'!$E$17)</f>
        <v/>
      </c>
      <c r="E486" s="1025">
        <f>IF('Final Calculation Sheet'!$E$23="","",'Final Calculation Sheet'!$E$23)</f>
        <v/>
      </c>
      <c r="F486" s="76">
        <f>IF('Final Calculation Sheet'!$E$29="","",'Final Calculation Sheet'!$E$29)</f>
        <v/>
      </c>
      <c r="G486" s="1025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972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774">
        <f>IF('Final Calculation Sheet'!$C$16="","",'Final Calculation Sheet'!$C$16)</f>
        <v/>
      </c>
      <c r="D487" s="70">
        <f>IF('Final Calculation Sheet'!$C$17="","",'Final Calculation Sheet'!$C$17)</f>
        <v/>
      </c>
      <c r="E487" s="774">
        <f>IF('Final Calculation Sheet'!$C$23="","",'Final Calculation Sheet'!$C$23)</f>
        <v/>
      </c>
      <c r="F487" s="70">
        <f>IF('Final Calculation Sheet'!$C$29="","",'Final Calculation Sheet'!$C$29)</f>
        <v/>
      </c>
      <c r="G487" s="774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972" t="inlineStr">
        <is>
          <t>–</t>
        </is>
      </c>
    </row>
    <row r="488" outlineLevel="1" ht="16" customHeight="1">
      <c r="A488" s="969" t="inlineStr">
        <is>
          <t xml:space="preserve">  ▸ FINANCIALS</t>
        </is>
      </c>
      <c r="B488" s="890" t="n"/>
      <c r="C488" s="890" t="n"/>
      <c r="D488" s="890" t="n"/>
      <c r="E488" s="890" t="n"/>
      <c r="F488" s="890" t="n"/>
      <c r="G488" s="890" t="n"/>
      <c r="H488" s="890" t="n"/>
      <c r="I488" s="890" t="n"/>
      <c r="J488" s="890" t="n"/>
      <c r="K488" s="890" t="n"/>
      <c r="L488" s="890" t="n"/>
      <c r="M488" s="890" t="n"/>
      <c r="N488" s="890" t="n"/>
      <c r="O488" s="890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774">
        <f>IF('Final Calculation Sheet'!$H$16="","",'Final Calculation Sheet'!$H$16)</f>
        <v/>
      </c>
      <c r="D489" s="70">
        <f>IF('Final Calculation Sheet'!$H$17="","",'Final Calculation Sheet'!$H$17)</f>
        <v/>
      </c>
      <c r="E489" s="774">
        <f>IF('Final Calculation Sheet'!$H$23="","",'Final Calculation Sheet'!$H$23)</f>
        <v/>
      </c>
      <c r="F489" s="70">
        <f>IF('Final Calculation Sheet'!$H$29="","",'Final Calculation Sheet'!$H$29)</f>
        <v/>
      </c>
      <c r="G489" s="774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974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774">
        <f>IF('Final Calculation Sheet'!$I$16="","",'Final Calculation Sheet'!$I$16)</f>
        <v/>
      </c>
      <c r="D490" s="70">
        <f>IF('Final Calculation Sheet'!$I$17="","",'Final Calculation Sheet'!$I$17)</f>
        <v/>
      </c>
      <c r="E490" s="774">
        <f>IF('Final Calculation Sheet'!$I$23="","",'Final Calculation Sheet'!$I$23)</f>
        <v/>
      </c>
      <c r="F490" s="70">
        <f>IF('Final Calculation Sheet'!$I$29="","",'Final Calculation Sheet'!$I$29)</f>
        <v/>
      </c>
      <c r="G490" s="774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974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774">
        <f>IF('Final Calculation Sheet'!$J$16="","",'Final Calculation Sheet'!$J$16)</f>
        <v/>
      </c>
      <c r="D491" s="70">
        <f>IF('Final Calculation Sheet'!$J$17="","",'Final Calculation Sheet'!$J$17)</f>
        <v/>
      </c>
      <c r="E491" s="774">
        <f>IF('Final Calculation Sheet'!$J$23="","",'Final Calculation Sheet'!$J$23)</f>
        <v/>
      </c>
      <c r="F491" s="70">
        <f>IF('Final Calculation Sheet'!$J$29="","",'Final Calculation Sheet'!$J$29)</f>
        <v/>
      </c>
      <c r="G491" s="774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974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774">
        <f>IF('Final Calculation Sheet'!$K$16="","",'Final Calculation Sheet'!$K$16)</f>
        <v/>
      </c>
      <c r="D492" s="70">
        <f>IF('Final Calculation Sheet'!$K$17="","",'Final Calculation Sheet'!$K$17)</f>
        <v/>
      </c>
      <c r="E492" s="774">
        <f>IF('Final Calculation Sheet'!$K$23="","",'Final Calculation Sheet'!$K$23)</f>
        <v/>
      </c>
      <c r="F492" s="70">
        <f>IF('Final Calculation Sheet'!$K$29="","",'Final Calculation Sheet'!$K$29)</f>
        <v/>
      </c>
      <c r="G492" s="774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974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802">
        <f>IF('Final Calculation Sheet'!$L$16="","",'Final Calculation Sheet'!$L$16)</f>
        <v/>
      </c>
      <c r="D493" s="78">
        <f>IF('Final Calculation Sheet'!$L$17="","",'Final Calculation Sheet'!$L$17)</f>
        <v/>
      </c>
      <c r="E493" s="802">
        <f>IF('Final Calculation Sheet'!$L$23="","",'Final Calculation Sheet'!$L$23)</f>
        <v/>
      </c>
      <c r="F493" s="78">
        <f>IF('Final Calculation Sheet'!$L$29="","",'Final Calculation Sheet'!$L$29)</f>
        <v/>
      </c>
      <c r="G493" s="802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975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802">
        <f>IF('Final Calculation Sheet'!$M$16="","",'Final Calculation Sheet'!$M$16)</f>
        <v/>
      </c>
      <c r="D494" s="78">
        <f>IF('Final Calculation Sheet'!$M$17="","",'Final Calculation Sheet'!$M$17)</f>
        <v/>
      </c>
      <c r="E494" s="802">
        <f>IF('Final Calculation Sheet'!$M$23="","",'Final Calculation Sheet'!$M$23)</f>
        <v/>
      </c>
      <c r="F494" s="78">
        <f>IF('Final Calculation Sheet'!$M$29="","",'Final Calculation Sheet'!$M$29)</f>
        <v/>
      </c>
      <c r="G494" s="802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975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802">
        <f>IF('Final Calculation Sheet'!$N$16="","",'Final Calculation Sheet'!$N$16)</f>
        <v/>
      </c>
      <c r="D495" s="78">
        <f>IF('Final Calculation Sheet'!$N$17="","",'Final Calculation Sheet'!$N$17)</f>
        <v/>
      </c>
      <c r="E495" s="802">
        <f>IF('Final Calculation Sheet'!$N$23="","",'Final Calculation Sheet'!$N$23)</f>
        <v/>
      </c>
      <c r="F495" s="78">
        <f>IF('Final Calculation Sheet'!$N$29="","",'Final Calculation Sheet'!$N$29)</f>
        <v/>
      </c>
      <c r="G495" s="802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975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802">
        <f>IF('Final Calculation Sheet'!$O$16="","",'Final Calculation Sheet'!$O$16)</f>
        <v/>
      </c>
      <c r="D496" s="78">
        <f>IF('Final Calculation Sheet'!$O$17="","",'Final Calculation Sheet'!$O$17)</f>
        <v/>
      </c>
      <c r="E496" s="802">
        <f>IF('Final Calculation Sheet'!$O$23="","",'Final Calculation Sheet'!$O$23)</f>
        <v/>
      </c>
      <c r="F496" s="78">
        <f>IF('Final Calculation Sheet'!$O$29="","",'Final Calculation Sheet'!$O$29)</f>
        <v/>
      </c>
      <c r="G496" s="802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975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774">
        <f>IF('Final Calculation Sheet'!$P$16="","",'Final Calculation Sheet'!$P$16)</f>
        <v/>
      </c>
      <c r="D497" s="70">
        <f>IF('Final Calculation Sheet'!$P$17="","",'Final Calculation Sheet'!$P$17)</f>
        <v/>
      </c>
      <c r="E497" s="774">
        <f>IF('Final Calculation Sheet'!$P$23="","",'Final Calculation Sheet'!$P$23)</f>
        <v/>
      </c>
      <c r="F497" s="70">
        <f>IF('Final Calculation Sheet'!$P$29="","",'Final Calculation Sheet'!$P$29)</f>
        <v/>
      </c>
      <c r="G497" s="774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974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026">
        <f>IF('Final Calculation Sheet'!$Q$16="","",'Final Calculation Sheet'!$Q$16)</f>
        <v/>
      </c>
      <c r="D498" s="80">
        <f>IF('Final Calculation Sheet'!$Q$17="","",'Final Calculation Sheet'!$Q$17)</f>
        <v/>
      </c>
      <c r="E498" s="1026">
        <f>IF('Final Calculation Sheet'!$Q$23="","",'Final Calculation Sheet'!$Q$23)</f>
        <v/>
      </c>
      <c r="F498" s="80">
        <f>IF('Final Calculation Sheet'!$Q$29="","",'Final Calculation Sheet'!$Q$29)</f>
        <v/>
      </c>
      <c r="G498" s="102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972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774">
        <f>IF('Final Calculation Sheet'!$R$16="","",'Final Calculation Sheet'!$R$16)</f>
        <v/>
      </c>
      <c r="D499" s="70">
        <f>IF('Final Calculation Sheet'!$R$17="","",'Final Calculation Sheet'!$R$17)</f>
        <v/>
      </c>
      <c r="E499" s="774">
        <f>IF('Final Calculation Sheet'!$R$23="","",'Final Calculation Sheet'!$R$23)</f>
        <v/>
      </c>
      <c r="F499" s="70">
        <f>IF('Final Calculation Sheet'!$R$29="","",'Final Calculation Sheet'!$R$29)</f>
        <v/>
      </c>
      <c r="G499" s="774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974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774">
        <f>IF('Final Calculation Sheet'!$S$16="","",'Final Calculation Sheet'!$S$16)</f>
        <v/>
      </c>
      <c r="D500" s="70">
        <f>IF('Final Calculation Sheet'!$S$17="","",'Final Calculation Sheet'!$S$17)</f>
        <v/>
      </c>
      <c r="E500" s="774">
        <f>IF('Final Calculation Sheet'!$S$23="","",'Final Calculation Sheet'!$S$23)</f>
        <v/>
      </c>
      <c r="F500" s="70">
        <f>IF('Final Calculation Sheet'!$S$29="","",'Final Calculation Sheet'!$S$29)</f>
        <v/>
      </c>
      <c r="G500" s="774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974">
        <f>SUM(B500:N500)</f>
        <v/>
      </c>
    </row>
    <row r="501" outlineLevel="1" ht="16" customHeight="1">
      <c r="A501" s="969" t="inlineStr">
        <is>
          <t xml:space="preserve">  ▸ SECURITY DEPOSIT</t>
        </is>
      </c>
      <c r="B501" s="890" t="n"/>
      <c r="C501" s="890" t="n"/>
      <c r="D501" s="890" t="n"/>
      <c r="E501" s="890" t="n"/>
      <c r="F501" s="890" t="n"/>
      <c r="G501" s="890" t="n"/>
      <c r="H501" s="890" t="n"/>
      <c r="I501" s="890" t="n"/>
      <c r="J501" s="890" t="n"/>
      <c r="K501" s="890" t="n"/>
      <c r="L501" s="890" t="n"/>
      <c r="M501" s="890" t="n"/>
      <c r="N501" s="890" t="n"/>
      <c r="O501" s="890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774">
        <f>IF('Final Calculation Sheet'!$T$16="","",'Final Calculation Sheet'!$T$16)</f>
        <v/>
      </c>
      <c r="D502" s="70">
        <f>IF('Final Calculation Sheet'!$T$17="","",'Final Calculation Sheet'!$T$17)</f>
        <v/>
      </c>
      <c r="E502" s="774">
        <f>IF('Final Calculation Sheet'!$T$23="","",'Final Calculation Sheet'!$T$23)</f>
        <v/>
      </c>
      <c r="F502" s="70">
        <f>IF('Final Calculation Sheet'!$T$29="","",'Final Calculation Sheet'!$T$29)</f>
        <v/>
      </c>
      <c r="G502" s="774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974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774">
        <f>IF('Final Calculation Sheet'!$U$16="","",'Final Calculation Sheet'!$U$16)</f>
        <v/>
      </c>
      <c r="D503" s="70">
        <f>IF('Final Calculation Sheet'!$U$17="","",'Final Calculation Sheet'!$U$17)</f>
        <v/>
      </c>
      <c r="E503" s="774">
        <f>IF('Final Calculation Sheet'!$U$23="","",'Final Calculation Sheet'!$U$23)</f>
        <v/>
      </c>
      <c r="F503" s="70">
        <f>IF('Final Calculation Sheet'!$U$29="","",'Final Calculation Sheet'!$U$29)</f>
        <v/>
      </c>
      <c r="G503" s="774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974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025">
        <f>IF('Final Calculation Sheet'!$V$16="","",'Final Calculation Sheet'!$V$16)</f>
        <v/>
      </c>
      <c r="D504" s="76">
        <f>IF('Final Calculation Sheet'!$V$17="","",'Final Calculation Sheet'!$V$17)</f>
        <v/>
      </c>
      <c r="E504" s="1025">
        <f>IF('Final Calculation Sheet'!$V$23="","",'Final Calculation Sheet'!$V$23)</f>
        <v/>
      </c>
      <c r="F504" s="76">
        <f>IF('Final Calculation Sheet'!$V$29="","",'Final Calculation Sheet'!$V$29)</f>
        <v/>
      </c>
      <c r="G504" s="1025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972" t="inlineStr">
        <is>
          <t>–</t>
        </is>
      </c>
    </row>
    <row r="505" outlineLevel="1" ht="16" customHeight="1">
      <c r="A505" s="969" t="inlineStr">
        <is>
          <t xml:space="preserve">  ▸ FINAL PAYMENT</t>
        </is>
      </c>
      <c r="B505" s="890" t="n"/>
      <c r="C505" s="890" t="n"/>
      <c r="D505" s="890" t="n"/>
      <c r="E505" s="890" t="n"/>
      <c r="F505" s="890" t="n"/>
      <c r="G505" s="890" t="n"/>
      <c r="H505" s="890" t="n"/>
      <c r="I505" s="890" t="n"/>
      <c r="J505" s="890" t="n"/>
      <c r="K505" s="890" t="n"/>
      <c r="L505" s="890" t="n"/>
      <c r="M505" s="890" t="n"/>
      <c r="N505" s="890" t="n"/>
      <c r="O505" s="890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774">
        <f>IF('Final Calculation Sheet'!$W$16="","",'Final Calculation Sheet'!$W$16)</f>
        <v/>
      </c>
      <c r="D506" s="70">
        <f>IF('Final Calculation Sheet'!$W$17="","",'Final Calculation Sheet'!$W$17)</f>
        <v/>
      </c>
      <c r="E506" s="774">
        <f>IF('Final Calculation Sheet'!$W$23="","",'Final Calculation Sheet'!$W$23)</f>
        <v/>
      </c>
      <c r="F506" s="70">
        <f>IF('Final Calculation Sheet'!$W$29="","",'Final Calculation Sheet'!$W$29)</f>
        <v/>
      </c>
      <c r="G506" s="774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974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774">
        <f>IF('Final Calculation Sheet'!$X$16="","",'Final Calculation Sheet'!$X$16)</f>
        <v/>
      </c>
      <c r="D507" s="70">
        <f>IF('Final Calculation Sheet'!$X$17="","",'Final Calculation Sheet'!$X$17)</f>
        <v/>
      </c>
      <c r="E507" s="774">
        <f>IF('Final Calculation Sheet'!$X$23="","",'Final Calculation Sheet'!$X$23)</f>
        <v/>
      </c>
      <c r="F507" s="70">
        <f>IF('Final Calculation Sheet'!$X$29="","",'Final Calculation Sheet'!$X$29)</f>
        <v/>
      </c>
      <c r="G507" s="774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974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025">
        <f>IF('Final Calculation Sheet'!$Y$16="","",'Final Calculation Sheet'!$Y$16)</f>
        <v/>
      </c>
      <c r="D508" s="76">
        <f>IF('Final Calculation Sheet'!$Y$17="","",'Final Calculation Sheet'!$Y$17)</f>
        <v/>
      </c>
      <c r="E508" s="1025">
        <f>IF('Final Calculation Sheet'!$Y$23="","",'Final Calculation Sheet'!$Y$23)</f>
        <v/>
      </c>
      <c r="F508" s="76">
        <f>IF('Final Calculation Sheet'!$Y$29="","",'Final Calculation Sheet'!$Y$29)</f>
        <v/>
      </c>
      <c r="G508" s="1025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972" t="inlineStr">
        <is>
          <t>–</t>
        </is>
      </c>
    </row>
    <row r="509" outlineLevel="1" ht="16" customHeight="1">
      <c r="A509" s="969" t="inlineStr">
        <is>
          <t xml:space="preserve">  ▸ LPP</t>
        </is>
      </c>
      <c r="B509" s="890" t="n"/>
      <c r="C509" s="890" t="n"/>
      <c r="D509" s="890" t="n"/>
      <c r="E509" s="890" t="n"/>
      <c r="F509" s="890" t="n"/>
      <c r="G509" s="890" t="n"/>
      <c r="H509" s="890" t="n"/>
      <c r="I509" s="890" t="n"/>
      <c r="J509" s="890" t="n"/>
      <c r="K509" s="890" t="n"/>
      <c r="L509" s="890" t="n"/>
      <c r="M509" s="890" t="n"/>
      <c r="N509" s="890" t="n"/>
      <c r="O509" s="890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774">
        <f>IF('Final Calculation Sheet'!$Z$16="","",'Final Calculation Sheet'!$Z$16)</f>
        <v/>
      </c>
      <c r="D510" s="70">
        <f>IF('Final Calculation Sheet'!$Z$17="","",'Final Calculation Sheet'!$Z$17)</f>
        <v/>
      </c>
      <c r="E510" s="774">
        <f>IF('Final Calculation Sheet'!$Z$23="","",'Final Calculation Sheet'!$Z$23)</f>
        <v/>
      </c>
      <c r="F510" s="70">
        <f>IF('Final Calculation Sheet'!$Z$29="","",'Final Calculation Sheet'!$Z$29)</f>
        <v/>
      </c>
      <c r="G510" s="774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974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774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774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774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974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025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025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025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972" t="inlineStr">
        <is>
          <t>–</t>
        </is>
      </c>
    </row>
    <row r="513" outlineLevel="1" ht="16" customHeight="1">
      <c r="A513" s="969" t="inlineStr">
        <is>
          <t xml:space="preserve">  ▸ SUMMARY</t>
        </is>
      </c>
      <c r="B513" s="890" t="n"/>
      <c r="C513" s="890" t="n"/>
      <c r="D513" s="890" t="n"/>
      <c r="E513" s="890" t="n"/>
      <c r="F513" s="890" t="n"/>
      <c r="G513" s="890" t="n"/>
      <c r="H513" s="890" t="n"/>
      <c r="I513" s="890" t="n"/>
      <c r="J513" s="890" t="n"/>
      <c r="K513" s="890" t="n"/>
      <c r="L513" s="890" t="n"/>
      <c r="M513" s="890" t="n"/>
      <c r="N513" s="890" t="n"/>
      <c r="O513" s="890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774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774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774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974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774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774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774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974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782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782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782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972" t="inlineStr">
        <is>
          <t>–</t>
        </is>
      </c>
    </row>
    <row r="517" outlineLevel="1" ht="16" customHeight="1">
      <c r="A517" s="969" t="inlineStr">
        <is>
          <t xml:space="preserve">  ▸ DOCUMENT</t>
        </is>
      </c>
      <c r="B517" s="890" t="n"/>
      <c r="C517" s="890" t="n"/>
      <c r="D517" s="890" t="n"/>
      <c r="E517" s="890" t="n"/>
      <c r="F517" s="890" t="n"/>
      <c r="G517" s="890" t="n"/>
      <c r="H517" s="890" t="n"/>
      <c r="I517" s="890" t="n"/>
      <c r="J517" s="890" t="n"/>
      <c r="K517" s="890" t="n"/>
      <c r="L517" s="890" t="n"/>
      <c r="M517" s="890" t="n"/>
      <c r="N517" s="890" t="n"/>
      <c r="O517" s="890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025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025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025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972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774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774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774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972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025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025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025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972" t="inlineStr">
        <is>
          <t>–</t>
        </is>
      </c>
    </row>
    <row r="521" ht="7" customHeight="1">
      <c r="A521" s="866" t="n"/>
      <c r="B521" s="866" t="n"/>
      <c r="C521" s="866" t="n"/>
      <c r="D521" s="866" t="n"/>
      <c r="E521" s="866" t="n"/>
      <c r="F521" s="866" t="n"/>
      <c r="G521" s="866" t="n"/>
      <c r="H521" s="866" t="n"/>
      <c r="I521" s="866" t="n"/>
      <c r="J521" s="866" t="n"/>
      <c r="K521" s="866" t="n"/>
      <c r="L521" s="866" t="n"/>
      <c r="M521" s="866" t="n"/>
      <c r="N521" s="866" t="n"/>
      <c r="O521" s="866" t="n"/>
    </row>
    <row r="522" ht="24" customHeight="1">
      <c r="A522" s="89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976" t="inlineStr">
        <is>
          <t xml:space="preserve">   Lot No. →</t>
        </is>
      </c>
      <c r="B523" s="977">
        <f>IF('Final Calculation Sheet'!$F$25="","",'Final Calculation Sheet'!$F$25)</f>
        <v/>
      </c>
      <c r="C523" s="977">
        <f>IF('Final Calculation Sheet'!$F$28="","",'Final Calculation Sheet'!$F$28)</f>
        <v/>
      </c>
      <c r="D523" s="977">
        <f>IF('Final Calculation Sheet'!$F$35="","",'Final Calculation Sheet'!$F$35)</f>
        <v/>
      </c>
      <c r="E523" s="900" t="n"/>
      <c r="F523" s="900" t="n"/>
      <c r="G523" s="900" t="n"/>
      <c r="H523" s="900" t="n"/>
      <c r="I523" s="900" t="n"/>
      <c r="J523" s="900" t="n"/>
      <c r="K523" s="900" t="n"/>
      <c r="L523" s="900" t="n"/>
      <c r="M523" s="900" t="n"/>
      <c r="N523" s="900" t="n"/>
      <c r="O523" s="978" t="inlineStr">
        <is>
          <t>TOTAL</t>
        </is>
      </c>
    </row>
    <row r="524" outlineLevel="1" ht="16" customHeight="1">
      <c r="A524" s="976" t="inlineStr">
        <is>
          <t xml:space="preserve">  ▸ LOT INFORMATION</t>
        </is>
      </c>
      <c r="B524" s="900" t="n"/>
      <c r="C524" s="900" t="n"/>
      <c r="D524" s="900" t="n"/>
      <c r="E524" s="900" t="n"/>
      <c r="F524" s="900" t="n"/>
      <c r="G524" s="900" t="n"/>
      <c r="H524" s="900" t="n"/>
      <c r="I524" s="900" t="n"/>
      <c r="J524" s="900" t="n"/>
      <c r="K524" s="900" t="n"/>
      <c r="L524" s="900" t="n"/>
      <c r="M524" s="900" t="n"/>
      <c r="N524" s="900" t="n"/>
      <c r="O524" s="90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027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979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028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979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027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979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029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980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030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979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027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979" t="inlineStr">
        <is>
          <t>–</t>
        </is>
      </c>
    </row>
    <row r="531" outlineLevel="1" ht="16" customHeight="1">
      <c r="A531" s="976" t="inlineStr">
        <is>
          <t xml:space="preserve">  ▸ FINANCIALS</t>
        </is>
      </c>
      <c r="B531" s="900" t="n"/>
      <c r="C531" s="900" t="n"/>
      <c r="D531" s="900" t="n"/>
      <c r="E531" s="900" t="n"/>
      <c r="F531" s="900" t="n"/>
      <c r="G531" s="900" t="n"/>
      <c r="H531" s="900" t="n"/>
      <c r="I531" s="900" t="n"/>
      <c r="J531" s="900" t="n"/>
      <c r="K531" s="900" t="n"/>
      <c r="L531" s="900" t="n"/>
      <c r="M531" s="900" t="n"/>
      <c r="N531" s="900" t="n"/>
      <c r="O531" s="90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027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981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027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981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027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981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027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981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031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982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031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982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031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982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031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982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027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981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032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979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027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981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027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981">
        <f>SUM(B543:N543)</f>
        <v/>
      </c>
    </row>
    <row r="544" outlineLevel="1" ht="16" customHeight="1">
      <c r="A544" s="976" t="inlineStr">
        <is>
          <t xml:space="preserve">  ▸ SECURITY DEPOSIT</t>
        </is>
      </c>
      <c r="B544" s="900" t="n"/>
      <c r="C544" s="900" t="n"/>
      <c r="D544" s="900" t="n"/>
      <c r="E544" s="900" t="n"/>
      <c r="F544" s="900" t="n"/>
      <c r="G544" s="900" t="n"/>
      <c r="H544" s="900" t="n"/>
      <c r="I544" s="900" t="n"/>
      <c r="J544" s="900" t="n"/>
      <c r="K544" s="900" t="n"/>
      <c r="L544" s="900" t="n"/>
      <c r="M544" s="900" t="n"/>
      <c r="N544" s="900" t="n"/>
      <c r="O544" s="90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027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981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027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981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030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979" t="inlineStr">
        <is>
          <t>–</t>
        </is>
      </c>
    </row>
    <row r="548" outlineLevel="1" ht="16" customHeight="1">
      <c r="A548" s="976" t="inlineStr">
        <is>
          <t xml:space="preserve">  ▸ FINAL PAYMENT</t>
        </is>
      </c>
      <c r="B548" s="900" t="n"/>
      <c r="C548" s="900" t="n"/>
      <c r="D548" s="900" t="n"/>
      <c r="E548" s="900" t="n"/>
      <c r="F548" s="900" t="n"/>
      <c r="G548" s="900" t="n"/>
      <c r="H548" s="900" t="n"/>
      <c r="I548" s="900" t="n"/>
      <c r="J548" s="900" t="n"/>
      <c r="K548" s="900" t="n"/>
      <c r="L548" s="900" t="n"/>
      <c r="M548" s="900" t="n"/>
      <c r="N548" s="900" t="n"/>
      <c r="O548" s="90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027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981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027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981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030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979" t="inlineStr">
        <is>
          <t>–</t>
        </is>
      </c>
    </row>
    <row r="552" outlineLevel="1" ht="16" customHeight="1">
      <c r="A552" s="976" t="inlineStr">
        <is>
          <t xml:space="preserve">  ▸ LPP</t>
        </is>
      </c>
      <c r="B552" s="900" t="n"/>
      <c r="C552" s="900" t="n"/>
      <c r="D552" s="900" t="n"/>
      <c r="E552" s="900" t="n"/>
      <c r="F552" s="900" t="n"/>
      <c r="G552" s="900" t="n"/>
      <c r="H552" s="900" t="n"/>
      <c r="I552" s="900" t="n"/>
      <c r="J552" s="900" t="n"/>
      <c r="K552" s="900" t="n"/>
      <c r="L552" s="900" t="n"/>
      <c r="M552" s="900" t="n"/>
      <c r="N552" s="900" t="n"/>
      <c r="O552" s="90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027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981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027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981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030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979" t="inlineStr">
        <is>
          <t>–</t>
        </is>
      </c>
    </row>
    <row r="556" outlineLevel="1" ht="16" customHeight="1">
      <c r="A556" s="976" t="inlineStr">
        <is>
          <t xml:space="preserve">  ▸ SUMMARY</t>
        </is>
      </c>
      <c r="B556" s="900" t="n"/>
      <c r="C556" s="900" t="n"/>
      <c r="D556" s="900" t="n"/>
      <c r="E556" s="900" t="n"/>
      <c r="F556" s="900" t="n"/>
      <c r="G556" s="900" t="n"/>
      <c r="H556" s="900" t="n"/>
      <c r="I556" s="900" t="n"/>
      <c r="J556" s="900" t="n"/>
      <c r="K556" s="900" t="n"/>
      <c r="L556" s="900" t="n"/>
      <c r="M556" s="900" t="n"/>
      <c r="N556" s="900" t="n"/>
      <c r="O556" s="90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027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981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027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981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033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979" t="inlineStr">
        <is>
          <t>–</t>
        </is>
      </c>
    </row>
    <row r="560" outlineLevel="1" ht="16" customHeight="1">
      <c r="A560" s="976" t="inlineStr">
        <is>
          <t xml:space="preserve">  ▸ DOCUMENT</t>
        </is>
      </c>
      <c r="B560" s="900" t="n"/>
      <c r="C560" s="900" t="n"/>
      <c r="D560" s="900" t="n"/>
      <c r="E560" s="900" t="n"/>
      <c r="F560" s="900" t="n"/>
      <c r="G560" s="900" t="n"/>
      <c r="H560" s="900" t="n"/>
      <c r="I560" s="900" t="n"/>
      <c r="J560" s="900" t="n"/>
      <c r="K560" s="900" t="n"/>
      <c r="L560" s="900" t="n"/>
      <c r="M560" s="900" t="n"/>
      <c r="N560" s="900" t="n"/>
      <c r="O560" s="90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030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979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027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979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030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979" t="inlineStr">
        <is>
          <t>–</t>
        </is>
      </c>
    </row>
    <row r="564" ht="7" customHeight="1">
      <c r="A564" s="866" t="n"/>
      <c r="B564" s="866" t="n"/>
      <c r="C564" s="866" t="n"/>
      <c r="D564" s="866" t="n"/>
      <c r="E564" s="866" t="n"/>
      <c r="F564" s="866" t="n"/>
      <c r="G564" s="866" t="n"/>
      <c r="H564" s="866" t="n"/>
      <c r="I564" s="866" t="n"/>
      <c r="J564" s="866" t="n"/>
      <c r="K564" s="866" t="n"/>
      <c r="L564" s="866" t="n"/>
      <c r="M564" s="866" t="n"/>
      <c r="N564" s="866" t="n"/>
      <c r="O564" s="866" t="n"/>
    </row>
    <row r="566" ht="22" customHeight="1">
      <c r="A566" s="1034" t="inlineStr">
        <is>
          <t>◈  BUYER INDEX  —  click a buyer name to jump to its block</t>
        </is>
      </c>
    </row>
    <row r="567" ht="26" customHeight="1">
      <c r="A567" s="1035" t="inlineStr">
        <is>
          <t>BUYER (click to jump)</t>
        </is>
      </c>
      <c r="B567" s="1035" t="inlineStr">
        <is>
          <t>LOTS</t>
        </is>
      </c>
      <c r="C567" s="1035" t="inlineStr">
        <is>
          <t>MAT. VALUE ₹</t>
        </is>
      </c>
      <c r="D567" s="1035" t="inlineStr">
        <is>
          <t>TOTAL RECEIVABLES ₹</t>
        </is>
      </c>
      <c r="E567" s="1035" t="inlineStr">
        <is>
          <t>TOTAL RECEIVED ₹</t>
        </is>
      </c>
      <c r="F567" s="1035" t="inlineStr">
        <is>
          <t>OUTSTANDING ₹</t>
        </is>
      </c>
      <c r="G567" s="1035" t="inlineStr">
        <is>
          <t>STATUS</t>
        </is>
      </c>
    </row>
    <row r="568" ht="16" customHeight="1">
      <c r="A568" s="1036" t="inlineStr">
        <is>
          <t>AL HAMD TRADE CORPORATION</t>
        </is>
      </c>
      <c r="B568" s="1037">
        <f>COUNTIF('Final Calculation Sheet'!$G$4:$G$1000,"AL HAMD TRADE CORPORATION")</f>
        <v/>
      </c>
      <c r="C568" s="864">
        <f>SUMIF('Final Calculation Sheet'!$G$4:$G$1000,"AL HAMD TRADE CORPORATION",'Final Calculation Sheet'!$H$4:$H$1000)</f>
        <v/>
      </c>
      <c r="D568" s="864">
        <f>SUMIF('Final Calculation Sheet'!$G$4:$G$1000,"AL HAMD TRADE CORPORATION",'Final Calculation Sheet'!$S$4:$S$1000)</f>
        <v/>
      </c>
      <c r="E568" s="864">
        <f>SUMIF('Final Calculation Sheet'!$G$4:$G$1000,"AL HAMD TRADE CORPORATION",'Final Calculation Sheet'!$AC$4:$AC$1000)</f>
        <v/>
      </c>
      <c r="F568" s="864">
        <f>SUMIF('Final Calculation Sheet'!$G$4:$G$1000,"AL HAMD TRADE CORPORATION",'Final Calculation Sheet'!$AD$4:$AD$1000)</f>
        <v/>
      </c>
      <c r="G568" s="947">
        <f>IF(F568&lt;=0,"SETTLED","OUTSTANDING")</f>
        <v/>
      </c>
    </row>
    <row r="569" ht="16" customHeight="1">
      <c r="A569" s="1038" t="inlineStr">
        <is>
          <t>F R KHANS ENTERPRISES</t>
        </is>
      </c>
      <c r="B569" s="1039">
        <f>COUNTIF('Final Calculation Sheet'!$G$4:$G$1000,"F R KHANS ENTERPRISES")</f>
        <v/>
      </c>
      <c r="C569" s="1040">
        <f>SUMIF('Final Calculation Sheet'!$G$4:$G$1000,"F R KHANS ENTERPRISES",'Final Calculation Sheet'!$H$4:$H$1000)</f>
        <v/>
      </c>
      <c r="D569" s="1040">
        <f>SUMIF('Final Calculation Sheet'!$G$4:$G$1000,"F R KHANS ENTERPRISES",'Final Calculation Sheet'!$S$4:$S$1000)</f>
        <v/>
      </c>
      <c r="E569" s="1040">
        <f>SUMIF('Final Calculation Sheet'!$G$4:$G$1000,"F R KHANS ENTERPRISES",'Final Calculation Sheet'!$AC$4:$AC$1000)</f>
        <v/>
      </c>
      <c r="F569" s="1040">
        <f>SUMIF('Final Calculation Sheet'!$G$4:$G$1000,"F R KHANS ENTERPRISES",'Final Calculation Sheet'!$AD$4:$AD$1000)</f>
        <v/>
      </c>
      <c r="G569" s="1041">
        <f>IF(F569&lt;=0,"SETTLED","OUTSTANDING")</f>
        <v/>
      </c>
    </row>
    <row r="570" ht="16" customHeight="1">
      <c r="A570" s="1042" t="inlineStr">
        <is>
          <t>HIND TRADERS</t>
        </is>
      </c>
      <c r="B570" s="1043">
        <f>COUNTIF('Final Calculation Sheet'!$G$4:$G$1000,"HIND TRADERS")</f>
        <v/>
      </c>
      <c r="C570" s="885">
        <f>SUMIF('Final Calculation Sheet'!$G$4:$G$1000,"HIND TRADERS",'Final Calculation Sheet'!$H$4:$H$1000)</f>
        <v/>
      </c>
      <c r="D570" s="885">
        <f>SUMIF('Final Calculation Sheet'!$G$4:$G$1000,"HIND TRADERS",'Final Calculation Sheet'!$S$4:$S$1000)</f>
        <v/>
      </c>
      <c r="E570" s="885">
        <f>SUMIF('Final Calculation Sheet'!$G$4:$G$1000,"HIND TRADERS",'Final Calculation Sheet'!$AC$4:$AC$1000)</f>
        <v/>
      </c>
      <c r="F570" s="885">
        <f>SUMIF('Final Calculation Sheet'!$G$4:$G$1000,"HIND TRADERS",'Final Calculation Sheet'!$AD$4:$AD$1000)</f>
        <v/>
      </c>
      <c r="G570" s="964">
        <f>IF(F570&lt;=0,"SETTLED","OUTSTANDING")</f>
        <v/>
      </c>
    </row>
    <row r="571" ht="16" customHeight="1">
      <c r="A571" s="1044" t="inlineStr">
        <is>
          <t>KASHYAP TRADING CO</t>
        </is>
      </c>
      <c r="B571" s="1045">
        <f>COUNTIF('Final Calculation Sheet'!$G$4:$G$1000,"KASHYAP TRADING CO")</f>
        <v/>
      </c>
      <c r="C571" s="1046">
        <f>SUMIF('Final Calculation Sheet'!$G$4:$G$1000,"KASHYAP TRADING CO",'Final Calculation Sheet'!$H$4:$H$1000)</f>
        <v/>
      </c>
      <c r="D571" s="1046">
        <f>SUMIF('Final Calculation Sheet'!$G$4:$G$1000,"KASHYAP TRADING CO",'Final Calculation Sheet'!$S$4:$S$1000)</f>
        <v/>
      </c>
      <c r="E571" s="1046">
        <f>SUMIF('Final Calculation Sheet'!$G$4:$G$1000,"KASHYAP TRADING CO",'Final Calculation Sheet'!$AC$4:$AC$1000)</f>
        <v/>
      </c>
      <c r="F571" s="1046">
        <f>SUMIF('Final Calculation Sheet'!$G$4:$G$1000,"KASHYAP TRADING CO",'Final Calculation Sheet'!$AD$4:$AD$1000)</f>
        <v/>
      </c>
      <c r="G571" s="1047">
        <f>IF(F571&lt;=0,"SETTLED","OUTSTANDING")</f>
        <v/>
      </c>
    </row>
    <row r="572" ht="16" customHeight="1">
      <c r="A572" s="1048" t="inlineStr">
        <is>
          <t>M I SCRAP TRADERS</t>
        </is>
      </c>
      <c r="B572" s="1049">
        <f>COUNTIF('Final Calculation Sheet'!$G$4:$G$1000,"M I SCRAP TRADERS")</f>
        <v/>
      </c>
      <c r="C572" s="905">
        <f>SUMIF('Final Calculation Sheet'!$G$4:$G$1000,"M I SCRAP TRADERS",'Final Calculation Sheet'!$H$4:$H$1000)</f>
        <v/>
      </c>
      <c r="D572" s="905">
        <f>SUMIF('Final Calculation Sheet'!$G$4:$G$1000,"M I SCRAP TRADERS",'Final Calculation Sheet'!$S$4:$S$1000)</f>
        <v/>
      </c>
      <c r="E572" s="905">
        <f>SUMIF('Final Calculation Sheet'!$G$4:$G$1000,"M I SCRAP TRADERS",'Final Calculation Sheet'!$AC$4:$AC$1000)</f>
        <v/>
      </c>
      <c r="F572" s="905">
        <f>SUMIF('Final Calculation Sheet'!$G$4:$G$1000,"M I SCRAP TRADERS",'Final Calculation Sheet'!$AD$4:$AD$1000)</f>
        <v/>
      </c>
      <c r="G572" s="978">
        <f>IF(F572&lt;=0,"SETTLED","OUTSTANDING")</f>
        <v/>
      </c>
    </row>
    <row r="573" ht="16" customHeight="1">
      <c r="A573" s="1050" t="inlineStr">
        <is>
          <t>NATIONAL ENTERPRISES</t>
        </is>
      </c>
      <c r="B573" s="1051">
        <f>COUNTIF('Final Calculation Sheet'!$G$4:$G$1000,"NATIONAL ENTERPRISES")</f>
        <v/>
      </c>
      <c r="C573" s="1052">
        <f>SUMIF('Final Calculation Sheet'!$G$4:$G$1000,"NATIONAL ENTERPRISES",'Final Calculation Sheet'!$H$4:$H$1000)</f>
        <v/>
      </c>
      <c r="D573" s="1052">
        <f>SUMIF('Final Calculation Sheet'!$G$4:$G$1000,"NATIONAL ENTERPRISES",'Final Calculation Sheet'!$S$4:$S$1000)</f>
        <v/>
      </c>
      <c r="E573" s="1052">
        <f>SUMIF('Final Calculation Sheet'!$G$4:$G$1000,"NATIONAL ENTERPRISES",'Final Calculation Sheet'!$AC$4:$AC$1000)</f>
        <v/>
      </c>
      <c r="F573" s="1052">
        <f>SUMIF('Final Calculation Sheet'!$G$4:$G$1000,"NATIONAL ENTERPRISES",'Final Calculation Sheet'!$AD$4:$AD$1000)</f>
        <v/>
      </c>
      <c r="G573" s="1053">
        <f>IF(F573&lt;=0,"SETTLED","OUTSTANDING")</f>
        <v/>
      </c>
    </row>
    <row r="574" ht="16" customHeight="1">
      <c r="A574" s="1054" t="inlineStr">
        <is>
          <t>NATIONAL SCRAP AND BUILDING MATERIAL SUPPLIER</t>
        </is>
      </c>
      <c r="B574" s="1055">
        <f>COUNTIF('Final Calculation Sheet'!$G$4:$G$1000,"NATIONAL SCRAP AND BUILDING MATERIAL SUPPLIER")</f>
        <v/>
      </c>
      <c r="C574" s="927">
        <f>SUMIF('Final Calculation Sheet'!$G$4:$G$1000,"NATIONAL SCRAP AND BUILDING MATERIAL SUPPLIER",'Final Calculation Sheet'!$H$4:$H$1000)</f>
        <v/>
      </c>
      <c r="D574" s="927">
        <f>SUMIF('Final Calculation Sheet'!$G$4:$G$1000,"NATIONAL SCRAP AND BUILDING MATERIAL SUPPLIER",'Final Calculation Sheet'!$S$4:$S$1000)</f>
        <v/>
      </c>
      <c r="E574" s="927">
        <f>SUMIF('Final Calculation Sheet'!$G$4:$G$1000,"NATIONAL SCRAP AND BUILDING MATERIAL SUPPLIER",'Final Calculation Sheet'!$AC$4:$AC$1000)</f>
        <v/>
      </c>
      <c r="F574" s="927">
        <f>SUMIF('Final Calculation Sheet'!$G$4:$G$1000,"NATIONAL SCRAP AND BUILDING MATERIAL SUPPLIER",'Final Calculation Sheet'!$AD$4:$AD$1000)</f>
        <v/>
      </c>
      <c r="G574" s="995">
        <f>IF(F574&lt;=0,"SETTLED","OUTSTANDING")</f>
        <v/>
      </c>
    </row>
    <row r="575" ht="16" customHeight="1">
      <c r="A575" s="1056" t="inlineStr">
        <is>
          <t>OMKAR STEELS</t>
        </is>
      </c>
      <c r="B575" s="1057">
        <f>COUNTIF('Final Calculation Sheet'!$G$4:$G$1000,"OMKAR STEELS")</f>
        <v/>
      </c>
      <c r="C575" s="1058">
        <f>SUMIF('Final Calculation Sheet'!$G$4:$G$1000,"OMKAR STEELS",'Final Calculation Sheet'!$H$4:$H$1000)</f>
        <v/>
      </c>
      <c r="D575" s="1058">
        <f>SUMIF('Final Calculation Sheet'!$G$4:$G$1000,"OMKAR STEELS",'Final Calculation Sheet'!$S$4:$S$1000)</f>
        <v/>
      </c>
      <c r="E575" s="1058">
        <f>SUMIF('Final Calculation Sheet'!$G$4:$G$1000,"OMKAR STEELS",'Final Calculation Sheet'!$AC$4:$AC$1000)</f>
        <v/>
      </c>
      <c r="F575" s="1058">
        <f>SUMIF('Final Calculation Sheet'!$G$4:$G$1000,"OMKAR STEELS",'Final Calculation Sheet'!$AD$4:$AD$1000)</f>
        <v/>
      </c>
      <c r="G575" s="1059">
        <f>IF(F575&lt;=0,"SETTLED","OUTSTANDING")</f>
        <v/>
      </c>
    </row>
    <row r="576" ht="16" customHeight="1">
      <c r="A576" s="1036" t="inlineStr">
        <is>
          <t>S M ENTERPRISES</t>
        </is>
      </c>
      <c r="B576" s="1037">
        <f>COUNTIF('Final Calculation Sheet'!$G$4:$G$1000,"S M ENTERPRISES")</f>
        <v/>
      </c>
      <c r="C576" s="864">
        <f>SUMIF('Final Calculation Sheet'!$G$4:$G$1000,"S M ENTERPRISES",'Final Calculation Sheet'!$H$4:$H$1000)</f>
        <v/>
      </c>
      <c r="D576" s="864">
        <f>SUMIF('Final Calculation Sheet'!$G$4:$G$1000,"S M ENTERPRISES",'Final Calculation Sheet'!$S$4:$S$1000)</f>
        <v/>
      </c>
      <c r="E576" s="864">
        <f>SUMIF('Final Calculation Sheet'!$G$4:$G$1000,"S M ENTERPRISES",'Final Calculation Sheet'!$AC$4:$AC$1000)</f>
        <v/>
      </c>
      <c r="F576" s="864">
        <f>SUMIF('Final Calculation Sheet'!$G$4:$G$1000,"S M ENTERPRISES",'Final Calculation Sheet'!$AD$4:$AD$1000)</f>
        <v/>
      </c>
      <c r="G576" s="947">
        <f>IF(F576&lt;=0,"SETTLED","OUTSTANDING")</f>
        <v/>
      </c>
    </row>
    <row r="577" ht="16" customHeight="1">
      <c r="A577" s="1038" t="inlineStr">
        <is>
          <t>SAHARA ENTERPRISES</t>
        </is>
      </c>
      <c r="B577" s="1039">
        <f>COUNTIF('Final Calculation Sheet'!$G$4:$G$1000,"SAHARA ENTERPRISES")</f>
        <v/>
      </c>
      <c r="C577" s="1040">
        <f>SUMIF('Final Calculation Sheet'!$G$4:$G$1000,"SAHARA ENTERPRISES",'Final Calculation Sheet'!$H$4:$H$1000)</f>
        <v/>
      </c>
      <c r="D577" s="1040">
        <f>SUMIF('Final Calculation Sheet'!$G$4:$G$1000,"SAHARA ENTERPRISES",'Final Calculation Sheet'!$S$4:$S$1000)</f>
        <v/>
      </c>
      <c r="E577" s="1040">
        <f>SUMIF('Final Calculation Sheet'!$G$4:$G$1000,"SAHARA ENTERPRISES",'Final Calculation Sheet'!$AC$4:$AC$1000)</f>
        <v/>
      </c>
      <c r="F577" s="1040">
        <f>SUMIF('Final Calculation Sheet'!$G$4:$G$1000,"SAHARA ENTERPRISES",'Final Calculation Sheet'!$AD$4:$AD$1000)</f>
        <v/>
      </c>
      <c r="G577" s="1041">
        <f>IF(F577&lt;=0,"SETTLED","OUTSTANDING")</f>
        <v/>
      </c>
    </row>
    <row r="578" ht="16" customHeight="1">
      <c r="A578" s="1042" t="inlineStr">
        <is>
          <t>SHAR JAHAN TRADERS</t>
        </is>
      </c>
      <c r="B578" s="1043">
        <f>COUNTIF('Final Calculation Sheet'!$G$4:$G$1000,"SHAR JAHAN TRADERS")</f>
        <v/>
      </c>
      <c r="C578" s="885">
        <f>SUMIF('Final Calculation Sheet'!$G$4:$G$1000,"SHAR JAHAN TRADERS",'Final Calculation Sheet'!$H$4:$H$1000)</f>
        <v/>
      </c>
      <c r="D578" s="885">
        <f>SUMIF('Final Calculation Sheet'!$G$4:$G$1000,"SHAR JAHAN TRADERS",'Final Calculation Sheet'!$S$4:$S$1000)</f>
        <v/>
      </c>
      <c r="E578" s="885">
        <f>SUMIF('Final Calculation Sheet'!$G$4:$G$1000,"SHAR JAHAN TRADERS",'Final Calculation Sheet'!$AC$4:$AC$1000)</f>
        <v/>
      </c>
      <c r="F578" s="885">
        <f>SUMIF('Final Calculation Sheet'!$G$4:$G$1000,"SHAR JAHAN TRADERS",'Final Calculation Sheet'!$AD$4:$AD$1000)</f>
        <v/>
      </c>
      <c r="G578" s="964">
        <f>IF(F578&lt;=0,"SETTLED","OUTSTANDING")</f>
        <v/>
      </c>
    </row>
    <row r="579" ht="16" customHeight="1">
      <c r="A579" s="1044" t="inlineStr">
        <is>
          <t>STERLING ENTERPRISES</t>
        </is>
      </c>
      <c r="B579" s="1045">
        <f>COUNTIF('Final Calculation Sheet'!$G$4:$G$1000,"STERLING ENTERPRISES")</f>
        <v/>
      </c>
      <c r="C579" s="1046">
        <f>SUMIF('Final Calculation Sheet'!$G$4:$G$1000,"STERLING ENTERPRISES",'Final Calculation Sheet'!$H$4:$H$1000)</f>
        <v/>
      </c>
      <c r="D579" s="1046">
        <f>SUMIF('Final Calculation Sheet'!$G$4:$G$1000,"STERLING ENTERPRISES",'Final Calculation Sheet'!$S$4:$S$1000)</f>
        <v/>
      </c>
      <c r="E579" s="1046">
        <f>SUMIF('Final Calculation Sheet'!$G$4:$G$1000,"STERLING ENTERPRISES",'Final Calculation Sheet'!$AC$4:$AC$1000)</f>
        <v/>
      </c>
      <c r="F579" s="1046">
        <f>SUMIF('Final Calculation Sheet'!$G$4:$G$1000,"STERLING ENTERPRISES",'Final Calculation Sheet'!$AD$4:$AD$1000)</f>
        <v/>
      </c>
      <c r="G579" s="1047">
        <f>IF(F579&lt;=0,"SETTLED","OUTSTANDING")</f>
        <v/>
      </c>
    </row>
    <row r="580" ht="16" customHeight="1">
      <c r="A580" s="1048" t="inlineStr">
        <is>
          <t>WATAN SCRAP TRADERS</t>
        </is>
      </c>
      <c r="B580" s="1049">
        <f>COUNTIF('Final Calculation Sheet'!$G$4:$G$1000,"WATAN SCRAP TRADERS")</f>
        <v/>
      </c>
      <c r="C580" s="905">
        <f>SUMIF('Final Calculation Sheet'!$G$4:$G$1000,"WATAN SCRAP TRADERS",'Final Calculation Sheet'!$H$4:$H$1000)</f>
        <v/>
      </c>
      <c r="D580" s="905">
        <f>SUMIF('Final Calculation Sheet'!$G$4:$G$1000,"WATAN SCRAP TRADERS",'Final Calculation Sheet'!$S$4:$S$1000)</f>
        <v/>
      </c>
      <c r="E580" s="905">
        <f>SUMIF('Final Calculation Sheet'!$G$4:$G$1000,"WATAN SCRAP TRADERS",'Final Calculation Sheet'!$AC$4:$AC$1000)</f>
        <v/>
      </c>
      <c r="F580" s="905">
        <f>SUMIF('Final Calculation Sheet'!$G$4:$G$1000,"WATAN SCRAP TRADERS",'Final Calculation Sheet'!$AD$4:$AD$1000)</f>
        <v/>
      </c>
      <c r="G580" s="978">
        <f>IF(F580&lt;=0,"SETTLED","OUTSTANDING")</f>
        <v/>
      </c>
    </row>
    <row r="581" ht="18" customHeight="1">
      <c r="A581" s="1060" t="inlineStr">
        <is>
          <t>∑  ALL BUYERS</t>
        </is>
      </c>
      <c r="B581" s="1061">
        <f>SUM(B568:B580)</f>
        <v/>
      </c>
      <c r="C581" s="849">
        <f>SUM(C568:C580)</f>
        <v/>
      </c>
      <c r="D581" s="849">
        <f>SUM(D568:D580)</f>
        <v/>
      </c>
      <c r="E581" s="849">
        <f>SUM(E568:E580)</f>
        <v/>
      </c>
      <c r="F581" s="849">
        <f>SUM(F568:F580)</f>
        <v/>
      </c>
      <c r="G581" s="1062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21">
      <formula>"SETTLED"</formula>
    </cfRule>
    <cfRule type="cellIs" priority="2" operator="equal" dxfId="22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658" t="inlineStr">
        <is>
          <t>MSTC LIMITED  •  BUYER × LOT COLLAPSIBLE VIEW   (lots ↓ rows  |  fields → columns)</t>
        </is>
      </c>
    </row>
    <row r="2" ht="30" customHeight="1">
      <c r="A2" s="659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690" t="inlineStr">
        <is>
          <t>LOT INFORMATION</t>
        </is>
      </c>
      <c r="B3" s="691" t="n"/>
      <c r="C3" s="691" t="n"/>
      <c r="D3" s="691" t="n"/>
      <c r="E3" s="691" t="n"/>
      <c r="F3" s="691" t="n"/>
      <c r="G3" s="692" t="inlineStr">
        <is>
          <t>FINANCIALS</t>
        </is>
      </c>
      <c r="H3" s="693" t="n"/>
      <c r="I3" s="693" t="n"/>
      <c r="J3" s="693" t="n"/>
      <c r="K3" s="693" t="n"/>
      <c r="L3" s="693" t="n"/>
      <c r="M3" s="693" t="n"/>
      <c r="N3" s="693" t="n"/>
      <c r="O3" s="693" t="n"/>
      <c r="P3" s="693" t="n"/>
      <c r="Q3" s="693" t="n"/>
      <c r="R3" s="693" t="n"/>
      <c r="S3" s="694" t="inlineStr">
        <is>
          <t>SECURITY DEPOSIT</t>
        </is>
      </c>
      <c r="T3" s="695" t="n"/>
      <c r="U3" s="695" t="n"/>
      <c r="V3" s="696" t="inlineStr">
        <is>
          <t>FINAL PAYMENT</t>
        </is>
      </c>
      <c r="W3" s="697" t="n"/>
      <c r="X3" s="697" t="n"/>
      <c r="Y3" s="834" t="inlineStr">
        <is>
          <t>LPP</t>
        </is>
      </c>
      <c r="Z3" s="819" t="n"/>
      <c r="AA3" s="819" t="n"/>
      <c r="AB3" s="835" t="inlineStr">
        <is>
          <t>SUMMARY</t>
        </is>
      </c>
      <c r="AC3" s="703" t="n"/>
      <c r="AD3" s="703" t="n"/>
      <c r="AE3" s="836" t="inlineStr">
        <is>
          <t>DOCUMENT</t>
        </is>
      </c>
      <c r="AF3" s="822" t="n"/>
      <c r="AG3" s="822" t="n"/>
    </row>
    <row r="4" ht="42" customHeight="1">
      <c r="A4" s="690" t="inlineStr">
        <is>
          <t>Lot No.</t>
        </is>
      </c>
      <c r="B4" s="690" t="inlineStr">
        <is>
          <t>Lot Name</t>
        </is>
      </c>
      <c r="C4" s="690" t="inlineStr">
        <is>
          <t>Bid Sheet / Auction</t>
        </is>
      </c>
      <c r="D4" s="690" t="inlineStr">
        <is>
          <t>Quantity</t>
        </is>
      </c>
      <c r="E4" s="690" t="inlineStr">
        <is>
          <t>Unit</t>
        </is>
      </c>
      <c r="F4" s="690" t="inlineStr">
        <is>
          <t>Rate (₹)</t>
        </is>
      </c>
      <c r="G4" s="692" t="inlineStr">
        <is>
          <t>Mat. Value (₹)</t>
        </is>
      </c>
      <c r="H4" s="692" t="inlineStr">
        <is>
          <t>GST @ 18% (₹)</t>
        </is>
      </c>
      <c r="I4" s="692" t="inlineStr">
        <is>
          <t>Mat. Value + GST (₹)</t>
        </is>
      </c>
      <c r="J4" s="692" t="inlineStr">
        <is>
          <t>TCS @ 2% (₹)</t>
        </is>
      </c>
      <c r="K4" s="692" t="inlineStr">
        <is>
          <t>TDS u/s 194(O) (₹)</t>
        </is>
      </c>
      <c r="L4" s="692" t="inlineStr">
        <is>
          <t>Service Charge gross (₹)</t>
        </is>
      </c>
      <c r="M4" s="692" t="inlineStr">
        <is>
          <t>TDS u/s 194(H) (₹)</t>
        </is>
      </c>
      <c r="N4" s="692" t="inlineStr">
        <is>
          <t>Net Service Charge (₹)</t>
        </is>
      </c>
      <c r="O4" s="692" t="inlineStr">
        <is>
          <t>Svc Charge to MSTC (₹)</t>
        </is>
      </c>
      <c r="P4" s="692" t="inlineStr">
        <is>
          <t>GST TDS Rate</t>
        </is>
      </c>
      <c r="Q4" s="692" t="inlineStr">
        <is>
          <t>GST TDS (₹)</t>
        </is>
      </c>
      <c r="R4" s="692" t="inlineStr">
        <is>
          <t>Total Receivables (₹)</t>
        </is>
      </c>
      <c r="S4" s="694" t="inlineStr">
        <is>
          <t>SD Expected (₹)</t>
        </is>
      </c>
      <c r="T4" s="694" t="inlineStr">
        <is>
          <t>SD Received (₹)</t>
        </is>
      </c>
      <c r="U4" s="694" t="inlineStr">
        <is>
          <t>SD Receipt Date</t>
        </is>
      </c>
      <c r="V4" s="696" t="inlineStr">
        <is>
          <t>FP Expected (₹)</t>
        </is>
      </c>
      <c r="W4" s="696" t="inlineStr">
        <is>
          <t>FP Received (₹)</t>
        </is>
      </c>
      <c r="X4" s="696" t="inlineStr">
        <is>
          <t>FP Receipt Date</t>
        </is>
      </c>
      <c r="Y4" s="834" t="inlineStr">
        <is>
          <t>LPP Expected (₹)</t>
        </is>
      </c>
      <c r="Z4" s="834" t="inlineStr">
        <is>
          <t>LPP Received (₹)</t>
        </is>
      </c>
      <c r="AA4" s="834" t="inlineStr">
        <is>
          <t>LPP Receipt Date</t>
        </is>
      </c>
      <c r="AB4" s="835" t="inlineStr">
        <is>
          <t>Total Received (₹)</t>
        </is>
      </c>
      <c r="AC4" s="835" t="inlineStr">
        <is>
          <t>Outstanding (₹)</t>
        </is>
      </c>
      <c r="AD4" s="835" t="inlineStr">
        <is>
          <t>Payment Status</t>
        </is>
      </c>
      <c r="AE4" s="836" t="inlineStr">
        <is>
          <t>Invoice No.</t>
        </is>
      </c>
      <c r="AF4" s="836" t="inlineStr">
        <is>
          <t>SAP Document</t>
        </is>
      </c>
      <c r="AG4" s="836" t="inlineStr">
        <is>
          <t>Doc./Invoice Date</t>
        </is>
      </c>
    </row>
    <row r="5" ht="24" customHeight="1">
      <c r="A5" s="856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1063">
        <f>IF('Final Calculation Sheet'!$F$4="","",'Final Calculation Sheet'!$F$4)</f>
        <v/>
      </c>
      <c r="B6" s="1064">
        <f>IF('Final Calculation Sheet'!$B$4="","",'Final Calculation Sheet'!$B$4)</f>
        <v/>
      </c>
      <c r="C6" s="1063">
        <f>IF('Final Calculation Sheet'!$D$4="","",'Final Calculation Sheet'!$D$4)</f>
        <v/>
      </c>
      <c r="D6" s="1065">
        <f>IF('Final Calculation Sheet'!$A$4="","",'Final Calculation Sheet'!$A$4)</f>
        <v/>
      </c>
      <c r="E6" s="1066">
        <f>IF('Final Calculation Sheet'!$E$4="","",'Final Calculation Sheet'!$E$4)</f>
        <v/>
      </c>
      <c r="F6" s="1063">
        <f>IF('Final Calculation Sheet'!$C$4="","",'Final Calculation Sheet'!$C$4)</f>
        <v/>
      </c>
      <c r="G6" s="1063">
        <f>IF('Final Calculation Sheet'!$H$4="","",'Final Calculation Sheet'!$H$4)</f>
        <v/>
      </c>
      <c r="H6" s="1063">
        <f>IF('Final Calculation Sheet'!$I$4="","",'Final Calculation Sheet'!$I$4)</f>
        <v/>
      </c>
      <c r="I6" s="1063">
        <f>IF('Final Calculation Sheet'!$J$4="","",'Final Calculation Sheet'!$J$4)</f>
        <v/>
      </c>
      <c r="J6" s="1063">
        <f>IF('Final Calculation Sheet'!$K$4="","",'Final Calculation Sheet'!$K$4)</f>
        <v/>
      </c>
      <c r="K6" s="1067">
        <f>IF('Final Calculation Sheet'!$L$4="","",'Final Calculation Sheet'!$L$4)</f>
        <v/>
      </c>
      <c r="L6" s="1067">
        <f>IF('Final Calculation Sheet'!$M$4="","",'Final Calculation Sheet'!$M$4)</f>
        <v/>
      </c>
      <c r="M6" s="1067">
        <f>IF('Final Calculation Sheet'!$N$4="","",'Final Calculation Sheet'!$N$4)</f>
        <v/>
      </c>
      <c r="N6" s="1067">
        <f>IF('Final Calculation Sheet'!$O$4="","",'Final Calculation Sheet'!$O$4)</f>
        <v/>
      </c>
      <c r="O6" s="1063">
        <f>IF('Final Calculation Sheet'!$P$4="","",'Final Calculation Sheet'!$P$4)</f>
        <v/>
      </c>
      <c r="P6" s="1068">
        <f>IF('Final Calculation Sheet'!$Q$4="","",'Final Calculation Sheet'!$Q$4)</f>
        <v/>
      </c>
      <c r="Q6" s="1063">
        <f>IF('Final Calculation Sheet'!$R$4="","",'Final Calculation Sheet'!$R$4)</f>
        <v/>
      </c>
      <c r="R6" s="1063">
        <f>IF('Final Calculation Sheet'!$S$4="","",'Final Calculation Sheet'!$S$4)</f>
        <v/>
      </c>
      <c r="S6" s="1063">
        <f>IF('Final Calculation Sheet'!$T$4="","",'Final Calculation Sheet'!$T$4)</f>
        <v/>
      </c>
      <c r="T6" s="1063">
        <f>IF('Final Calculation Sheet'!$U$4="","",'Final Calculation Sheet'!$U$4)</f>
        <v/>
      </c>
      <c r="U6" s="1066">
        <f>IF('Final Calculation Sheet'!$V$4="","",'Final Calculation Sheet'!$V$4)</f>
        <v/>
      </c>
      <c r="V6" s="1063">
        <f>IF('Final Calculation Sheet'!$W$4="","",'Final Calculation Sheet'!$W$4)</f>
        <v/>
      </c>
      <c r="W6" s="1063">
        <f>IF('Final Calculation Sheet'!$X$4="","",'Final Calculation Sheet'!$X$4)</f>
        <v/>
      </c>
      <c r="X6" s="1066">
        <f>IF('Final Calculation Sheet'!$Y$4="","",'Final Calculation Sheet'!$Y$4)</f>
        <v/>
      </c>
      <c r="Y6" s="1063">
        <f>IF('Final Calculation Sheet'!$Z$4="","",'Final Calculation Sheet'!$Z$4)</f>
        <v/>
      </c>
      <c r="Z6" s="1063">
        <f>IF('Final Calculation Sheet'!$AA$4="","",'Final Calculation Sheet'!$AA$4)</f>
        <v/>
      </c>
      <c r="AA6" s="1066">
        <f>IF('Final Calculation Sheet'!$AB$4="","",'Final Calculation Sheet'!$AB$4)</f>
        <v/>
      </c>
      <c r="AB6" s="1063">
        <f>IF('Final Calculation Sheet'!$AC$4="","",'Final Calculation Sheet'!$AC$4)</f>
        <v/>
      </c>
      <c r="AC6" s="1063">
        <f>IF('Final Calculation Sheet'!$AD$4="","",'Final Calculation Sheet'!$AD$4)</f>
        <v/>
      </c>
      <c r="AD6" s="1066">
        <f>IF('Final Calculation Sheet'!$AD$4="","",IF('Final Calculation Sheet'!$AD$4&lt;=0,"SETTLED","OUTSTANDING"))</f>
        <v/>
      </c>
      <c r="AE6" s="1066">
        <f>IF('Final Calculation Sheet'!$AE$4="","",'Final Calculation Sheet'!$AE$4)</f>
        <v/>
      </c>
      <c r="AF6" s="1063">
        <f>IF('Final Calculation Sheet'!$AF$4="","",'Final Calculation Sheet'!$AF$4)</f>
        <v/>
      </c>
      <c r="AG6" s="1066">
        <f>IF('Final Calculation Sheet'!$AG$4="","",'Final Calculation Sheet'!$AG$4)</f>
        <v/>
      </c>
    </row>
    <row r="7" ht="20" customHeight="1">
      <c r="A7" s="1069" t="inlineStr">
        <is>
          <t>∑  AL HAMD TRADE CORPORATION — TOTALS</t>
        </is>
      </c>
      <c r="B7" s="754" t="inlineStr">
        <is>
          <t>–</t>
        </is>
      </c>
      <c r="C7" s="754" t="inlineStr">
        <is>
          <t>–</t>
        </is>
      </c>
      <c r="D7" s="1070">
        <f>SUM(D6:D6)</f>
        <v/>
      </c>
      <c r="E7" s="754" t="inlineStr">
        <is>
          <t>–</t>
        </is>
      </c>
      <c r="F7" s="754" t="inlineStr">
        <is>
          <t>–</t>
        </is>
      </c>
      <c r="G7" s="1071">
        <f>SUM(G6:G6)</f>
        <v/>
      </c>
      <c r="H7" s="1071">
        <f>SUM(H6:H6)</f>
        <v/>
      </c>
      <c r="I7" s="1071">
        <f>SUM(I6:I6)</f>
        <v/>
      </c>
      <c r="J7" s="1071">
        <f>SUM(J6:J6)</f>
        <v/>
      </c>
      <c r="K7" s="1072">
        <f>SUM(K6:K6)</f>
        <v/>
      </c>
      <c r="L7" s="1072">
        <f>SUM(L6:L6)</f>
        <v/>
      </c>
      <c r="M7" s="1072">
        <f>SUM(M6:M6)</f>
        <v/>
      </c>
      <c r="N7" s="1072">
        <f>SUM(N6:N6)</f>
        <v/>
      </c>
      <c r="O7" s="1071">
        <f>SUM(O6:O6)</f>
        <v/>
      </c>
      <c r="P7" s="754" t="inlineStr">
        <is>
          <t>–</t>
        </is>
      </c>
      <c r="Q7" s="1071">
        <f>SUM(Q6:Q6)</f>
        <v/>
      </c>
      <c r="R7" s="1071">
        <f>SUM(R6:R6)</f>
        <v/>
      </c>
      <c r="S7" s="1071">
        <f>SUM(S6:S6)</f>
        <v/>
      </c>
      <c r="T7" s="1071">
        <f>SUM(T6:T6)</f>
        <v/>
      </c>
      <c r="U7" s="754" t="inlineStr">
        <is>
          <t>–</t>
        </is>
      </c>
      <c r="V7" s="1071">
        <f>SUM(V6:V6)</f>
        <v/>
      </c>
      <c r="W7" s="1071">
        <f>SUM(W6:W6)</f>
        <v/>
      </c>
      <c r="X7" s="754" t="inlineStr">
        <is>
          <t>–</t>
        </is>
      </c>
      <c r="Y7" s="1071">
        <f>SUM(Y6:Y6)</f>
        <v/>
      </c>
      <c r="Z7" s="1071">
        <f>SUM(Z6:Z6)</f>
        <v/>
      </c>
      <c r="AA7" s="754" t="inlineStr">
        <is>
          <t>–</t>
        </is>
      </c>
      <c r="AB7" s="1071">
        <f>SUM(AB6:AB6)</f>
        <v/>
      </c>
      <c r="AC7" s="1071">
        <f>SUM(AC6:AC6)</f>
        <v/>
      </c>
      <c r="AD7" s="754" t="inlineStr">
        <is>
          <t>–</t>
        </is>
      </c>
      <c r="AE7" s="754" t="inlineStr">
        <is>
          <t>–</t>
        </is>
      </c>
      <c r="AF7" s="754" t="inlineStr">
        <is>
          <t>–</t>
        </is>
      </c>
      <c r="AG7" s="754" t="inlineStr">
        <is>
          <t>–</t>
        </is>
      </c>
    </row>
    <row r="8" ht="7" customHeight="1">
      <c r="A8" s="866" t="n"/>
      <c r="B8" s="866" t="n"/>
      <c r="C8" s="866" t="n"/>
      <c r="D8" s="866" t="n"/>
      <c r="E8" s="866" t="n"/>
      <c r="F8" s="866" t="n"/>
      <c r="G8" s="866" t="n"/>
      <c r="H8" s="866" t="n"/>
      <c r="I8" s="866" t="n"/>
      <c r="J8" s="866" t="n"/>
      <c r="K8" s="866" t="n"/>
      <c r="L8" s="866" t="n"/>
      <c r="M8" s="866" t="n"/>
      <c r="N8" s="866" t="n"/>
      <c r="O8" s="866" t="n"/>
      <c r="P8" s="866" t="n"/>
      <c r="Q8" s="866" t="n"/>
      <c r="R8" s="866" t="n"/>
      <c r="S8" s="866" t="n"/>
      <c r="T8" s="866" t="n"/>
      <c r="U8" s="866" t="n"/>
      <c r="V8" s="866" t="n"/>
      <c r="W8" s="866" t="n"/>
      <c r="X8" s="866" t="n"/>
      <c r="Y8" s="866" t="n"/>
      <c r="Z8" s="866" t="n"/>
      <c r="AA8" s="866" t="n"/>
      <c r="AB8" s="866" t="n"/>
      <c r="AC8" s="866" t="n"/>
      <c r="AD8" s="866" t="n"/>
      <c r="AE8" s="866" t="n"/>
      <c r="AF8" s="866" t="n"/>
      <c r="AG8" s="866" t="n"/>
    </row>
    <row r="9" ht="24" customHeight="1">
      <c r="A9" s="867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1073">
        <f>IF('Final Calculation Sheet'!$F$6="","",'Final Calculation Sheet'!$F$6)</f>
        <v/>
      </c>
      <c r="B10" s="1074">
        <f>IF('Final Calculation Sheet'!$B$6="","",'Final Calculation Sheet'!$B$6)</f>
        <v/>
      </c>
      <c r="C10" s="1073">
        <f>IF('Final Calculation Sheet'!$D$6="","",'Final Calculation Sheet'!$D$6)</f>
        <v/>
      </c>
      <c r="D10" s="1075">
        <f>IF('Final Calculation Sheet'!$A$6="","",'Final Calculation Sheet'!$A$6)</f>
        <v/>
      </c>
      <c r="E10" s="1076">
        <f>IF('Final Calculation Sheet'!$E$6="","",'Final Calculation Sheet'!$E$6)</f>
        <v/>
      </c>
      <c r="F10" s="1073">
        <f>IF('Final Calculation Sheet'!$C$6="","",'Final Calculation Sheet'!$C$6)</f>
        <v/>
      </c>
      <c r="G10" s="1073">
        <f>IF('Final Calculation Sheet'!$H$6="","",'Final Calculation Sheet'!$H$6)</f>
        <v/>
      </c>
      <c r="H10" s="1073">
        <f>IF('Final Calculation Sheet'!$I$6="","",'Final Calculation Sheet'!$I$6)</f>
        <v/>
      </c>
      <c r="I10" s="1073">
        <f>IF('Final Calculation Sheet'!$J$6="","",'Final Calculation Sheet'!$J$6)</f>
        <v/>
      </c>
      <c r="J10" s="1073">
        <f>IF('Final Calculation Sheet'!$K$6="","",'Final Calculation Sheet'!$K$6)</f>
        <v/>
      </c>
      <c r="K10" s="1077">
        <f>IF('Final Calculation Sheet'!$L$6="","",'Final Calculation Sheet'!$L$6)</f>
        <v/>
      </c>
      <c r="L10" s="1077">
        <f>IF('Final Calculation Sheet'!$M$6="","",'Final Calculation Sheet'!$M$6)</f>
        <v/>
      </c>
      <c r="M10" s="1077">
        <f>IF('Final Calculation Sheet'!$N$6="","",'Final Calculation Sheet'!$N$6)</f>
        <v/>
      </c>
      <c r="N10" s="1077">
        <f>IF('Final Calculation Sheet'!$O$6="","",'Final Calculation Sheet'!$O$6)</f>
        <v/>
      </c>
      <c r="O10" s="1073">
        <f>IF('Final Calculation Sheet'!$P$6="","",'Final Calculation Sheet'!$P$6)</f>
        <v/>
      </c>
      <c r="P10" s="1078">
        <f>IF('Final Calculation Sheet'!$Q$6="","",'Final Calculation Sheet'!$Q$6)</f>
        <v/>
      </c>
      <c r="Q10" s="1073">
        <f>IF('Final Calculation Sheet'!$R$6="","",'Final Calculation Sheet'!$R$6)</f>
        <v/>
      </c>
      <c r="R10" s="1073">
        <f>IF('Final Calculation Sheet'!$S$6="","",'Final Calculation Sheet'!$S$6)</f>
        <v/>
      </c>
      <c r="S10" s="1073">
        <f>IF('Final Calculation Sheet'!$T$6="","",'Final Calculation Sheet'!$T$6)</f>
        <v/>
      </c>
      <c r="T10" s="1073">
        <f>IF('Final Calculation Sheet'!$U$6="","",'Final Calculation Sheet'!$U$6)</f>
        <v/>
      </c>
      <c r="U10" s="1076">
        <f>IF('Final Calculation Sheet'!$V$6="","",'Final Calculation Sheet'!$V$6)</f>
        <v/>
      </c>
      <c r="V10" s="1073">
        <f>IF('Final Calculation Sheet'!$W$6="","",'Final Calculation Sheet'!$W$6)</f>
        <v/>
      </c>
      <c r="W10" s="1073">
        <f>IF('Final Calculation Sheet'!$X$6="","",'Final Calculation Sheet'!$X$6)</f>
        <v/>
      </c>
      <c r="X10" s="1076">
        <f>IF('Final Calculation Sheet'!$Y$6="","",'Final Calculation Sheet'!$Y$6)</f>
        <v/>
      </c>
      <c r="Y10" s="1073">
        <f>IF('Final Calculation Sheet'!$Z$6="","",'Final Calculation Sheet'!$Z$6)</f>
        <v/>
      </c>
      <c r="Z10" s="1073">
        <f>IF('Final Calculation Sheet'!$AA$6="","",'Final Calculation Sheet'!$AA$6)</f>
        <v/>
      </c>
      <c r="AA10" s="1076">
        <f>IF('Final Calculation Sheet'!$AB$6="","",'Final Calculation Sheet'!$AB$6)</f>
        <v/>
      </c>
      <c r="AB10" s="1073">
        <f>IF('Final Calculation Sheet'!$AC$6="","",'Final Calculation Sheet'!$AC$6)</f>
        <v/>
      </c>
      <c r="AC10" s="1073">
        <f>IF('Final Calculation Sheet'!$AD$6="","",'Final Calculation Sheet'!$AD$6)</f>
        <v/>
      </c>
      <c r="AD10" s="1076">
        <f>IF('Final Calculation Sheet'!$AD$6="","",IF('Final Calculation Sheet'!$AD$6&lt;=0,"SETTLED","OUTSTANDING"))</f>
        <v/>
      </c>
      <c r="AE10" s="1076">
        <f>IF('Final Calculation Sheet'!$AE$6="","",'Final Calculation Sheet'!$AE$6)</f>
        <v/>
      </c>
      <c r="AF10" s="1073">
        <f>IF('Final Calculation Sheet'!$AF$6="","",'Final Calculation Sheet'!$AF$6)</f>
        <v/>
      </c>
      <c r="AG10" s="1076">
        <f>IF('Final Calculation Sheet'!$AG$6="","",'Final Calculation Sheet'!$AG$6)</f>
        <v/>
      </c>
    </row>
    <row r="11" outlineLevel="1" ht="15" customHeight="1">
      <c r="A11" s="1079">
        <f>IF('Final Calculation Sheet'!$F$7="","",'Final Calculation Sheet'!$F$7)</f>
        <v/>
      </c>
      <c r="B11" s="1080">
        <f>IF('Final Calculation Sheet'!$B$7="","",'Final Calculation Sheet'!$B$7)</f>
        <v/>
      </c>
      <c r="C11" s="1079">
        <f>IF('Final Calculation Sheet'!$D$7="","",'Final Calculation Sheet'!$D$7)</f>
        <v/>
      </c>
      <c r="D11" s="1081">
        <f>IF('Final Calculation Sheet'!$A$7="","",'Final Calculation Sheet'!$A$7)</f>
        <v/>
      </c>
      <c r="E11" s="1082">
        <f>IF('Final Calculation Sheet'!$E$7="","",'Final Calculation Sheet'!$E$7)</f>
        <v/>
      </c>
      <c r="F11" s="1079">
        <f>IF('Final Calculation Sheet'!$C$7="","",'Final Calculation Sheet'!$C$7)</f>
        <v/>
      </c>
      <c r="G11" s="1079">
        <f>IF('Final Calculation Sheet'!$H$7="","",'Final Calculation Sheet'!$H$7)</f>
        <v/>
      </c>
      <c r="H11" s="1079">
        <f>IF('Final Calculation Sheet'!$I$7="","",'Final Calculation Sheet'!$I$7)</f>
        <v/>
      </c>
      <c r="I11" s="1079">
        <f>IF('Final Calculation Sheet'!$J$7="","",'Final Calculation Sheet'!$J$7)</f>
        <v/>
      </c>
      <c r="J11" s="1079">
        <f>IF('Final Calculation Sheet'!$K$7="","",'Final Calculation Sheet'!$K$7)</f>
        <v/>
      </c>
      <c r="K11" s="1083">
        <f>IF('Final Calculation Sheet'!$L$7="","",'Final Calculation Sheet'!$L$7)</f>
        <v/>
      </c>
      <c r="L11" s="1083">
        <f>IF('Final Calculation Sheet'!$M$7="","",'Final Calculation Sheet'!$M$7)</f>
        <v/>
      </c>
      <c r="M11" s="1083">
        <f>IF('Final Calculation Sheet'!$N$7="","",'Final Calculation Sheet'!$N$7)</f>
        <v/>
      </c>
      <c r="N11" s="1083">
        <f>IF('Final Calculation Sheet'!$O$7="","",'Final Calculation Sheet'!$O$7)</f>
        <v/>
      </c>
      <c r="O11" s="1079">
        <f>IF('Final Calculation Sheet'!$P$7="","",'Final Calculation Sheet'!$P$7)</f>
        <v/>
      </c>
      <c r="P11" s="1084">
        <f>IF('Final Calculation Sheet'!$Q$7="","",'Final Calculation Sheet'!$Q$7)</f>
        <v/>
      </c>
      <c r="Q11" s="1079">
        <f>IF('Final Calculation Sheet'!$R$7="","",'Final Calculation Sheet'!$R$7)</f>
        <v/>
      </c>
      <c r="R11" s="1079">
        <f>IF('Final Calculation Sheet'!$S$7="","",'Final Calculation Sheet'!$S$7)</f>
        <v/>
      </c>
      <c r="S11" s="1079">
        <f>IF('Final Calculation Sheet'!$T$7="","",'Final Calculation Sheet'!$T$7)</f>
        <v/>
      </c>
      <c r="T11" s="1079">
        <f>IF('Final Calculation Sheet'!$U$7="","",'Final Calculation Sheet'!$U$7)</f>
        <v/>
      </c>
      <c r="U11" s="1082">
        <f>IF('Final Calculation Sheet'!$V$7="","",'Final Calculation Sheet'!$V$7)</f>
        <v/>
      </c>
      <c r="V11" s="1079">
        <f>IF('Final Calculation Sheet'!$W$7="","",'Final Calculation Sheet'!$W$7)</f>
        <v/>
      </c>
      <c r="W11" s="1079">
        <f>IF('Final Calculation Sheet'!$X$7="","",'Final Calculation Sheet'!$X$7)</f>
        <v/>
      </c>
      <c r="X11" s="1082">
        <f>IF('Final Calculation Sheet'!$Y$7="","",'Final Calculation Sheet'!$Y$7)</f>
        <v/>
      </c>
      <c r="Y11" s="1079">
        <f>IF('Final Calculation Sheet'!$Z$7="","",'Final Calculation Sheet'!$Z$7)</f>
        <v/>
      </c>
      <c r="Z11" s="1079">
        <f>IF('Final Calculation Sheet'!$AA$7="","",'Final Calculation Sheet'!$AA$7)</f>
        <v/>
      </c>
      <c r="AA11" s="1082">
        <f>IF('Final Calculation Sheet'!$AB$7="","",'Final Calculation Sheet'!$AB$7)</f>
        <v/>
      </c>
      <c r="AB11" s="1079">
        <f>IF('Final Calculation Sheet'!$AC$7="","",'Final Calculation Sheet'!$AC$7)</f>
        <v/>
      </c>
      <c r="AC11" s="1079">
        <f>IF('Final Calculation Sheet'!$AD$7="","",'Final Calculation Sheet'!$AD$7)</f>
        <v/>
      </c>
      <c r="AD11" s="1082">
        <f>IF('Final Calculation Sheet'!$AD$7="","",IF('Final Calculation Sheet'!$AD$7&lt;=0,"SETTLED","OUTSTANDING"))</f>
        <v/>
      </c>
      <c r="AE11" s="1082">
        <f>IF('Final Calculation Sheet'!$AE$7="","",'Final Calculation Sheet'!$AE$7)</f>
        <v/>
      </c>
      <c r="AF11" s="1079">
        <f>IF('Final Calculation Sheet'!$AF$7="","",'Final Calculation Sheet'!$AF$7)</f>
        <v/>
      </c>
      <c r="AG11" s="1082">
        <f>IF('Final Calculation Sheet'!$AG$7="","",'Final Calculation Sheet'!$AG$7)</f>
        <v/>
      </c>
    </row>
    <row r="12" ht="20" customHeight="1">
      <c r="A12" s="1085" t="inlineStr">
        <is>
          <t>∑  F R KHANS ENTERPRISES — TOTALS</t>
        </is>
      </c>
      <c r="B12" s="755" t="inlineStr">
        <is>
          <t>–</t>
        </is>
      </c>
      <c r="C12" s="755" t="inlineStr">
        <is>
          <t>–</t>
        </is>
      </c>
      <c r="D12" s="1086">
        <f>SUM(D10:D11)</f>
        <v/>
      </c>
      <c r="E12" s="755" t="inlineStr">
        <is>
          <t>–</t>
        </is>
      </c>
      <c r="F12" s="755" t="inlineStr">
        <is>
          <t>–</t>
        </is>
      </c>
      <c r="G12" s="1087">
        <f>SUM(G10:G11)</f>
        <v/>
      </c>
      <c r="H12" s="1087">
        <f>SUM(H10:H11)</f>
        <v/>
      </c>
      <c r="I12" s="1087">
        <f>SUM(I10:I11)</f>
        <v/>
      </c>
      <c r="J12" s="1087">
        <f>SUM(J10:J11)</f>
        <v/>
      </c>
      <c r="K12" s="1088">
        <f>SUM(K10:K11)</f>
        <v/>
      </c>
      <c r="L12" s="1088">
        <f>SUM(L10:L11)</f>
        <v/>
      </c>
      <c r="M12" s="1088">
        <f>SUM(M10:M11)</f>
        <v/>
      </c>
      <c r="N12" s="1088">
        <f>SUM(N10:N11)</f>
        <v/>
      </c>
      <c r="O12" s="1087">
        <f>SUM(O10:O11)</f>
        <v/>
      </c>
      <c r="P12" s="755" t="inlineStr">
        <is>
          <t>–</t>
        </is>
      </c>
      <c r="Q12" s="1087">
        <f>SUM(Q10:Q11)</f>
        <v/>
      </c>
      <c r="R12" s="1087">
        <f>SUM(R10:R11)</f>
        <v/>
      </c>
      <c r="S12" s="1087">
        <f>SUM(S10:S11)</f>
        <v/>
      </c>
      <c r="T12" s="1087">
        <f>SUM(T10:T11)</f>
        <v/>
      </c>
      <c r="U12" s="755" t="inlineStr">
        <is>
          <t>–</t>
        </is>
      </c>
      <c r="V12" s="1087">
        <f>SUM(V10:V11)</f>
        <v/>
      </c>
      <c r="W12" s="1087">
        <f>SUM(W10:W11)</f>
        <v/>
      </c>
      <c r="X12" s="755" t="inlineStr">
        <is>
          <t>–</t>
        </is>
      </c>
      <c r="Y12" s="1087">
        <f>SUM(Y10:Y11)</f>
        <v/>
      </c>
      <c r="Z12" s="1087">
        <f>SUM(Z10:Z11)</f>
        <v/>
      </c>
      <c r="AA12" s="755" t="inlineStr">
        <is>
          <t>–</t>
        </is>
      </c>
      <c r="AB12" s="1087">
        <f>SUM(AB10:AB11)</f>
        <v/>
      </c>
      <c r="AC12" s="1087">
        <f>SUM(AC10:AC11)</f>
        <v/>
      </c>
      <c r="AD12" s="755" t="inlineStr">
        <is>
          <t>–</t>
        </is>
      </c>
      <c r="AE12" s="755" t="inlineStr">
        <is>
          <t>–</t>
        </is>
      </c>
      <c r="AF12" s="755" t="inlineStr">
        <is>
          <t>–</t>
        </is>
      </c>
      <c r="AG12" s="755" t="inlineStr">
        <is>
          <t>–</t>
        </is>
      </c>
    </row>
    <row r="13" ht="7" customHeight="1">
      <c r="A13" s="866" t="n"/>
      <c r="B13" s="866" t="n"/>
      <c r="C13" s="866" t="n"/>
      <c r="D13" s="866" t="n"/>
      <c r="E13" s="866" t="n"/>
      <c r="F13" s="866" t="n"/>
      <c r="G13" s="866" t="n"/>
      <c r="H13" s="866" t="n"/>
      <c r="I13" s="866" t="n"/>
      <c r="J13" s="866" t="n"/>
      <c r="K13" s="866" t="n"/>
      <c r="L13" s="866" t="n"/>
      <c r="M13" s="866" t="n"/>
      <c r="N13" s="866" t="n"/>
      <c r="O13" s="866" t="n"/>
      <c r="P13" s="866" t="n"/>
      <c r="Q13" s="866" t="n"/>
      <c r="R13" s="866" t="n"/>
      <c r="S13" s="866" t="n"/>
      <c r="T13" s="866" t="n"/>
      <c r="U13" s="866" t="n"/>
      <c r="V13" s="866" t="n"/>
      <c r="W13" s="866" t="n"/>
      <c r="X13" s="866" t="n"/>
      <c r="Y13" s="866" t="n"/>
      <c r="Z13" s="866" t="n"/>
      <c r="AA13" s="866" t="n"/>
      <c r="AB13" s="866" t="n"/>
      <c r="AC13" s="866" t="n"/>
      <c r="AD13" s="866" t="n"/>
      <c r="AE13" s="866" t="n"/>
      <c r="AF13" s="866" t="n"/>
      <c r="AG13" s="866" t="n"/>
    </row>
    <row r="14" ht="24" customHeight="1">
      <c r="A14" s="877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1089">
        <f>IF('Final Calculation Sheet'!$F$15="","",'Final Calculation Sheet'!$F$15)</f>
        <v/>
      </c>
      <c r="B15" s="1090">
        <f>IF('Final Calculation Sheet'!$B$15="","",'Final Calculation Sheet'!$B$15)</f>
        <v/>
      </c>
      <c r="C15" s="1089">
        <f>IF('Final Calculation Sheet'!$D$15="","",'Final Calculation Sheet'!$D$15)</f>
        <v/>
      </c>
      <c r="D15" s="1091">
        <f>IF('Final Calculation Sheet'!$A$15="","",'Final Calculation Sheet'!$A$15)</f>
        <v/>
      </c>
      <c r="E15" s="1092">
        <f>IF('Final Calculation Sheet'!$E$15="","",'Final Calculation Sheet'!$E$15)</f>
        <v/>
      </c>
      <c r="F15" s="1089">
        <f>IF('Final Calculation Sheet'!$C$15="","",'Final Calculation Sheet'!$C$15)</f>
        <v/>
      </c>
      <c r="G15" s="1089">
        <f>IF('Final Calculation Sheet'!$H$15="","",'Final Calculation Sheet'!$H$15)</f>
        <v/>
      </c>
      <c r="H15" s="1089">
        <f>IF('Final Calculation Sheet'!$I$15="","",'Final Calculation Sheet'!$I$15)</f>
        <v/>
      </c>
      <c r="I15" s="1089">
        <f>IF('Final Calculation Sheet'!$J$15="","",'Final Calculation Sheet'!$J$15)</f>
        <v/>
      </c>
      <c r="J15" s="1089">
        <f>IF('Final Calculation Sheet'!$K$15="","",'Final Calculation Sheet'!$K$15)</f>
        <v/>
      </c>
      <c r="K15" s="1093">
        <f>IF('Final Calculation Sheet'!$L$15="","",'Final Calculation Sheet'!$L$15)</f>
        <v/>
      </c>
      <c r="L15" s="1093">
        <f>IF('Final Calculation Sheet'!$M$15="","",'Final Calculation Sheet'!$M$15)</f>
        <v/>
      </c>
      <c r="M15" s="1093">
        <f>IF('Final Calculation Sheet'!$N$15="","",'Final Calculation Sheet'!$N$15)</f>
        <v/>
      </c>
      <c r="N15" s="1093">
        <f>IF('Final Calculation Sheet'!$O$15="","",'Final Calculation Sheet'!$O$15)</f>
        <v/>
      </c>
      <c r="O15" s="1089">
        <f>IF('Final Calculation Sheet'!$P$15="","",'Final Calculation Sheet'!$P$15)</f>
        <v/>
      </c>
      <c r="P15" s="1094">
        <f>IF('Final Calculation Sheet'!$Q$15="","",'Final Calculation Sheet'!$Q$15)</f>
        <v/>
      </c>
      <c r="Q15" s="1089">
        <f>IF('Final Calculation Sheet'!$R$15="","",'Final Calculation Sheet'!$R$15)</f>
        <v/>
      </c>
      <c r="R15" s="1089">
        <f>IF('Final Calculation Sheet'!$S$15="","",'Final Calculation Sheet'!$S$15)</f>
        <v/>
      </c>
      <c r="S15" s="1089">
        <f>IF('Final Calculation Sheet'!$T$15="","",'Final Calculation Sheet'!$T$15)</f>
        <v/>
      </c>
      <c r="T15" s="1089">
        <f>IF('Final Calculation Sheet'!$U$15="","",'Final Calculation Sheet'!$U$15)</f>
        <v/>
      </c>
      <c r="U15" s="1092">
        <f>IF('Final Calculation Sheet'!$V$15="","",'Final Calculation Sheet'!$V$15)</f>
        <v/>
      </c>
      <c r="V15" s="1089">
        <f>IF('Final Calculation Sheet'!$W$15="","",'Final Calculation Sheet'!$W$15)</f>
        <v/>
      </c>
      <c r="W15" s="1089">
        <f>IF('Final Calculation Sheet'!$X$15="","",'Final Calculation Sheet'!$X$15)</f>
        <v/>
      </c>
      <c r="X15" s="1092">
        <f>IF('Final Calculation Sheet'!$Y$15="","",'Final Calculation Sheet'!$Y$15)</f>
        <v/>
      </c>
      <c r="Y15" s="1089">
        <f>IF('Final Calculation Sheet'!$Z$15="","",'Final Calculation Sheet'!$Z$15)</f>
        <v/>
      </c>
      <c r="Z15" s="1089">
        <f>IF('Final Calculation Sheet'!$AA$15="","",'Final Calculation Sheet'!$AA$15)</f>
        <v/>
      </c>
      <c r="AA15" s="1092">
        <f>IF('Final Calculation Sheet'!$AB$15="","",'Final Calculation Sheet'!$AB$15)</f>
        <v/>
      </c>
      <c r="AB15" s="1089">
        <f>IF('Final Calculation Sheet'!$AC$15="","",'Final Calculation Sheet'!$AC$15)</f>
        <v/>
      </c>
      <c r="AC15" s="1089">
        <f>IF('Final Calculation Sheet'!$AD$15="","",'Final Calculation Sheet'!$AD$15)</f>
        <v/>
      </c>
      <c r="AD15" s="1092">
        <f>IF('Final Calculation Sheet'!$AD$15="","",IF('Final Calculation Sheet'!$AD$15&lt;=0,"SETTLED","OUTSTANDING"))</f>
        <v/>
      </c>
      <c r="AE15" s="1092">
        <f>IF('Final Calculation Sheet'!$AE$15="","",'Final Calculation Sheet'!$AE$15)</f>
        <v/>
      </c>
      <c r="AF15" s="1089">
        <f>IF('Final Calculation Sheet'!$AF$15="","",'Final Calculation Sheet'!$AF$15)</f>
        <v/>
      </c>
      <c r="AG15" s="1092">
        <f>IF('Final Calculation Sheet'!$AG$15="","",'Final Calculation Sheet'!$AG$15)</f>
        <v/>
      </c>
    </row>
    <row r="16" ht="20" customHeight="1">
      <c r="A16" s="1095" t="inlineStr">
        <is>
          <t>∑  HIND TRADERS — TOTALS</t>
        </is>
      </c>
      <c r="B16" s="756" t="inlineStr">
        <is>
          <t>–</t>
        </is>
      </c>
      <c r="C16" s="756" t="inlineStr">
        <is>
          <t>–</t>
        </is>
      </c>
      <c r="D16" s="1096">
        <f>SUM(D15:D15)</f>
        <v/>
      </c>
      <c r="E16" s="756" t="inlineStr">
        <is>
          <t>–</t>
        </is>
      </c>
      <c r="F16" s="756" t="inlineStr">
        <is>
          <t>–</t>
        </is>
      </c>
      <c r="G16" s="1097">
        <f>SUM(G15:G15)</f>
        <v/>
      </c>
      <c r="H16" s="1097">
        <f>SUM(H15:H15)</f>
        <v/>
      </c>
      <c r="I16" s="1097">
        <f>SUM(I15:I15)</f>
        <v/>
      </c>
      <c r="J16" s="1097">
        <f>SUM(J15:J15)</f>
        <v/>
      </c>
      <c r="K16" s="1098">
        <f>SUM(K15:K15)</f>
        <v/>
      </c>
      <c r="L16" s="1098">
        <f>SUM(L15:L15)</f>
        <v/>
      </c>
      <c r="M16" s="1098">
        <f>SUM(M15:M15)</f>
        <v/>
      </c>
      <c r="N16" s="1098">
        <f>SUM(N15:N15)</f>
        <v/>
      </c>
      <c r="O16" s="1097">
        <f>SUM(O15:O15)</f>
        <v/>
      </c>
      <c r="P16" s="756" t="inlineStr">
        <is>
          <t>–</t>
        </is>
      </c>
      <c r="Q16" s="1097">
        <f>SUM(Q15:Q15)</f>
        <v/>
      </c>
      <c r="R16" s="1097">
        <f>SUM(R15:R15)</f>
        <v/>
      </c>
      <c r="S16" s="1097">
        <f>SUM(S15:S15)</f>
        <v/>
      </c>
      <c r="T16" s="1097">
        <f>SUM(T15:T15)</f>
        <v/>
      </c>
      <c r="U16" s="756" t="inlineStr">
        <is>
          <t>–</t>
        </is>
      </c>
      <c r="V16" s="1097">
        <f>SUM(V15:V15)</f>
        <v/>
      </c>
      <c r="W16" s="1097">
        <f>SUM(W15:W15)</f>
        <v/>
      </c>
      <c r="X16" s="756" t="inlineStr">
        <is>
          <t>–</t>
        </is>
      </c>
      <c r="Y16" s="1097">
        <f>SUM(Y15:Y15)</f>
        <v/>
      </c>
      <c r="Z16" s="1097">
        <f>SUM(Z15:Z15)</f>
        <v/>
      </c>
      <c r="AA16" s="756" t="inlineStr">
        <is>
          <t>–</t>
        </is>
      </c>
      <c r="AB16" s="1097">
        <f>SUM(AB15:AB15)</f>
        <v/>
      </c>
      <c r="AC16" s="1097">
        <f>SUM(AC15:AC15)</f>
        <v/>
      </c>
      <c r="AD16" s="756" t="inlineStr">
        <is>
          <t>–</t>
        </is>
      </c>
      <c r="AE16" s="756" t="inlineStr">
        <is>
          <t>–</t>
        </is>
      </c>
      <c r="AF16" s="756" t="inlineStr">
        <is>
          <t>–</t>
        </is>
      </c>
      <c r="AG16" s="756" t="inlineStr">
        <is>
          <t>–</t>
        </is>
      </c>
    </row>
    <row r="17" ht="7" customHeight="1">
      <c r="A17" s="866" t="n"/>
      <c r="B17" s="866" t="n"/>
      <c r="C17" s="866" t="n"/>
      <c r="D17" s="866" t="n"/>
      <c r="E17" s="866" t="n"/>
      <c r="F17" s="866" t="n"/>
      <c r="G17" s="866" t="n"/>
      <c r="H17" s="866" t="n"/>
      <c r="I17" s="866" t="n"/>
      <c r="J17" s="866" t="n"/>
      <c r="K17" s="866" t="n"/>
      <c r="L17" s="866" t="n"/>
      <c r="M17" s="866" t="n"/>
      <c r="N17" s="866" t="n"/>
      <c r="O17" s="866" t="n"/>
      <c r="P17" s="866" t="n"/>
      <c r="Q17" s="866" t="n"/>
      <c r="R17" s="866" t="n"/>
      <c r="S17" s="866" t="n"/>
      <c r="T17" s="866" t="n"/>
      <c r="U17" s="866" t="n"/>
      <c r="V17" s="866" t="n"/>
      <c r="W17" s="866" t="n"/>
      <c r="X17" s="866" t="n"/>
      <c r="Y17" s="866" t="n"/>
      <c r="Z17" s="866" t="n"/>
      <c r="AA17" s="866" t="n"/>
      <c r="AB17" s="866" t="n"/>
      <c r="AC17" s="866" t="n"/>
      <c r="AD17" s="866" t="n"/>
      <c r="AE17" s="866" t="n"/>
      <c r="AF17" s="866" t="n"/>
      <c r="AG17" s="866" t="n"/>
    </row>
    <row r="18" ht="24" customHeight="1">
      <c r="A18" s="887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1099">
        <f>IF('Final Calculation Sheet'!$F$38="","",'Final Calculation Sheet'!$F$38)</f>
        <v/>
      </c>
      <c r="B19" s="1100">
        <f>IF('Final Calculation Sheet'!$B$38="","",'Final Calculation Sheet'!$B$38)</f>
        <v/>
      </c>
      <c r="C19" s="1099">
        <f>IF('Final Calculation Sheet'!$D$38="","",'Final Calculation Sheet'!$D$38)</f>
        <v/>
      </c>
      <c r="D19" s="1101">
        <f>IF('Final Calculation Sheet'!$A$38="","",'Final Calculation Sheet'!$A$38)</f>
        <v/>
      </c>
      <c r="E19" s="1102">
        <f>IF('Final Calculation Sheet'!$E$38="","",'Final Calculation Sheet'!$E$38)</f>
        <v/>
      </c>
      <c r="F19" s="1099">
        <f>IF('Final Calculation Sheet'!$C$38="","",'Final Calculation Sheet'!$C$38)</f>
        <v/>
      </c>
      <c r="G19" s="1099">
        <f>IF('Final Calculation Sheet'!$H$38="","",'Final Calculation Sheet'!$H$38)</f>
        <v/>
      </c>
      <c r="H19" s="1099">
        <f>IF('Final Calculation Sheet'!$I$38="","",'Final Calculation Sheet'!$I$38)</f>
        <v/>
      </c>
      <c r="I19" s="1099">
        <f>IF('Final Calculation Sheet'!$J$38="","",'Final Calculation Sheet'!$J$38)</f>
        <v/>
      </c>
      <c r="J19" s="1099">
        <f>IF('Final Calculation Sheet'!$K$38="","",'Final Calculation Sheet'!$K$38)</f>
        <v/>
      </c>
      <c r="K19" s="1103">
        <f>IF('Final Calculation Sheet'!$L$38="","",'Final Calculation Sheet'!$L$38)</f>
        <v/>
      </c>
      <c r="L19" s="1103">
        <f>IF('Final Calculation Sheet'!$M$38="","",'Final Calculation Sheet'!$M$38)</f>
        <v/>
      </c>
      <c r="M19" s="1103">
        <f>IF('Final Calculation Sheet'!$N$38="","",'Final Calculation Sheet'!$N$38)</f>
        <v/>
      </c>
      <c r="N19" s="1103">
        <f>IF('Final Calculation Sheet'!$O$38="","",'Final Calculation Sheet'!$O$38)</f>
        <v/>
      </c>
      <c r="O19" s="1099">
        <f>IF('Final Calculation Sheet'!$P$38="","",'Final Calculation Sheet'!$P$38)</f>
        <v/>
      </c>
      <c r="P19" s="1104">
        <f>IF('Final Calculation Sheet'!$Q$38="","",'Final Calculation Sheet'!$Q$38)</f>
        <v/>
      </c>
      <c r="Q19" s="1099">
        <f>IF('Final Calculation Sheet'!$R$38="","",'Final Calculation Sheet'!$R$38)</f>
        <v/>
      </c>
      <c r="R19" s="1099">
        <f>IF('Final Calculation Sheet'!$S$38="","",'Final Calculation Sheet'!$S$38)</f>
        <v/>
      </c>
      <c r="S19" s="1099">
        <f>IF('Final Calculation Sheet'!$T$38="","",'Final Calculation Sheet'!$T$38)</f>
        <v/>
      </c>
      <c r="T19" s="1099">
        <f>IF('Final Calculation Sheet'!$U$38="","",'Final Calculation Sheet'!$U$38)</f>
        <v/>
      </c>
      <c r="U19" s="1102">
        <f>IF('Final Calculation Sheet'!$V$38="","",'Final Calculation Sheet'!$V$38)</f>
        <v/>
      </c>
      <c r="V19" s="1099">
        <f>IF('Final Calculation Sheet'!$W$38="","",'Final Calculation Sheet'!$W$38)</f>
        <v/>
      </c>
      <c r="W19" s="1099">
        <f>IF('Final Calculation Sheet'!$X$38="","",'Final Calculation Sheet'!$X$38)</f>
        <v/>
      </c>
      <c r="X19" s="1102">
        <f>IF('Final Calculation Sheet'!$Y$38="","",'Final Calculation Sheet'!$Y$38)</f>
        <v/>
      </c>
      <c r="Y19" s="1099">
        <f>IF('Final Calculation Sheet'!$Z$38="","",'Final Calculation Sheet'!$Z$38)</f>
        <v/>
      </c>
      <c r="Z19" s="1099">
        <f>IF('Final Calculation Sheet'!$AA$38="","",'Final Calculation Sheet'!$AA$38)</f>
        <v/>
      </c>
      <c r="AA19" s="1102">
        <f>IF('Final Calculation Sheet'!$AB$38="","",'Final Calculation Sheet'!$AB$38)</f>
        <v/>
      </c>
      <c r="AB19" s="1099">
        <f>IF('Final Calculation Sheet'!$AC$38="","",'Final Calculation Sheet'!$AC$38)</f>
        <v/>
      </c>
      <c r="AC19" s="1099">
        <f>IF('Final Calculation Sheet'!$AD$38="","",'Final Calculation Sheet'!$AD$38)</f>
        <v/>
      </c>
      <c r="AD19" s="1102">
        <f>IF('Final Calculation Sheet'!$AD$38="","",IF('Final Calculation Sheet'!$AD$38&lt;=0,"SETTLED","OUTSTANDING"))</f>
        <v/>
      </c>
      <c r="AE19" s="1102">
        <f>IF('Final Calculation Sheet'!$AE$38="","",'Final Calculation Sheet'!$AE$38)</f>
        <v/>
      </c>
      <c r="AF19" s="1099">
        <f>IF('Final Calculation Sheet'!$AF$38="","",'Final Calculation Sheet'!$AF$38)</f>
        <v/>
      </c>
      <c r="AG19" s="1102">
        <f>IF('Final Calculation Sheet'!$AG$38="","",'Final Calculation Sheet'!$AG$38)</f>
        <v/>
      </c>
    </row>
    <row r="20" ht="20" customHeight="1">
      <c r="A20" s="1105" t="inlineStr">
        <is>
          <t>∑  KASHYAP TRADING CO — TOTALS</t>
        </is>
      </c>
      <c r="B20" s="757" t="inlineStr">
        <is>
          <t>–</t>
        </is>
      </c>
      <c r="C20" s="757" t="inlineStr">
        <is>
          <t>–</t>
        </is>
      </c>
      <c r="D20" s="1106">
        <f>SUM(D19:D19)</f>
        <v/>
      </c>
      <c r="E20" s="757" t="inlineStr">
        <is>
          <t>–</t>
        </is>
      </c>
      <c r="F20" s="757" t="inlineStr">
        <is>
          <t>–</t>
        </is>
      </c>
      <c r="G20" s="1107">
        <f>SUM(G19:G19)</f>
        <v/>
      </c>
      <c r="H20" s="1107">
        <f>SUM(H19:H19)</f>
        <v/>
      </c>
      <c r="I20" s="1107">
        <f>SUM(I19:I19)</f>
        <v/>
      </c>
      <c r="J20" s="1107">
        <f>SUM(J19:J19)</f>
        <v/>
      </c>
      <c r="K20" s="1108">
        <f>SUM(K19:K19)</f>
        <v/>
      </c>
      <c r="L20" s="1108">
        <f>SUM(L19:L19)</f>
        <v/>
      </c>
      <c r="M20" s="1108">
        <f>SUM(M19:M19)</f>
        <v/>
      </c>
      <c r="N20" s="1108">
        <f>SUM(N19:N19)</f>
        <v/>
      </c>
      <c r="O20" s="1107">
        <f>SUM(O19:O19)</f>
        <v/>
      </c>
      <c r="P20" s="757" t="inlineStr">
        <is>
          <t>–</t>
        </is>
      </c>
      <c r="Q20" s="1107">
        <f>SUM(Q19:Q19)</f>
        <v/>
      </c>
      <c r="R20" s="1107">
        <f>SUM(R19:R19)</f>
        <v/>
      </c>
      <c r="S20" s="1107">
        <f>SUM(S19:S19)</f>
        <v/>
      </c>
      <c r="T20" s="1107">
        <f>SUM(T19:T19)</f>
        <v/>
      </c>
      <c r="U20" s="757" t="inlineStr">
        <is>
          <t>–</t>
        </is>
      </c>
      <c r="V20" s="1107">
        <f>SUM(V19:V19)</f>
        <v/>
      </c>
      <c r="W20" s="1107">
        <f>SUM(W19:W19)</f>
        <v/>
      </c>
      <c r="X20" s="757" t="inlineStr">
        <is>
          <t>–</t>
        </is>
      </c>
      <c r="Y20" s="1107">
        <f>SUM(Y19:Y19)</f>
        <v/>
      </c>
      <c r="Z20" s="1107">
        <f>SUM(Z19:Z19)</f>
        <v/>
      </c>
      <c r="AA20" s="757" t="inlineStr">
        <is>
          <t>–</t>
        </is>
      </c>
      <c r="AB20" s="1107">
        <f>SUM(AB19:AB19)</f>
        <v/>
      </c>
      <c r="AC20" s="1107">
        <f>SUM(AC19:AC19)</f>
        <v/>
      </c>
      <c r="AD20" s="757" t="inlineStr">
        <is>
          <t>–</t>
        </is>
      </c>
      <c r="AE20" s="757" t="inlineStr">
        <is>
          <t>–</t>
        </is>
      </c>
      <c r="AF20" s="757" t="inlineStr">
        <is>
          <t>–</t>
        </is>
      </c>
      <c r="AG20" s="757" t="inlineStr">
        <is>
          <t>–</t>
        </is>
      </c>
    </row>
    <row r="21" ht="7" customHeight="1">
      <c r="A21" s="866" t="n"/>
      <c r="B21" s="866" t="n"/>
      <c r="C21" s="866" t="n"/>
      <c r="D21" s="866" t="n"/>
      <c r="E21" s="866" t="n"/>
      <c r="F21" s="866" t="n"/>
      <c r="G21" s="866" t="n"/>
      <c r="H21" s="866" t="n"/>
      <c r="I21" s="866" t="n"/>
      <c r="J21" s="866" t="n"/>
      <c r="K21" s="866" t="n"/>
      <c r="L21" s="866" t="n"/>
      <c r="M21" s="866" t="n"/>
      <c r="N21" s="866" t="n"/>
      <c r="O21" s="866" t="n"/>
      <c r="P21" s="866" t="n"/>
      <c r="Q21" s="866" t="n"/>
      <c r="R21" s="866" t="n"/>
      <c r="S21" s="866" t="n"/>
      <c r="T21" s="866" t="n"/>
      <c r="U21" s="866" t="n"/>
      <c r="V21" s="866" t="n"/>
      <c r="W21" s="866" t="n"/>
      <c r="X21" s="866" t="n"/>
      <c r="Y21" s="866" t="n"/>
      <c r="Z21" s="866" t="n"/>
      <c r="AA21" s="866" t="n"/>
      <c r="AB21" s="866" t="n"/>
      <c r="AC21" s="866" t="n"/>
      <c r="AD21" s="866" t="n"/>
      <c r="AE21" s="866" t="n"/>
      <c r="AF21" s="866" t="n"/>
      <c r="AG21" s="866" t="n"/>
    </row>
    <row r="22" ht="24" customHeight="1">
      <c r="A22" s="89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1109">
        <f>IF('Final Calculation Sheet'!$F$27="","",'Final Calculation Sheet'!$F$27)</f>
        <v/>
      </c>
      <c r="B23" s="1110">
        <f>IF('Final Calculation Sheet'!$B$27="","",'Final Calculation Sheet'!$B$27)</f>
        <v/>
      </c>
      <c r="C23" s="1109">
        <f>IF('Final Calculation Sheet'!$D$27="","",'Final Calculation Sheet'!$D$27)</f>
        <v/>
      </c>
      <c r="D23" s="1111">
        <f>IF('Final Calculation Sheet'!$A$27="","",'Final Calculation Sheet'!$A$27)</f>
        <v/>
      </c>
      <c r="E23" s="1112">
        <f>IF('Final Calculation Sheet'!$E$27="","",'Final Calculation Sheet'!$E$27)</f>
        <v/>
      </c>
      <c r="F23" s="1109">
        <f>IF('Final Calculation Sheet'!$C$27="","",'Final Calculation Sheet'!$C$27)</f>
        <v/>
      </c>
      <c r="G23" s="1109">
        <f>IF('Final Calculation Sheet'!$H$27="","",'Final Calculation Sheet'!$H$27)</f>
        <v/>
      </c>
      <c r="H23" s="1109">
        <f>IF('Final Calculation Sheet'!$I$27="","",'Final Calculation Sheet'!$I$27)</f>
        <v/>
      </c>
      <c r="I23" s="1109">
        <f>IF('Final Calculation Sheet'!$J$27="","",'Final Calculation Sheet'!$J$27)</f>
        <v/>
      </c>
      <c r="J23" s="1109">
        <f>IF('Final Calculation Sheet'!$K$27="","",'Final Calculation Sheet'!$K$27)</f>
        <v/>
      </c>
      <c r="K23" s="1113">
        <f>IF('Final Calculation Sheet'!$L$27="","",'Final Calculation Sheet'!$L$27)</f>
        <v/>
      </c>
      <c r="L23" s="1113">
        <f>IF('Final Calculation Sheet'!$M$27="","",'Final Calculation Sheet'!$M$27)</f>
        <v/>
      </c>
      <c r="M23" s="1113">
        <f>IF('Final Calculation Sheet'!$N$27="","",'Final Calculation Sheet'!$N$27)</f>
        <v/>
      </c>
      <c r="N23" s="1113">
        <f>IF('Final Calculation Sheet'!$O$27="","",'Final Calculation Sheet'!$O$27)</f>
        <v/>
      </c>
      <c r="O23" s="1109">
        <f>IF('Final Calculation Sheet'!$P$27="","",'Final Calculation Sheet'!$P$27)</f>
        <v/>
      </c>
      <c r="P23" s="1114">
        <f>IF('Final Calculation Sheet'!$Q$27="","",'Final Calculation Sheet'!$Q$27)</f>
        <v/>
      </c>
      <c r="Q23" s="1109">
        <f>IF('Final Calculation Sheet'!$R$27="","",'Final Calculation Sheet'!$R$27)</f>
        <v/>
      </c>
      <c r="R23" s="1109">
        <f>IF('Final Calculation Sheet'!$S$27="","",'Final Calculation Sheet'!$S$27)</f>
        <v/>
      </c>
      <c r="S23" s="1109">
        <f>IF('Final Calculation Sheet'!$T$27="","",'Final Calculation Sheet'!$T$27)</f>
        <v/>
      </c>
      <c r="T23" s="1109">
        <f>IF('Final Calculation Sheet'!$U$27="","",'Final Calculation Sheet'!$U$27)</f>
        <v/>
      </c>
      <c r="U23" s="1112">
        <f>IF('Final Calculation Sheet'!$V$27="","",'Final Calculation Sheet'!$V$27)</f>
        <v/>
      </c>
      <c r="V23" s="1109">
        <f>IF('Final Calculation Sheet'!$W$27="","",'Final Calculation Sheet'!$W$27)</f>
        <v/>
      </c>
      <c r="W23" s="1109">
        <f>IF('Final Calculation Sheet'!$X$27="","",'Final Calculation Sheet'!$X$27)</f>
        <v/>
      </c>
      <c r="X23" s="1112">
        <f>IF('Final Calculation Sheet'!$Y$27="","",'Final Calculation Sheet'!$Y$27)</f>
        <v/>
      </c>
      <c r="Y23" s="1109">
        <f>IF('Final Calculation Sheet'!$Z$27="","",'Final Calculation Sheet'!$Z$27)</f>
        <v/>
      </c>
      <c r="Z23" s="1109">
        <f>IF('Final Calculation Sheet'!$AA$27="","",'Final Calculation Sheet'!$AA$27)</f>
        <v/>
      </c>
      <c r="AA23" s="1112">
        <f>IF('Final Calculation Sheet'!$AB$27="","",'Final Calculation Sheet'!$AB$27)</f>
        <v/>
      </c>
      <c r="AB23" s="1109">
        <f>IF('Final Calculation Sheet'!$AC$27="","",'Final Calculation Sheet'!$AC$27)</f>
        <v/>
      </c>
      <c r="AC23" s="1109">
        <f>IF('Final Calculation Sheet'!$AD$27="","",'Final Calculation Sheet'!$AD$27)</f>
        <v/>
      </c>
      <c r="AD23" s="1112">
        <f>IF('Final Calculation Sheet'!$AD$27="","",IF('Final Calculation Sheet'!$AD$27&lt;=0,"SETTLED","OUTSTANDING"))</f>
        <v/>
      </c>
      <c r="AE23" s="1112">
        <f>IF('Final Calculation Sheet'!$AE$27="","",'Final Calculation Sheet'!$AE$27)</f>
        <v/>
      </c>
      <c r="AF23" s="1109">
        <f>IF('Final Calculation Sheet'!$AF$27="","",'Final Calculation Sheet'!$AF$27)</f>
        <v/>
      </c>
      <c r="AG23" s="1112">
        <f>IF('Final Calculation Sheet'!$AG$27="","",'Final Calculation Sheet'!$AG$27)</f>
        <v/>
      </c>
    </row>
    <row r="24" ht="20" customHeight="1">
      <c r="A24" s="1115" t="inlineStr">
        <is>
          <t>∑  M I SCRAP TRADERS — TOTALS</t>
        </is>
      </c>
      <c r="B24" s="758" t="inlineStr">
        <is>
          <t>–</t>
        </is>
      </c>
      <c r="C24" s="758" t="inlineStr">
        <is>
          <t>–</t>
        </is>
      </c>
      <c r="D24" s="1116">
        <f>SUM(D23:D23)</f>
        <v/>
      </c>
      <c r="E24" s="758" t="inlineStr">
        <is>
          <t>–</t>
        </is>
      </c>
      <c r="F24" s="758" t="inlineStr">
        <is>
          <t>–</t>
        </is>
      </c>
      <c r="G24" s="1117">
        <f>SUM(G23:G23)</f>
        <v/>
      </c>
      <c r="H24" s="1117">
        <f>SUM(H23:H23)</f>
        <v/>
      </c>
      <c r="I24" s="1117">
        <f>SUM(I23:I23)</f>
        <v/>
      </c>
      <c r="J24" s="1117">
        <f>SUM(J23:J23)</f>
        <v/>
      </c>
      <c r="K24" s="1118">
        <f>SUM(K23:K23)</f>
        <v/>
      </c>
      <c r="L24" s="1118">
        <f>SUM(L23:L23)</f>
        <v/>
      </c>
      <c r="M24" s="1118">
        <f>SUM(M23:M23)</f>
        <v/>
      </c>
      <c r="N24" s="1118">
        <f>SUM(N23:N23)</f>
        <v/>
      </c>
      <c r="O24" s="1117">
        <f>SUM(O23:O23)</f>
        <v/>
      </c>
      <c r="P24" s="758" t="inlineStr">
        <is>
          <t>–</t>
        </is>
      </c>
      <c r="Q24" s="1117">
        <f>SUM(Q23:Q23)</f>
        <v/>
      </c>
      <c r="R24" s="1117">
        <f>SUM(R23:R23)</f>
        <v/>
      </c>
      <c r="S24" s="1117">
        <f>SUM(S23:S23)</f>
        <v/>
      </c>
      <c r="T24" s="1117">
        <f>SUM(T23:T23)</f>
        <v/>
      </c>
      <c r="U24" s="758" t="inlineStr">
        <is>
          <t>–</t>
        </is>
      </c>
      <c r="V24" s="1117">
        <f>SUM(V23:V23)</f>
        <v/>
      </c>
      <c r="W24" s="1117">
        <f>SUM(W23:W23)</f>
        <v/>
      </c>
      <c r="X24" s="758" t="inlineStr">
        <is>
          <t>–</t>
        </is>
      </c>
      <c r="Y24" s="1117">
        <f>SUM(Y23:Y23)</f>
        <v/>
      </c>
      <c r="Z24" s="1117">
        <f>SUM(Z23:Z23)</f>
        <v/>
      </c>
      <c r="AA24" s="758" t="inlineStr">
        <is>
          <t>–</t>
        </is>
      </c>
      <c r="AB24" s="1117">
        <f>SUM(AB23:AB23)</f>
        <v/>
      </c>
      <c r="AC24" s="1117">
        <f>SUM(AC23:AC23)</f>
        <v/>
      </c>
      <c r="AD24" s="758" t="inlineStr">
        <is>
          <t>–</t>
        </is>
      </c>
      <c r="AE24" s="758" t="inlineStr">
        <is>
          <t>–</t>
        </is>
      </c>
      <c r="AF24" s="758" t="inlineStr">
        <is>
          <t>–</t>
        </is>
      </c>
      <c r="AG24" s="758" t="inlineStr">
        <is>
          <t>–</t>
        </is>
      </c>
    </row>
    <row r="25" ht="7" customHeight="1">
      <c r="A25" s="866" t="n"/>
      <c r="B25" s="866" t="n"/>
      <c r="C25" s="866" t="n"/>
      <c r="D25" s="866" t="n"/>
      <c r="E25" s="866" t="n"/>
      <c r="F25" s="866" t="n"/>
      <c r="G25" s="866" t="n"/>
      <c r="H25" s="866" t="n"/>
      <c r="I25" s="866" t="n"/>
      <c r="J25" s="866" t="n"/>
      <c r="K25" s="866" t="n"/>
      <c r="L25" s="866" t="n"/>
      <c r="M25" s="866" t="n"/>
      <c r="N25" s="866" t="n"/>
      <c r="O25" s="866" t="n"/>
      <c r="P25" s="866" t="n"/>
      <c r="Q25" s="866" t="n"/>
      <c r="R25" s="866" t="n"/>
      <c r="S25" s="866" t="n"/>
      <c r="T25" s="866" t="n"/>
      <c r="U25" s="866" t="n"/>
      <c r="V25" s="866" t="n"/>
      <c r="W25" s="866" t="n"/>
      <c r="X25" s="866" t="n"/>
      <c r="Y25" s="866" t="n"/>
      <c r="Z25" s="866" t="n"/>
      <c r="AA25" s="866" t="n"/>
      <c r="AB25" s="866" t="n"/>
      <c r="AC25" s="866" t="n"/>
      <c r="AD25" s="866" t="n"/>
      <c r="AE25" s="866" t="n"/>
      <c r="AF25" s="866" t="n"/>
      <c r="AG25" s="866" t="n"/>
    </row>
    <row r="26" ht="24" customHeight="1">
      <c r="A26" s="907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1119">
        <f>IF('Final Calculation Sheet'!$F$5="","",'Final Calculation Sheet'!$F$5)</f>
        <v/>
      </c>
      <c r="B27" s="1120">
        <f>IF('Final Calculation Sheet'!$B$5="","",'Final Calculation Sheet'!$B$5)</f>
        <v/>
      </c>
      <c r="C27" s="1119">
        <f>IF('Final Calculation Sheet'!$D$5="","",'Final Calculation Sheet'!$D$5)</f>
        <v/>
      </c>
      <c r="D27" s="1121">
        <f>IF('Final Calculation Sheet'!$A$5="","",'Final Calculation Sheet'!$A$5)</f>
        <v/>
      </c>
      <c r="E27" s="1122">
        <f>IF('Final Calculation Sheet'!$E$5="","",'Final Calculation Sheet'!$E$5)</f>
        <v/>
      </c>
      <c r="F27" s="1119">
        <f>IF('Final Calculation Sheet'!$C$5="","",'Final Calculation Sheet'!$C$5)</f>
        <v/>
      </c>
      <c r="G27" s="1119">
        <f>IF('Final Calculation Sheet'!$H$5="","",'Final Calculation Sheet'!$H$5)</f>
        <v/>
      </c>
      <c r="H27" s="1119">
        <f>IF('Final Calculation Sheet'!$I$5="","",'Final Calculation Sheet'!$I$5)</f>
        <v/>
      </c>
      <c r="I27" s="1119">
        <f>IF('Final Calculation Sheet'!$J$5="","",'Final Calculation Sheet'!$J$5)</f>
        <v/>
      </c>
      <c r="J27" s="1119">
        <f>IF('Final Calculation Sheet'!$K$5="","",'Final Calculation Sheet'!$K$5)</f>
        <v/>
      </c>
      <c r="K27" s="1123">
        <f>IF('Final Calculation Sheet'!$L$5="","",'Final Calculation Sheet'!$L$5)</f>
        <v/>
      </c>
      <c r="L27" s="1123">
        <f>IF('Final Calculation Sheet'!$M$5="","",'Final Calculation Sheet'!$M$5)</f>
        <v/>
      </c>
      <c r="M27" s="1123">
        <f>IF('Final Calculation Sheet'!$N$5="","",'Final Calculation Sheet'!$N$5)</f>
        <v/>
      </c>
      <c r="N27" s="1123">
        <f>IF('Final Calculation Sheet'!$O$5="","",'Final Calculation Sheet'!$O$5)</f>
        <v/>
      </c>
      <c r="O27" s="1119">
        <f>IF('Final Calculation Sheet'!$P$5="","",'Final Calculation Sheet'!$P$5)</f>
        <v/>
      </c>
      <c r="P27" s="1124">
        <f>IF('Final Calculation Sheet'!$Q$5="","",'Final Calculation Sheet'!$Q$5)</f>
        <v/>
      </c>
      <c r="Q27" s="1119">
        <f>IF('Final Calculation Sheet'!$R$5="","",'Final Calculation Sheet'!$R$5)</f>
        <v/>
      </c>
      <c r="R27" s="1119">
        <f>IF('Final Calculation Sheet'!$S$5="","",'Final Calculation Sheet'!$S$5)</f>
        <v/>
      </c>
      <c r="S27" s="1119">
        <f>IF('Final Calculation Sheet'!$T$5="","",'Final Calculation Sheet'!$T$5)</f>
        <v/>
      </c>
      <c r="T27" s="1119">
        <f>IF('Final Calculation Sheet'!$U$5="","",'Final Calculation Sheet'!$U$5)</f>
        <v/>
      </c>
      <c r="U27" s="1122">
        <f>IF('Final Calculation Sheet'!$V$5="","",'Final Calculation Sheet'!$V$5)</f>
        <v/>
      </c>
      <c r="V27" s="1119">
        <f>IF('Final Calculation Sheet'!$W$5="","",'Final Calculation Sheet'!$W$5)</f>
        <v/>
      </c>
      <c r="W27" s="1119">
        <f>IF('Final Calculation Sheet'!$X$5="","",'Final Calculation Sheet'!$X$5)</f>
        <v/>
      </c>
      <c r="X27" s="1122">
        <f>IF('Final Calculation Sheet'!$Y$5="","",'Final Calculation Sheet'!$Y$5)</f>
        <v/>
      </c>
      <c r="Y27" s="1119">
        <f>IF('Final Calculation Sheet'!$Z$5="","",'Final Calculation Sheet'!$Z$5)</f>
        <v/>
      </c>
      <c r="Z27" s="1119">
        <f>IF('Final Calculation Sheet'!$AA$5="","",'Final Calculation Sheet'!$AA$5)</f>
        <v/>
      </c>
      <c r="AA27" s="1122">
        <f>IF('Final Calculation Sheet'!$AB$5="","",'Final Calculation Sheet'!$AB$5)</f>
        <v/>
      </c>
      <c r="AB27" s="1119">
        <f>IF('Final Calculation Sheet'!$AC$5="","",'Final Calculation Sheet'!$AC$5)</f>
        <v/>
      </c>
      <c r="AC27" s="1119">
        <f>IF('Final Calculation Sheet'!$AD$5="","",'Final Calculation Sheet'!$AD$5)</f>
        <v/>
      </c>
      <c r="AD27" s="1122">
        <f>IF('Final Calculation Sheet'!$AD$5="","",IF('Final Calculation Sheet'!$AD$5&lt;=0,"SETTLED","OUTSTANDING"))</f>
        <v/>
      </c>
      <c r="AE27" s="1122">
        <f>IF('Final Calculation Sheet'!$AE$5="","",'Final Calculation Sheet'!$AE$5)</f>
        <v/>
      </c>
      <c r="AF27" s="1119">
        <f>IF('Final Calculation Sheet'!$AF$5="","",'Final Calculation Sheet'!$AF$5)</f>
        <v/>
      </c>
      <c r="AG27" s="1122">
        <f>IF('Final Calculation Sheet'!$AG$5="","",'Final Calculation Sheet'!$AG$5)</f>
        <v/>
      </c>
    </row>
    <row r="28" outlineLevel="1" ht="15" customHeight="1">
      <c r="A28" s="1125">
        <f>IF('Final Calculation Sheet'!$F$10="","",'Final Calculation Sheet'!$F$10)</f>
        <v/>
      </c>
      <c r="B28" s="1126">
        <f>IF('Final Calculation Sheet'!$B$10="","",'Final Calculation Sheet'!$B$10)</f>
        <v/>
      </c>
      <c r="C28" s="1125">
        <f>IF('Final Calculation Sheet'!$D$10="","",'Final Calculation Sheet'!$D$10)</f>
        <v/>
      </c>
      <c r="D28" s="1127">
        <f>IF('Final Calculation Sheet'!$A$10="","",'Final Calculation Sheet'!$A$10)</f>
        <v/>
      </c>
      <c r="E28" s="1128">
        <f>IF('Final Calculation Sheet'!$E$10="","",'Final Calculation Sheet'!$E$10)</f>
        <v/>
      </c>
      <c r="F28" s="1125">
        <f>IF('Final Calculation Sheet'!$C$10="","",'Final Calculation Sheet'!$C$10)</f>
        <v/>
      </c>
      <c r="G28" s="1125">
        <f>IF('Final Calculation Sheet'!$H$10="","",'Final Calculation Sheet'!$H$10)</f>
        <v/>
      </c>
      <c r="H28" s="1125">
        <f>IF('Final Calculation Sheet'!$I$10="","",'Final Calculation Sheet'!$I$10)</f>
        <v/>
      </c>
      <c r="I28" s="1125">
        <f>IF('Final Calculation Sheet'!$J$10="","",'Final Calculation Sheet'!$J$10)</f>
        <v/>
      </c>
      <c r="J28" s="1125">
        <f>IF('Final Calculation Sheet'!$K$10="","",'Final Calculation Sheet'!$K$10)</f>
        <v/>
      </c>
      <c r="K28" s="1129">
        <f>IF('Final Calculation Sheet'!$L$10="","",'Final Calculation Sheet'!$L$10)</f>
        <v/>
      </c>
      <c r="L28" s="1129">
        <f>IF('Final Calculation Sheet'!$M$10="","",'Final Calculation Sheet'!$M$10)</f>
        <v/>
      </c>
      <c r="M28" s="1129">
        <f>IF('Final Calculation Sheet'!$N$10="","",'Final Calculation Sheet'!$N$10)</f>
        <v/>
      </c>
      <c r="N28" s="1129">
        <f>IF('Final Calculation Sheet'!$O$10="","",'Final Calculation Sheet'!$O$10)</f>
        <v/>
      </c>
      <c r="O28" s="1125">
        <f>IF('Final Calculation Sheet'!$P$10="","",'Final Calculation Sheet'!$P$10)</f>
        <v/>
      </c>
      <c r="P28" s="1130">
        <f>IF('Final Calculation Sheet'!$Q$10="","",'Final Calculation Sheet'!$Q$10)</f>
        <v/>
      </c>
      <c r="Q28" s="1125">
        <f>IF('Final Calculation Sheet'!$R$10="","",'Final Calculation Sheet'!$R$10)</f>
        <v/>
      </c>
      <c r="R28" s="1125">
        <f>IF('Final Calculation Sheet'!$S$10="","",'Final Calculation Sheet'!$S$10)</f>
        <v/>
      </c>
      <c r="S28" s="1125">
        <f>IF('Final Calculation Sheet'!$T$10="","",'Final Calculation Sheet'!$T$10)</f>
        <v/>
      </c>
      <c r="T28" s="1125">
        <f>IF('Final Calculation Sheet'!$U$10="","",'Final Calculation Sheet'!$U$10)</f>
        <v/>
      </c>
      <c r="U28" s="1128">
        <f>IF('Final Calculation Sheet'!$V$10="","",'Final Calculation Sheet'!$V$10)</f>
        <v/>
      </c>
      <c r="V28" s="1125">
        <f>IF('Final Calculation Sheet'!$W$10="","",'Final Calculation Sheet'!$W$10)</f>
        <v/>
      </c>
      <c r="W28" s="1125">
        <f>IF('Final Calculation Sheet'!$X$10="","",'Final Calculation Sheet'!$X$10)</f>
        <v/>
      </c>
      <c r="X28" s="1128">
        <f>IF('Final Calculation Sheet'!$Y$10="","",'Final Calculation Sheet'!$Y$10)</f>
        <v/>
      </c>
      <c r="Y28" s="1125">
        <f>IF('Final Calculation Sheet'!$Z$10="","",'Final Calculation Sheet'!$Z$10)</f>
        <v/>
      </c>
      <c r="Z28" s="1125">
        <f>IF('Final Calculation Sheet'!$AA$10="","",'Final Calculation Sheet'!$AA$10)</f>
        <v/>
      </c>
      <c r="AA28" s="1128">
        <f>IF('Final Calculation Sheet'!$AB$10="","",'Final Calculation Sheet'!$AB$10)</f>
        <v/>
      </c>
      <c r="AB28" s="1125">
        <f>IF('Final Calculation Sheet'!$AC$10="","",'Final Calculation Sheet'!$AC$10)</f>
        <v/>
      </c>
      <c r="AC28" s="1125">
        <f>IF('Final Calculation Sheet'!$AD$10="","",'Final Calculation Sheet'!$AD$10)</f>
        <v/>
      </c>
      <c r="AD28" s="1128">
        <f>IF('Final Calculation Sheet'!$AD$10="","",IF('Final Calculation Sheet'!$AD$10&lt;=0,"SETTLED","OUTSTANDING"))</f>
        <v/>
      </c>
      <c r="AE28" s="1128">
        <f>IF('Final Calculation Sheet'!$AE$10="","",'Final Calculation Sheet'!$AE$10)</f>
        <v/>
      </c>
      <c r="AF28" s="1125">
        <f>IF('Final Calculation Sheet'!$AF$10="","",'Final Calculation Sheet'!$AF$10)</f>
        <v/>
      </c>
      <c r="AG28" s="1128">
        <f>IF('Final Calculation Sheet'!$AG$10="","",'Final Calculation Sheet'!$AG$10)</f>
        <v/>
      </c>
    </row>
    <row r="29" outlineLevel="1" ht="15" customHeight="1">
      <c r="A29" s="1119">
        <f>IF('Final Calculation Sheet'!$F$11="","",'Final Calculation Sheet'!$F$11)</f>
        <v/>
      </c>
      <c r="B29" s="1120">
        <f>IF('Final Calculation Sheet'!$B$11="","",'Final Calculation Sheet'!$B$11)</f>
        <v/>
      </c>
      <c r="C29" s="1119">
        <f>IF('Final Calculation Sheet'!$D$11="","",'Final Calculation Sheet'!$D$11)</f>
        <v/>
      </c>
      <c r="D29" s="1121">
        <f>IF('Final Calculation Sheet'!$A$11="","",'Final Calculation Sheet'!$A$11)</f>
        <v/>
      </c>
      <c r="E29" s="1122">
        <f>IF('Final Calculation Sheet'!$E$11="","",'Final Calculation Sheet'!$E$11)</f>
        <v/>
      </c>
      <c r="F29" s="1119">
        <f>IF('Final Calculation Sheet'!$C$11="","",'Final Calculation Sheet'!$C$11)</f>
        <v/>
      </c>
      <c r="G29" s="1119">
        <f>IF('Final Calculation Sheet'!$H$11="","",'Final Calculation Sheet'!$H$11)</f>
        <v/>
      </c>
      <c r="H29" s="1119">
        <f>IF('Final Calculation Sheet'!$I$11="","",'Final Calculation Sheet'!$I$11)</f>
        <v/>
      </c>
      <c r="I29" s="1119">
        <f>IF('Final Calculation Sheet'!$J$11="","",'Final Calculation Sheet'!$J$11)</f>
        <v/>
      </c>
      <c r="J29" s="1119">
        <f>IF('Final Calculation Sheet'!$K$11="","",'Final Calculation Sheet'!$K$11)</f>
        <v/>
      </c>
      <c r="K29" s="1123">
        <f>IF('Final Calculation Sheet'!$L$11="","",'Final Calculation Sheet'!$L$11)</f>
        <v/>
      </c>
      <c r="L29" s="1123">
        <f>IF('Final Calculation Sheet'!$M$11="","",'Final Calculation Sheet'!$M$11)</f>
        <v/>
      </c>
      <c r="M29" s="1123">
        <f>IF('Final Calculation Sheet'!$N$11="","",'Final Calculation Sheet'!$N$11)</f>
        <v/>
      </c>
      <c r="N29" s="1123">
        <f>IF('Final Calculation Sheet'!$O$11="","",'Final Calculation Sheet'!$O$11)</f>
        <v/>
      </c>
      <c r="O29" s="1119">
        <f>IF('Final Calculation Sheet'!$P$11="","",'Final Calculation Sheet'!$P$11)</f>
        <v/>
      </c>
      <c r="P29" s="1124">
        <f>IF('Final Calculation Sheet'!$Q$11="","",'Final Calculation Sheet'!$Q$11)</f>
        <v/>
      </c>
      <c r="Q29" s="1119">
        <f>IF('Final Calculation Sheet'!$R$11="","",'Final Calculation Sheet'!$R$11)</f>
        <v/>
      </c>
      <c r="R29" s="1119">
        <f>IF('Final Calculation Sheet'!$S$11="","",'Final Calculation Sheet'!$S$11)</f>
        <v/>
      </c>
      <c r="S29" s="1119">
        <f>IF('Final Calculation Sheet'!$T$11="","",'Final Calculation Sheet'!$T$11)</f>
        <v/>
      </c>
      <c r="T29" s="1119">
        <f>IF('Final Calculation Sheet'!$U$11="","",'Final Calculation Sheet'!$U$11)</f>
        <v/>
      </c>
      <c r="U29" s="1122">
        <f>IF('Final Calculation Sheet'!$V$11="","",'Final Calculation Sheet'!$V$11)</f>
        <v/>
      </c>
      <c r="V29" s="1119">
        <f>IF('Final Calculation Sheet'!$W$11="","",'Final Calculation Sheet'!$W$11)</f>
        <v/>
      </c>
      <c r="W29" s="1119">
        <f>IF('Final Calculation Sheet'!$X$11="","",'Final Calculation Sheet'!$X$11)</f>
        <v/>
      </c>
      <c r="X29" s="1122">
        <f>IF('Final Calculation Sheet'!$Y$11="","",'Final Calculation Sheet'!$Y$11)</f>
        <v/>
      </c>
      <c r="Y29" s="1119">
        <f>IF('Final Calculation Sheet'!$Z$11="","",'Final Calculation Sheet'!$Z$11)</f>
        <v/>
      </c>
      <c r="Z29" s="1119">
        <f>IF('Final Calculation Sheet'!$AA$11="","",'Final Calculation Sheet'!$AA$11)</f>
        <v/>
      </c>
      <c r="AA29" s="1122">
        <f>IF('Final Calculation Sheet'!$AB$11="","",'Final Calculation Sheet'!$AB$11)</f>
        <v/>
      </c>
      <c r="AB29" s="1119">
        <f>IF('Final Calculation Sheet'!$AC$11="","",'Final Calculation Sheet'!$AC$11)</f>
        <v/>
      </c>
      <c r="AC29" s="1119">
        <f>IF('Final Calculation Sheet'!$AD$11="","",'Final Calculation Sheet'!$AD$11)</f>
        <v/>
      </c>
      <c r="AD29" s="1122">
        <f>IF('Final Calculation Sheet'!$AD$11="","",IF('Final Calculation Sheet'!$AD$11&lt;=0,"SETTLED","OUTSTANDING"))</f>
        <v/>
      </c>
      <c r="AE29" s="1122">
        <f>IF('Final Calculation Sheet'!$AE$11="","",'Final Calculation Sheet'!$AE$11)</f>
        <v/>
      </c>
      <c r="AF29" s="1119">
        <f>IF('Final Calculation Sheet'!$AF$11="","",'Final Calculation Sheet'!$AF$11)</f>
        <v/>
      </c>
      <c r="AG29" s="1122">
        <f>IF('Final Calculation Sheet'!$AG$11="","",'Final Calculation Sheet'!$AG$11)</f>
        <v/>
      </c>
    </row>
    <row r="30" outlineLevel="1" ht="15" customHeight="1">
      <c r="A30" s="1125">
        <f>IF('Final Calculation Sheet'!$F$12="","",'Final Calculation Sheet'!$F$12)</f>
        <v/>
      </c>
      <c r="B30" s="1126">
        <f>IF('Final Calculation Sheet'!$B$12="","",'Final Calculation Sheet'!$B$12)</f>
        <v/>
      </c>
      <c r="C30" s="1125">
        <f>IF('Final Calculation Sheet'!$D$12="","",'Final Calculation Sheet'!$D$12)</f>
        <v/>
      </c>
      <c r="D30" s="1127">
        <f>IF('Final Calculation Sheet'!$A$12="","",'Final Calculation Sheet'!$A$12)</f>
        <v/>
      </c>
      <c r="E30" s="1128">
        <f>IF('Final Calculation Sheet'!$E$12="","",'Final Calculation Sheet'!$E$12)</f>
        <v/>
      </c>
      <c r="F30" s="1125">
        <f>IF('Final Calculation Sheet'!$C$12="","",'Final Calculation Sheet'!$C$12)</f>
        <v/>
      </c>
      <c r="G30" s="1125">
        <f>IF('Final Calculation Sheet'!$H$12="","",'Final Calculation Sheet'!$H$12)</f>
        <v/>
      </c>
      <c r="H30" s="1125">
        <f>IF('Final Calculation Sheet'!$I$12="","",'Final Calculation Sheet'!$I$12)</f>
        <v/>
      </c>
      <c r="I30" s="1125">
        <f>IF('Final Calculation Sheet'!$J$12="","",'Final Calculation Sheet'!$J$12)</f>
        <v/>
      </c>
      <c r="J30" s="1125">
        <f>IF('Final Calculation Sheet'!$K$12="","",'Final Calculation Sheet'!$K$12)</f>
        <v/>
      </c>
      <c r="K30" s="1129">
        <f>IF('Final Calculation Sheet'!$L$12="","",'Final Calculation Sheet'!$L$12)</f>
        <v/>
      </c>
      <c r="L30" s="1129">
        <f>IF('Final Calculation Sheet'!$M$12="","",'Final Calculation Sheet'!$M$12)</f>
        <v/>
      </c>
      <c r="M30" s="1129">
        <f>IF('Final Calculation Sheet'!$N$12="","",'Final Calculation Sheet'!$N$12)</f>
        <v/>
      </c>
      <c r="N30" s="1129">
        <f>IF('Final Calculation Sheet'!$O$12="","",'Final Calculation Sheet'!$O$12)</f>
        <v/>
      </c>
      <c r="O30" s="1125">
        <f>IF('Final Calculation Sheet'!$P$12="","",'Final Calculation Sheet'!$P$12)</f>
        <v/>
      </c>
      <c r="P30" s="1130">
        <f>IF('Final Calculation Sheet'!$Q$12="","",'Final Calculation Sheet'!$Q$12)</f>
        <v/>
      </c>
      <c r="Q30" s="1125">
        <f>IF('Final Calculation Sheet'!$R$12="","",'Final Calculation Sheet'!$R$12)</f>
        <v/>
      </c>
      <c r="R30" s="1125">
        <f>IF('Final Calculation Sheet'!$S$12="","",'Final Calculation Sheet'!$S$12)</f>
        <v/>
      </c>
      <c r="S30" s="1125">
        <f>IF('Final Calculation Sheet'!$T$12="","",'Final Calculation Sheet'!$T$12)</f>
        <v/>
      </c>
      <c r="T30" s="1125">
        <f>IF('Final Calculation Sheet'!$U$12="","",'Final Calculation Sheet'!$U$12)</f>
        <v/>
      </c>
      <c r="U30" s="1128">
        <f>IF('Final Calculation Sheet'!$V$12="","",'Final Calculation Sheet'!$V$12)</f>
        <v/>
      </c>
      <c r="V30" s="1125">
        <f>IF('Final Calculation Sheet'!$W$12="","",'Final Calculation Sheet'!$W$12)</f>
        <v/>
      </c>
      <c r="W30" s="1125">
        <f>IF('Final Calculation Sheet'!$X$12="","",'Final Calculation Sheet'!$X$12)</f>
        <v/>
      </c>
      <c r="X30" s="1128">
        <f>IF('Final Calculation Sheet'!$Y$12="","",'Final Calculation Sheet'!$Y$12)</f>
        <v/>
      </c>
      <c r="Y30" s="1125">
        <f>IF('Final Calculation Sheet'!$Z$12="","",'Final Calculation Sheet'!$Z$12)</f>
        <v/>
      </c>
      <c r="Z30" s="1125">
        <f>IF('Final Calculation Sheet'!$AA$12="","",'Final Calculation Sheet'!$AA$12)</f>
        <v/>
      </c>
      <c r="AA30" s="1128">
        <f>IF('Final Calculation Sheet'!$AB$12="","",'Final Calculation Sheet'!$AB$12)</f>
        <v/>
      </c>
      <c r="AB30" s="1125">
        <f>IF('Final Calculation Sheet'!$AC$12="","",'Final Calculation Sheet'!$AC$12)</f>
        <v/>
      </c>
      <c r="AC30" s="1125">
        <f>IF('Final Calculation Sheet'!$AD$12="","",'Final Calculation Sheet'!$AD$12)</f>
        <v/>
      </c>
      <c r="AD30" s="1128">
        <f>IF('Final Calculation Sheet'!$AD$12="","",IF('Final Calculation Sheet'!$AD$12&lt;=0,"SETTLED","OUTSTANDING"))</f>
        <v/>
      </c>
      <c r="AE30" s="1128">
        <f>IF('Final Calculation Sheet'!$AE$12="","",'Final Calculation Sheet'!$AE$12)</f>
        <v/>
      </c>
      <c r="AF30" s="1125">
        <f>IF('Final Calculation Sheet'!$AF$12="","",'Final Calculation Sheet'!$AF$12)</f>
        <v/>
      </c>
      <c r="AG30" s="1128">
        <f>IF('Final Calculation Sheet'!$AG$12="","",'Final Calculation Sheet'!$AG$12)</f>
        <v/>
      </c>
    </row>
    <row r="31" outlineLevel="1" ht="15" customHeight="1">
      <c r="A31" s="1119">
        <f>IF('Final Calculation Sheet'!$F$18="","",'Final Calculation Sheet'!$F$18)</f>
        <v/>
      </c>
      <c r="B31" s="1120">
        <f>IF('Final Calculation Sheet'!$B$18="","",'Final Calculation Sheet'!$B$18)</f>
        <v/>
      </c>
      <c r="C31" s="1119">
        <f>IF('Final Calculation Sheet'!$D$18="","",'Final Calculation Sheet'!$D$18)</f>
        <v/>
      </c>
      <c r="D31" s="1121">
        <f>IF('Final Calculation Sheet'!$A$18="","",'Final Calculation Sheet'!$A$18)</f>
        <v/>
      </c>
      <c r="E31" s="1122">
        <f>IF('Final Calculation Sheet'!$E$18="","",'Final Calculation Sheet'!$E$18)</f>
        <v/>
      </c>
      <c r="F31" s="1119">
        <f>IF('Final Calculation Sheet'!$C$18="","",'Final Calculation Sheet'!$C$18)</f>
        <v/>
      </c>
      <c r="G31" s="1119">
        <f>IF('Final Calculation Sheet'!$H$18="","",'Final Calculation Sheet'!$H$18)</f>
        <v/>
      </c>
      <c r="H31" s="1119">
        <f>IF('Final Calculation Sheet'!$I$18="","",'Final Calculation Sheet'!$I$18)</f>
        <v/>
      </c>
      <c r="I31" s="1119">
        <f>IF('Final Calculation Sheet'!$J$18="","",'Final Calculation Sheet'!$J$18)</f>
        <v/>
      </c>
      <c r="J31" s="1119">
        <f>IF('Final Calculation Sheet'!$K$18="","",'Final Calculation Sheet'!$K$18)</f>
        <v/>
      </c>
      <c r="K31" s="1123">
        <f>IF('Final Calculation Sheet'!$L$18="","",'Final Calculation Sheet'!$L$18)</f>
        <v/>
      </c>
      <c r="L31" s="1123">
        <f>IF('Final Calculation Sheet'!$M$18="","",'Final Calculation Sheet'!$M$18)</f>
        <v/>
      </c>
      <c r="M31" s="1123">
        <f>IF('Final Calculation Sheet'!$N$18="","",'Final Calculation Sheet'!$N$18)</f>
        <v/>
      </c>
      <c r="N31" s="1123">
        <f>IF('Final Calculation Sheet'!$O$18="","",'Final Calculation Sheet'!$O$18)</f>
        <v/>
      </c>
      <c r="O31" s="1119">
        <f>IF('Final Calculation Sheet'!$P$18="","",'Final Calculation Sheet'!$P$18)</f>
        <v/>
      </c>
      <c r="P31" s="1124">
        <f>IF('Final Calculation Sheet'!$Q$18="","",'Final Calculation Sheet'!$Q$18)</f>
        <v/>
      </c>
      <c r="Q31" s="1119">
        <f>IF('Final Calculation Sheet'!$R$18="","",'Final Calculation Sheet'!$R$18)</f>
        <v/>
      </c>
      <c r="R31" s="1119">
        <f>IF('Final Calculation Sheet'!$S$18="","",'Final Calculation Sheet'!$S$18)</f>
        <v/>
      </c>
      <c r="S31" s="1119">
        <f>IF('Final Calculation Sheet'!$T$18="","",'Final Calculation Sheet'!$T$18)</f>
        <v/>
      </c>
      <c r="T31" s="1119">
        <f>IF('Final Calculation Sheet'!$U$18="","",'Final Calculation Sheet'!$U$18)</f>
        <v/>
      </c>
      <c r="U31" s="1122">
        <f>IF('Final Calculation Sheet'!$V$18="","",'Final Calculation Sheet'!$V$18)</f>
        <v/>
      </c>
      <c r="V31" s="1119">
        <f>IF('Final Calculation Sheet'!$W$18="","",'Final Calculation Sheet'!$W$18)</f>
        <v/>
      </c>
      <c r="W31" s="1119">
        <f>IF('Final Calculation Sheet'!$X$18="","",'Final Calculation Sheet'!$X$18)</f>
        <v/>
      </c>
      <c r="X31" s="1122">
        <f>IF('Final Calculation Sheet'!$Y$18="","",'Final Calculation Sheet'!$Y$18)</f>
        <v/>
      </c>
      <c r="Y31" s="1119">
        <f>IF('Final Calculation Sheet'!$Z$18="","",'Final Calculation Sheet'!$Z$18)</f>
        <v/>
      </c>
      <c r="Z31" s="1119">
        <f>IF('Final Calculation Sheet'!$AA$18="","",'Final Calculation Sheet'!$AA$18)</f>
        <v/>
      </c>
      <c r="AA31" s="1122">
        <f>IF('Final Calculation Sheet'!$AB$18="","",'Final Calculation Sheet'!$AB$18)</f>
        <v/>
      </c>
      <c r="AB31" s="1119">
        <f>IF('Final Calculation Sheet'!$AC$18="","",'Final Calculation Sheet'!$AC$18)</f>
        <v/>
      </c>
      <c r="AC31" s="1119">
        <f>IF('Final Calculation Sheet'!$AD$18="","",'Final Calculation Sheet'!$AD$18)</f>
        <v/>
      </c>
      <c r="AD31" s="1122">
        <f>IF('Final Calculation Sheet'!$AD$18="","",IF('Final Calculation Sheet'!$AD$18&lt;=0,"SETTLED","OUTSTANDING"))</f>
        <v/>
      </c>
      <c r="AE31" s="1122">
        <f>IF('Final Calculation Sheet'!$AE$18="","",'Final Calculation Sheet'!$AE$18)</f>
        <v/>
      </c>
      <c r="AF31" s="1119">
        <f>IF('Final Calculation Sheet'!$AF$18="","",'Final Calculation Sheet'!$AF$18)</f>
        <v/>
      </c>
      <c r="AG31" s="1122">
        <f>IF('Final Calculation Sheet'!$AG$18="","",'Final Calculation Sheet'!$AG$18)</f>
        <v/>
      </c>
    </row>
    <row r="32" outlineLevel="1" ht="15" customHeight="1">
      <c r="A32" s="1125">
        <f>IF('Final Calculation Sheet'!$F$19="","",'Final Calculation Sheet'!$F$19)</f>
        <v/>
      </c>
      <c r="B32" s="1126">
        <f>IF('Final Calculation Sheet'!$B$19="","",'Final Calculation Sheet'!$B$19)</f>
        <v/>
      </c>
      <c r="C32" s="1125">
        <f>IF('Final Calculation Sheet'!$D$19="","",'Final Calculation Sheet'!$D$19)</f>
        <v/>
      </c>
      <c r="D32" s="1127">
        <f>IF('Final Calculation Sheet'!$A$19="","",'Final Calculation Sheet'!$A$19)</f>
        <v/>
      </c>
      <c r="E32" s="1128">
        <f>IF('Final Calculation Sheet'!$E$19="","",'Final Calculation Sheet'!$E$19)</f>
        <v/>
      </c>
      <c r="F32" s="1125">
        <f>IF('Final Calculation Sheet'!$C$19="","",'Final Calculation Sheet'!$C$19)</f>
        <v/>
      </c>
      <c r="G32" s="1125">
        <f>IF('Final Calculation Sheet'!$H$19="","",'Final Calculation Sheet'!$H$19)</f>
        <v/>
      </c>
      <c r="H32" s="1125">
        <f>IF('Final Calculation Sheet'!$I$19="","",'Final Calculation Sheet'!$I$19)</f>
        <v/>
      </c>
      <c r="I32" s="1125">
        <f>IF('Final Calculation Sheet'!$J$19="","",'Final Calculation Sheet'!$J$19)</f>
        <v/>
      </c>
      <c r="J32" s="1125">
        <f>IF('Final Calculation Sheet'!$K$19="","",'Final Calculation Sheet'!$K$19)</f>
        <v/>
      </c>
      <c r="K32" s="1129">
        <f>IF('Final Calculation Sheet'!$L$19="","",'Final Calculation Sheet'!$L$19)</f>
        <v/>
      </c>
      <c r="L32" s="1129">
        <f>IF('Final Calculation Sheet'!$M$19="","",'Final Calculation Sheet'!$M$19)</f>
        <v/>
      </c>
      <c r="M32" s="1129">
        <f>IF('Final Calculation Sheet'!$N$19="","",'Final Calculation Sheet'!$N$19)</f>
        <v/>
      </c>
      <c r="N32" s="1129">
        <f>IF('Final Calculation Sheet'!$O$19="","",'Final Calculation Sheet'!$O$19)</f>
        <v/>
      </c>
      <c r="O32" s="1125">
        <f>IF('Final Calculation Sheet'!$P$19="","",'Final Calculation Sheet'!$P$19)</f>
        <v/>
      </c>
      <c r="P32" s="1130">
        <f>IF('Final Calculation Sheet'!$Q$19="","",'Final Calculation Sheet'!$Q$19)</f>
        <v/>
      </c>
      <c r="Q32" s="1125">
        <f>IF('Final Calculation Sheet'!$R$19="","",'Final Calculation Sheet'!$R$19)</f>
        <v/>
      </c>
      <c r="R32" s="1125">
        <f>IF('Final Calculation Sheet'!$S$19="","",'Final Calculation Sheet'!$S$19)</f>
        <v/>
      </c>
      <c r="S32" s="1125">
        <f>IF('Final Calculation Sheet'!$T$19="","",'Final Calculation Sheet'!$T$19)</f>
        <v/>
      </c>
      <c r="T32" s="1125">
        <f>IF('Final Calculation Sheet'!$U$19="","",'Final Calculation Sheet'!$U$19)</f>
        <v/>
      </c>
      <c r="U32" s="1128">
        <f>IF('Final Calculation Sheet'!$V$19="","",'Final Calculation Sheet'!$V$19)</f>
        <v/>
      </c>
      <c r="V32" s="1125">
        <f>IF('Final Calculation Sheet'!$W$19="","",'Final Calculation Sheet'!$W$19)</f>
        <v/>
      </c>
      <c r="W32" s="1125">
        <f>IF('Final Calculation Sheet'!$X$19="","",'Final Calculation Sheet'!$X$19)</f>
        <v/>
      </c>
      <c r="X32" s="1128">
        <f>IF('Final Calculation Sheet'!$Y$19="","",'Final Calculation Sheet'!$Y$19)</f>
        <v/>
      </c>
      <c r="Y32" s="1125">
        <f>IF('Final Calculation Sheet'!$Z$19="","",'Final Calculation Sheet'!$Z$19)</f>
        <v/>
      </c>
      <c r="Z32" s="1125">
        <f>IF('Final Calculation Sheet'!$AA$19="","",'Final Calculation Sheet'!$AA$19)</f>
        <v/>
      </c>
      <c r="AA32" s="1128">
        <f>IF('Final Calculation Sheet'!$AB$19="","",'Final Calculation Sheet'!$AB$19)</f>
        <v/>
      </c>
      <c r="AB32" s="1125">
        <f>IF('Final Calculation Sheet'!$AC$19="","",'Final Calculation Sheet'!$AC$19)</f>
        <v/>
      </c>
      <c r="AC32" s="1125">
        <f>IF('Final Calculation Sheet'!$AD$19="","",'Final Calculation Sheet'!$AD$19)</f>
        <v/>
      </c>
      <c r="AD32" s="1128">
        <f>IF('Final Calculation Sheet'!$AD$19="","",IF('Final Calculation Sheet'!$AD$19&lt;=0,"SETTLED","OUTSTANDING"))</f>
        <v/>
      </c>
      <c r="AE32" s="1128">
        <f>IF('Final Calculation Sheet'!$AE$19="","",'Final Calculation Sheet'!$AE$19)</f>
        <v/>
      </c>
      <c r="AF32" s="1125">
        <f>IF('Final Calculation Sheet'!$AF$19="","",'Final Calculation Sheet'!$AF$19)</f>
        <v/>
      </c>
      <c r="AG32" s="1128">
        <f>IF('Final Calculation Sheet'!$AG$19="","",'Final Calculation Sheet'!$AG$19)</f>
        <v/>
      </c>
    </row>
    <row r="33" outlineLevel="1" ht="15" customHeight="1">
      <c r="A33" s="1119">
        <f>IF('Final Calculation Sheet'!$F$22="","",'Final Calculation Sheet'!$F$22)</f>
        <v/>
      </c>
      <c r="B33" s="1120">
        <f>IF('Final Calculation Sheet'!$B$22="","",'Final Calculation Sheet'!$B$22)</f>
        <v/>
      </c>
      <c r="C33" s="1119">
        <f>IF('Final Calculation Sheet'!$D$22="","",'Final Calculation Sheet'!$D$22)</f>
        <v/>
      </c>
      <c r="D33" s="1121">
        <f>IF('Final Calculation Sheet'!$A$22="","",'Final Calculation Sheet'!$A$22)</f>
        <v/>
      </c>
      <c r="E33" s="1122">
        <f>IF('Final Calculation Sheet'!$E$22="","",'Final Calculation Sheet'!$E$22)</f>
        <v/>
      </c>
      <c r="F33" s="1119">
        <f>IF('Final Calculation Sheet'!$C$22="","",'Final Calculation Sheet'!$C$22)</f>
        <v/>
      </c>
      <c r="G33" s="1119">
        <f>IF('Final Calculation Sheet'!$H$22="","",'Final Calculation Sheet'!$H$22)</f>
        <v/>
      </c>
      <c r="H33" s="1119">
        <f>IF('Final Calculation Sheet'!$I$22="","",'Final Calculation Sheet'!$I$22)</f>
        <v/>
      </c>
      <c r="I33" s="1119">
        <f>IF('Final Calculation Sheet'!$J$22="","",'Final Calculation Sheet'!$J$22)</f>
        <v/>
      </c>
      <c r="J33" s="1119">
        <f>IF('Final Calculation Sheet'!$K$22="","",'Final Calculation Sheet'!$K$22)</f>
        <v/>
      </c>
      <c r="K33" s="1123">
        <f>IF('Final Calculation Sheet'!$L$22="","",'Final Calculation Sheet'!$L$22)</f>
        <v/>
      </c>
      <c r="L33" s="1123">
        <f>IF('Final Calculation Sheet'!$M$22="","",'Final Calculation Sheet'!$M$22)</f>
        <v/>
      </c>
      <c r="M33" s="1123">
        <f>IF('Final Calculation Sheet'!$N$22="","",'Final Calculation Sheet'!$N$22)</f>
        <v/>
      </c>
      <c r="N33" s="1123">
        <f>IF('Final Calculation Sheet'!$O$22="","",'Final Calculation Sheet'!$O$22)</f>
        <v/>
      </c>
      <c r="O33" s="1119">
        <f>IF('Final Calculation Sheet'!$P$22="","",'Final Calculation Sheet'!$P$22)</f>
        <v/>
      </c>
      <c r="P33" s="1124">
        <f>IF('Final Calculation Sheet'!$Q$22="","",'Final Calculation Sheet'!$Q$22)</f>
        <v/>
      </c>
      <c r="Q33" s="1119">
        <f>IF('Final Calculation Sheet'!$R$22="","",'Final Calculation Sheet'!$R$22)</f>
        <v/>
      </c>
      <c r="R33" s="1119">
        <f>IF('Final Calculation Sheet'!$S$22="","",'Final Calculation Sheet'!$S$22)</f>
        <v/>
      </c>
      <c r="S33" s="1119">
        <f>IF('Final Calculation Sheet'!$T$22="","",'Final Calculation Sheet'!$T$22)</f>
        <v/>
      </c>
      <c r="T33" s="1119">
        <f>IF('Final Calculation Sheet'!$U$22="","",'Final Calculation Sheet'!$U$22)</f>
        <v/>
      </c>
      <c r="U33" s="1122">
        <f>IF('Final Calculation Sheet'!$V$22="","",'Final Calculation Sheet'!$V$22)</f>
        <v/>
      </c>
      <c r="V33" s="1119">
        <f>IF('Final Calculation Sheet'!$W$22="","",'Final Calculation Sheet'!$W$22)</f>
        <v/>
      </c>
      <c r="W33" s="1119">
        <f>IF('Final Calculation Sheet'!$X$22="","",'Final Calculation Sheet'!$X$22)</f>
        <v/>
      </c>
      <c r="X33" s="1122">
        <f>IF('Final Calculation Sheet'!$Y$22="","",'Final Calculation Sheet'!$Y$22)</f>
        <v/>
      </c>
      <c r="Y33" s="1119">
        <f>IF('Final Calculation Sheet'!$Z$22="","",'Final Calculation Sheet'!$Z$22)</f>
        <v/>
      </c>
      <c r="Z33" s="1119">
        <f>IF('Final Calculation Sheet'!$AA$22="","",'Final Calculation Sheet'!$AA$22)</f>
        <v/>
      </c>
      <c r="AA33" s="1122">
        <f>IF('Final Calculation Sheet'!$AB$22="","",'Final Calculation Sheet'!$AB$22)</f>
        <v/>
      </c>
      <c r="AB33" s="1119">
        <f>IF('Final Calculation Sheet'!$AC$22="","",'Final Calculation Sheet'!$AC$22)</f>
        <v/>
      </c>
      <c r="AC33" s="1119">
        <f>IF('Final Calculation Sheet'!$AD$22="","",'Final Calculation Sheet'!$AD$22)</f>
        <v/>
      </c>
      <c r="AD33" s="1122">
        <f>IF('Final Calculation Sheet'!$AD$22="","",IF('Final Calculation Sheet'!$AD$22&lt;=0,"SETTLED","OUTSTANDING"))</f>
        <v/>
      </c>
      <c r="AE33" s="1122">
        <f>IF('Final Calculation Sheet'!$AE$22="","",'Final Calculation Sheet'!$AE$22)</f>
        <v/>
      </c>
      <c r="AF33" s="1119">
        <f>IF('Final Calculation Sheet'!$AF$22="","",'Final Calculation Sheet'!$AF$22)</f>
        <v/>
      </c>
      <c r="AG33" s="1122">
        <f>IF('Final Calculation Sheet'!$AG$22="","",'Final Calculation Sheet'!$AG$22)</f>
        <v/>
      </c>
    </row>
    <row r="34" outlineLevel="1" ht="15" customHeight="1">
      <c r="A34" s="1125">
        <f>IF('Final Calculation Sheet'!$F$24="","",'Final Calculation Sheet'!$F$24)</f>
        <v/>
      </c>
      <c r="B34" s="1126">
        <f>IF('Final Calculation Sheet'!$B$24="","",'Final Calculation Sheet'!$B$24)</f>
        <v/>
      </c>
      <c r="C34" s="1125">
        <f>IF('Final Calculation Sheet'!$D$24="","",'Final Calculation Sheet'!$D$24)</f>
        <v/>
      </c>
      <c r="D34" s="1127">
        <f>IF('Final Calculation Sheet'!$A$24="","",'Final Calculation Sheet'!$A$24)</f>
        <v/>
      </c>
      <c r="E34" s="1128">
        <f>IF('Final Calculation Sheet'!$E$24="","",'Final Calculation Sheet'!$E$24)</f>
        <v/>
      </c>
      <c r="F34" s="1125">
        <f>IF('Final Calculation Sheet'!$C$24="","",'Final Calculation Sheet'!$C$24)</f>
        <v/>
      </c>
      <c r="G34" s="1125">
        <f>IF('Final Calculation Sheet'!$H$24="","",'Final Calculation Sheet'!$H$24)</f>
        <v/>
      </c>
      <c r="H34" s="1125">
        <f>IF('Final Calculation Sheet'!$I$24="","",'Final Calculation Sheet'!$I$24)</f>
        <v/>
      </c>
      <c r="I34" s="1125">
        <f>IF('Final Calculation Sheet'!$J$24="","",'Final Calculation Sheet'!$J$24)</f>
        <v/>
      </c>
      <c r="J34" s="1125">
        <f>IF('Final Calculation Sheet'!$K$24="","",'Final Calculation Sheet'!$K$24)</f>
        <v/>
      </c>
      <c r="K34" s="1129">
        <f>IF('Final Calculation Sheet'!$L$24="","",'Final Calculation Sheet'!$L$24)</f>
        <v/>
      </c>
      <c r="L34" s="1129">
        <f>IF('Final Calculation Sheet'!$M$24="","",'Final Calculation Sheet'!$M$24)</f>
        <v/>
      </c>
      <c r="M34" s="1129">
        <f>IF('Final Calculation Sheet'!$N$24="","",'Final Calculation Sheet'!$N$24)</f>
        <v/>
      </c>
      <c r="N34" s="1129">
        <f>IF('Final Calculation Sheet'!$O$24="","",'Final Calculation Sheet'!$O$24)</f>
        <v/>
      </c>
      <c r="O34" s="1125">
        <f>IF('Final Calculation Sheet'!$P$24="","",'Final Calculation Sheet'!$P$24)</f>
        <v/>
      </c>
      <c r="P34" s="1130">
        <f>IF('Final Calculation Sheet'!$Q$24="","",'Final Calculation Sheet'!$Q$24)</f>
        <v/>
      </c>
      <c r="Q34" s="1125">
        <f>IF('Final Calculation Sheet'!$R$24="","",'Final Calculation Sheet'!$R$24)</f>
        <v/>
      </c>
      <c r="R34" s="1125">
        <f>IF('Final Calculation Sheet'!$S$24="","",'Final Calculation Sheet'!$S$24)</f>
        <v/>
      </c>
      <c r="S34" s="1125">
        <f>IF('Final Calculation Sheet'!$T$24="","",'Final Calculation Sheet'!$T$24)</f>
        <v/>
      </c>
      <c r="T34" s="1125">
        <f>IF('Final Calculation Sheet'!$U$24="","",'Final Calculation Sheet'!$U$24)</f>
        <v/>
      </c>
      <c r="U34" s="1128">
        <f>IF('Final Calculation Sheet'!$V$24="","",'Final Calculation Sheet'!$V$24)</f>
        <v/>
      </c>
      <c r="V34" s="1125">
        <f>IF('Final Calculation Sheet'!$W$24="","",'Final Calculation Sheet'!$W$24)</f>
        <v/>
      </c>
      <c r="W34" s="1125">
        <f>IF('Final Calculation Sheet'!$X$24="","",'Final Calculation Sheet'!$X$24)</f>
        <v/>
      </c>
      <c r="X34" s="1128">
        <f>IF('Final Calculation Sheet'!$Y$24="","",'Final Calculation Sheet'!$Y$24)</f>
        <v/>
      </c>
      <c r="Y34" s="1125">
        <f>IF('Final Calculation Sheet'!$Z$24="","",'Final Calculation Sheet'!$Z$24)</f>
        <v/>
      </c>
      <c r="Z34" s="1125">
        <f>IF('Final Calculation Sheet'!$AA$24="","",'Final Calculation Sheet'!$AA$24)</f>
        <v/>
      </c>
      <c r="AA34" s="1128">
        <f>IF('Final Calculation Sheet'!$AB$24="","",'Final Calculation Sheet'!$AB$24)</f>
        <v/>
      </c>
      <c r="AB34" s="1125">
        <f>IF('Final Calculation Sheet'!$AC$24="","",'Final Calculation Sheet'!$AC$24)</f>
        <v/>
      </c>
      <c r="AC34" s="1125">
        <f>IF('Final Calculation Sheet'!$AD$24="","",'Final Calculation Sheet'!$AD$24)</f>
        <v/>
      </c>
      <c r="AD34" s="1128">
        <f>IF('Final Calculation Sheet'!$AD$24="","",IF('Final Calculation Sheet'!$AD$24&lt;=0,"SETTLED","OUTSTANDING"))</f>
        <v/>
      </c>
      <c r="AE34" s="1128">
        <f>IF('Final Calculation Sheet'!$AE$24="","",'Final Calculation Sheet'!$AE$24)</f>
        <v/>
      </c>
      <c r="AF34" s="1125">
        <f>IF('Final Calculation Sheet'!$AF$24="","",'Final Calculation Sheet'!$AF$24)</f>
        <v/>
      </c>
      <c r="AG34" s="1128">
        <f>IF('Final Calculation Sheet'!$AG$24="","",'Final Calculation Sheet'!$AG$24)</f>
        <v/>
      </c>
    </row>
    <row r="35" outlineLevel="1" ht="15" customHeight="1">
      <c r="A35" s="1119">
        <f>IF('Final Calculation Sheet'!$F$26="","",'Final Calculation Sheet'!$F$26)</f>
        <v/>
      </c>
      <c r="B35" s="1120">
        <f>IF('Final Calculation Sheet'!$B$26="","",'Final Calculation Sheet'!$B$26)</f>
        <v/>
      </c>
      <c r="C35" s="1119">
        <f>IF('Final Calculation Sheet'!$D$26="","",'Final Calculation Sheet'!$D$26)</f>
        <v/>
      </c>
      <c r="D35" s="1121">
        <f>IF('Final Calculation Sheet'!$A$26="","",'Final Calculation Sheet'!$A$26)</f>
        <v/>
      </c>
      <c r="E35" s="1122">
        <f>IF('Final Calculation Sheet'!$E$26="","",'Final Calculation Sheet'!$E$26)</f>
        <v/>
      </c>
      <c r="F35" s="1119">
        <f>IF('Final Calculation Sheet'!$C$26="","",'Final Calculation Sheet'!$C$26)</f>
        <v/>
      </c>
      <c r="G35" s="1119">
        <f>IF('Final Calculation Sheet'!$H$26="","",'Final Calculation Sheet'!$H$26)</f>
        <v/>
      </c>
      <c r="H35" s="1119">
        <f>IF('Final Calculation Sheet'!$I$26="","",'Final Calculation Sheet'!$I$26)</f>
        <v/>
      </c>
      <c r="I35" s="1119">
        <f>IF('Final Calculation Sheet'!$J$26="","",'Final Calculation Sheet'!$J$26)</f>
        <v/>
      </c>
      <c r="J35" s="1119">
        <f>IF('Final Calculation Sheet'!$K$26="","",'Final Calculation Sheet'!$K$26)</f>
        <v/>
      </c>
      <c r="K35" s="1123">
        <f>IF('Final Calculation Sheet'!$L$26="","",'Final Calculation Sheet'!$L$26)</f>
        <v/>
      </c>
      <c r="L35" s="1123">
        <f>IF('Final Calculation Sheet'!$M$26="","",'Final Calculation Sheet'!$M$26)</f>
        <v/>
      </c>
      <c r="M35" s="1123">
        <f>IF('Final Calculation Sheet'!$N$26="","",'Final Calculation Sheet'!$N$26)</f>
        <v/>
      </c>
      <c r="N35" s="1123">
        <f>IF('Final Calculation Sheet'!$O$26="","",'Final Calculation Sheet'!$O$26)</f>
        <v/>
      </c>
      <c r="O35" s="1119">
        <f>IF('Final Calculation Sheet'!$P$26="","",'Final Calculation Sheet'!$P$26)</f>
        <v/>
      </c>
      <c r="P35" s="1124">
        <f>IF('Final Calculation Sheet'!$Q$26="","",'Final Calculation Sheet'!$Q$26)</f>
        <v/>
      </c>
      <c r="Q35" s="1119">
        <f>IF('Final Calculation Sheet'!$R$26="","",'Final Calculation Sheet'!$R$26)</f>
        <v/>
      </c>
      <c r="R35" s="1119">
        <f>IF('Final Calculation Sheet'!$S$26="","",'Final Calculation Sheet'!$S$26)</f>
        <v/>
      </c>
      <c r="S35" s="1119">
        <f>IF('Final Calculation Sheet'!$T$26="","",'Final Calculation Sheet'!$T$26)</f>
        <v/>
      </c>
      <c r="T35" s="1119">
        <f>IF('Final Calculation Sheet'!$U$26="","",'Final Calculation Sheet'!$U$26)</f>
        <v/>
      </c>
      <c r="U35" s="1122">
        <f>IF('Final Calculation Sheet'!$V$26="","",'Final Calculation Sheet'!$V$26)</f>
        <v/>
      </c>
      <c r="V35" s="1119">
        <f>IF('Final Calculation Sheet'!$W$26="","",'Final Calculation Sheet'!$W$26)</f>
        <v/>
      </c>
      <c r="W35" s="1119">
        <f>IF('Final Calculation Sheet'!$X$26="","",'Final Calculation Sheet'!$X$26)</f>
        <v/>
      </c>
      <c r="X35" s="1122">
        <f>IF('Final Calculation Sheet'!$Y$26="","",'Final Calculation Sheet'!$Y$26)</f>
        <v/>
      </c>
      <c r="Y35" s="1119">
        <f>IF('Final Calculation Sheet'!$Z$26="","",'Final Calculation Sheet'!$Z$26)</f>
        <v/>
      </c>
      <c r="Z35" s="1119">
        <f>IF('Final Calculation Sheet'!$AA$26="","",'Final Calculation Sheet'!$AA$26)</f>
        <v/>
      </c>
      <c r="AA35" s="1122">
        <f>IF('Final Calculation Sheet'!$AB$26="","",'Final Calculation Sheet'!$AB$26)</f>
        <v/>
      </c>
      <c r="AB35" s="1119">
        <f>IF('Final Calculation Sheet'!$AC$26="","",'Final Calculation Sheet'!$AC$26)</f>
        <v/>
      </c>
      <c r="AC35" s="1119">
        <f>IF('Final Calculation Sheet'!$AD$26="","",'Final Calculation Sheet'!$AD$26)</f>
        <v/>
      </c>
      <c r="AD35" s="1122">
        <f>IF('Final Calculation Sheet'!$AD$26="","",IF('Final Calculation Sheet'!$AD$26&lt;=0,"SETTLED","OUTSTANDING"))</f>
        <v/>
      </c>
      <c r="AE35" s="1122">
        <f>IF('Final Calculation Sheet'!$AE$26="","",'Final Calculation Sheet'!$AE$26)</f>
        <v/>
      </c>
      <c r="AF35" s="1119">
        <f>IF('Final Calculation Sheet'!$AF$26="","",'Final Calculation Sheet'!$AF$26)</f>
        <v/>
      </c>
      <c r="AG35" s="1122">
        <f>IF('Final Calculation Sheet'!$AG$26="","",'Final Calculation Sheet'!$AG$26)</f>
        <v/>
      </c>
    </row>
    <row r="36" outlineLevel="1" ht="15" customHeight="1">
      <c r="A36" s="1125">
        <f>IF('Final Calculation Sheet'!$F$30="","",'Final Calculation Sheet'!$F$30)</f>
        <v/>
      </c>
      <c r="B36" s="1126">
        <f>IF('Final Calculation Sheet'!$B$30="","",'Final Calculation Sheet'!$B$30)</f>
        <v/>
      </c>
      <c r="C36" s="1125">
        <f>IF('Final Calculation Sheet'!$D$30="","",'Final Calculation Sheet'!$D$30)</f>
        <v/>
      </c>
      <c r="D36" s="1127">
        <f>IF('Final Calculation Sheet'!$A$30="","",'Final Calculation Sheet'!$A$30)</f>
        <v/>
      </c>
      <c r="E36" s="1128">
        <f>IF('Final Calculation Sheet'!$E$30="","",'Final Calculation Sheet'!$E$30)</f>
        <v/>
      </c>
      <c r="F36" s="1125">
        <f>IF('Final Calculation Sheet'!$C$30="","",'Final Calculation Sheet'!$C$30)</f>
        <v/>
      </c>
      <c r="G36" s="1125">
        <f>IF('Final Calculation Sheet'!$H$30="","",'Final Calculation Sheet'!$H$30)</f>
        <v/>
      </c>
      <c r="H36" s="1125">
        <f>IF('Final Calculation Sheet'!$I$30="","",'Final Calculation Sheet'!$I$30)</f>
        <v/>
      </c>
      <c r="I36" s="1125">
        <f>IF('Final Calculation Sheet'!$J$30="","",'Final Calculation Sheet'!$J$30)</f>
        <v/>
      </c>
      <c r="J36" s="1125">
        <f>IF('Final Calculation Sheet'!$K$30="","",'Final Calculation Sheet'!$K$30)</f>
        <v/>
      </c>
      <c r="K36" s="1129">
        <f>IF('Final Calculation Sheet'!$L$30="","",'Final Calculation Sheet'!$L$30)</f>
        <v/>
      </c>
      <c r="L36" s="1129">
        <f>IF('Final Calculation Sheet'!$M$30="","",'Final Calculation Sheet'!$M$30)</f>
        <v/>
      </c>
      <c r="M36" s="1129">
        <f>IF('Final Calculation Sheet'!$N$30="","",'Final Calculation Sheet'!$N$30)</f>
        <v/>
      </c>
      <c r="N36" s="1129">
        <f>IF('Final Calculation Sheet'!$O$30="","",'Final Calculation Sheet'!$O$30)</f>
        <v/>
      </c>
      <c r="O36" s="1125">
        <f>IF('Final Calculation Sheet'!$P$30="","",'Final Calculation Sheet'!$P$30)</f>
        <v/>
      </c>
      <c r="P36" s="1130">
        <f>IF('Final Calculation Sheet'!$Q$30="","",'Final Calculation Sheet'!$Q$30)</f>
        <v/>
      </c>
      <c r="Q36" s="1125">
        <f>IF('Final Calculation Sheet'!$R$30="","",'Final Calculation Sheet'!$R$30)</f>
        <v/>
      </c>
      <c r="R36" s="1125">
        <f>IF('Final Calculation Sheet'!$S$30="","",'Final Calculation Sheet'!$S$30)</f>
        <v/>
      </c>
      <c r="S36" s="1125">
        <f>IF('Final Calculation Sheet'!$T$30="","",'Final Calculation Sheet'!$T$30)</f>
        <v/>
      </c>
      <c r="T36" s="1125">
        <f>IF('Final Calculation Sheet'!$U$30="","",'Final Calculation Sheet'!$U$30)</f>
        <v/>
      </c>
      <c r="U36" s="1128">
        <f>IF('Final Calculation Sheet'!$V$30="","",'Final Calculation Sheet'!$V$30)</f>
        <v/>
      </c>
      <c r="V36" s="1125">
        <f>IF('Final Calculation Sheet'!$W$30="","",'Final Calculation Sheet'!$W$30)</f>
        <v/>
      </c>
      <c r="W36" s="1125">
        <f>IF('Final Calculation Sheet'!$X$30="","",'Final Calculation Sheet'!$X$30)</f>
        <v/>
      </c>
      <c r="X36" s="1128">
        <f>IF('Final Calculation Sheet'!$Y$30="","",'Final Calculation Sheet'!$Y$30)</f>
        <v/>
      </c>
      <c r="Y36" s="1125">
        <f>IF('Final Calculation Sheet'!$Z$30="","",'Final Calculation Sheet'!$Z$30)</f>
        <v/>
      </c>
      <c r="Z36" s="1125">
        <f>IF('Final Calculation Sheet'!$AA$30="","",'Final Calculation Sheet'!$AA$30)</f>
        <v/>
      </c>
      <c r="AA36" s="1128">
        <f>IF('Final Calculation Sheet'!$AB$30="","",'Final Calculation Sheet'!$AB$30)</f>
        <v/>
      </c>
      <c r="AB36" s="1125">
        <f>IF('Final Calculation Sheet'!$AC$30="","",'Final Calculation Sheet'!$AC$30)</f>
        <v/>
      </c>
      <c r="AC36" s="1125">
        <f>IF('Final Calculation Sheet'!$AD$30="","",'Final Calculation Sheet'!$AD$30)</f>
        <v/>
      </c>
      <c r="AD36" s="1128">
        <f>IF('Final Calculation Sheet'!$AD$30="","",IF('Final Calculation Sheet'!$AD$30&lt;=0,"SETTLED","OUTSTANDING"))</f>
        <v/>
      </c>
      <c r="AE36" s="1128">
        <f>IF('Final Calculation Sheet'!$AE$30="","",'Final Calculation Sheet'!$AE$30)</f>
        <v/>
      </c>
      <c r="AF36" s="1125">
        <f>IF('Final Calculation Sheet'!$AF$30="","",'Final Calculation Sheet'!$AF$30)</f>
        <v/>
      </c>
      <c r="AG36" s="1128">
        <f>IF('Final Calculation Sheet'!$AG$30="","",'Final Calculation Sheet'!$AG$30)</f>
        <v/>
      </c>
    </row>
    <row r="37" outlineLevel="1" ht="15" customHeight="1">
      <c r="A37" s="1119">
        <f>IF('Final Calculation Sheet'!$F$32="","",'Final Calculation Sheet'!$F$32)</f>
        <v/>
      </c>
      <c r="B37" s="1120">
        <f>IF('Final Calculation Sheet'!$B$32="","",'Final Calculation Sheet'!$B$32)</f>
        <v/>
      </c>
      <c r="C37" s="1119">
        <f>IF('Final Calculation Sheet'!$D$32="","",'Final Calculation Sheet'!$D$32)</f>
        <v/>
      </c>
      <c r="D37" s="1121">
        <f>IF('Final Calculation Sheet'!$A$32="","",'Final Calculation Sheet'!$A$32)</f>
        <v/>
      </c>
      <c r="E37" s="1122">
        <f>IF('Final Calculation Sheet'!$E$32="","",'Final Calculation Sheet'!$E$32)</f>
        <v/>
      </c>
      <c r="F37" s="1119">
        <f>IF('Final Calculation Sheet'!$C$32="","",'Final Calculation Sheet'!$C$32)</f>
        <v/>
      </c>
      <c r="G37" s="1119">
        <f>IF('Final Calculation Sheet'!$H$32="","",'Final Calculation Sheet'!$H$32)</f>
        <v/>
      </c>
      <c r="H37" s="1119">
        <f>IF('Final Calculation Sheet'!$I$32="","",'Final Calculation Sheet'!$I$32)</f>
        <v/>
      </c>
      <c r="I37" s="1119">
        <f>IF('Final Calculation Sheet'!$J$32="","",'Final Calculation Sheet'!$J$32)</f>
        <v/>
      </c>
      <c r="J37" s="1119">
        <f>IF('Final Calculation Sheet'!$K$32="","",'Final Calculation Sheet'!$K$32)</f>
        <v/>
      </c>
      <c r="K37" s="1123">
        <f>IF('Final Calculation Sheet'!$L$32="","",'Final Calculation Sheet'!$L$32)</f>
        <v/>
      </c>
      <c r="L37" s="1123">
        <f>IF('Final Calculation Sheet'!$M$32="","",'Final Calculation Sheet'!$M$32)</f>
        <v/>
      </c>
      <c r="M37" s="1123">
        <f>IF('Final Calculation Sheet'!$N$32="","",'Final Calculation Sheet'!$N$32)</f>
        <v/>
      </c>
      <c r="N37" s="1123">
        <f>IF('Final Calculation Sheet'!$O$32="","",'Final Calculation Sheet'!$O$32)</f>
        <v/>
      </c>
      <c r="O37" s="1119">
        <f>IF('Final Calculation Sheet'!$P$32="","",'Final Calculation Sheet'!$P$32)</f>
        <v/>
      </c>
      <c r="P37" s="1124">
        <f>IF('Final Calculation Sheet'!$Q$32="","",'Final Calculation Sheet'!$Q$32)</f>
        <v/>
      </c>
      <c r="Q37" s="1119">
        <f>IF('Final Calculation Sheet'!$R$32="","",'Final Calculation Sheet'!$R$32)</f>
        <v/>
      </c>
      <c r="R37" s="1119">
        <f>IF('Final Calculation Sheet'!$S$32="","",'Final Calculation Sheet'!$S$32)</f>
        <v/>
      </c>
      <c r="S37" s="1119">
        <f>IF('Final Calculation Sheet'!$T$32="","",'Final Calculation Sheet'!$T$32)</f>
        <v/>
      </c>
      <c r="T37" s="1119">
        <f>IF('Final Calculation Sheet'!$U$32="","",'Final Calculation Sheet'!$U$32)</f>
        <v/>
      </c>
      <c r="U37" s="1122">
        <f>IF('Final Calculation Sheet'!$V$32="","",'Final Calculation Sheet'!$V$32)</f>
        <v/>
      </c>
      <c r="V37" s="1119">
        <f>IF('Final Calculation Sheet'!$W$32="","",'Final Calculation Sheet'!$W$32)</f>
        <v/>
      </c>
      <c r="W37" s="1119">
        <f>IF('Final Calculation Sheet'!$X$32="","",'Final Calculation Sheet'!$X$32)</f>
        <v/>
      </c>
      <c r="X37" s="1122">
        <f>IF('Final Calculation Sheet'!$Y$32="","",'Final Calculation Sheet'!$Y$32)</f>
        <v/>
      </c>
      <c r="Y37" s="1119">
        <f>IF('Final Calculation Sheet'!$Z$32="","",'Final Calculation Sheet'!$Z$32)</f>
        <v/>
      </c>
      <c r="Z37" s="1119">
        <f>IF('Final Calculation Sheet'!$AA$32="","",'Final Calculation Sheet'!$AA$32)</f>
        <v/>
      </c>
      <c r="AA37" s="1122">
        <f>IF('Final Calculation Sheet'!$AB$32="","",'Final Calculation Sheet'!$AB$32)</f>
        <v/>
      </c>
      <c r="AB37" s="1119">
        <f>IF('Final Calculation Sheet'!$AC$32="","",'Final Calculation Sheet'!$AC$32)</f>
        <v/>
      </c>
      <c r="AC37" s="1119">
        <f>IF('Final Calculation Sheet'!$AD$32="","",'Final Calculation Sheet'!$AD$32)</f>
        <v/>
      </c>
      <c r="AD37" s="1122">
        <f>IF('Final Calculation Sheet'!$AD$32="","",IF('Final Calculation Sheet'!$AD$32&lt;=0,"SETTLED","OUTSTANDING"))</f>
        <v/>
      </c>
      <c r="AE37" s="1122">
        <f>IF('Final Calculation Sheet'!$AE$32="","",'Final Calculation Sheet'!$AE$32)</f>
        <v/>
      </c>
      <c r="AF37" s="1119">
        <f>IF('Final Calculation Sheet'!$AF$32="","",'Final Calculation Sheet'!$AF$32)</f>
        <v/>
      </c>
      <c r="AG37" s="1122">
        <f>IF('Final Calculation Sheet'!$AG$32="","",'Final Calculation Sheet'!$AG$32)</f>
        <v/>
      </c>
    </row>
    <row r="38" outlineLevel="1" ht="15" customHeight="1">
      <c r="A38" s="1125">
        <f>IF('Final Calculation Sheet'!$F$33="","",'Final Calculation Sheet'!$F$33)</f>
        <v/>
      </c>
      <c r="B38" s="1126">
        <f>IF('Final Calculation Sheet'!$B$33="","",'Final Calculation Sheet'!$B$33)</f>
        <v/>
      </c>
      <c r="C38" s="1125">
        <f>IF('Final Calculation Sheet'!$D$33="","",'Final Calculation Sheet'!$D$33)</f>
        <v/>
      </c>
      <c r="D38" s="1127">
        <f>IF('Final Calculation Sheet'!$A$33="","",'Final Calculation Sheet'!$A$33)</f>
        <v/>
      </c>
      <c r="E38" s="1128">
        <f>IF('Final Calculation Sheet'!$E$33="","",'Final Calculation Sheet'!$E$33)</f>
        <v/>
      </c>
      <c r="F38" s="1125">
        <f>IF('Final Calculation Sheet'!$C$33="","",'Final Calculation Sheet'!$C$33)</f>
        <v/>
      </c>
      <c r="G38" s="1125">
        <f>IF('Final Calculation Sheet'!$H$33="","",'Final Calculation Sheet'!$H$33)</f>
        <v/>
      </c>
      <c r="H38" s="1125">
        <f>IF('Final Calculation Sheet'!$I$33="","",'Final Calculation Sheet'!$I$33)</f>
        <v/>
      </c>
      <c r="I38" s="1125">
        <f>IF('Final Calculation Sheet'!$J$33="","",'Final Calculation Sheet'!$J$33)</f>
        <v/>
      </c>
      <c r="J38" s="1125">
        <f>IF('Final Calculation Sheet'!$K$33="","",'Final Calculation Sheet'!$K$33)</f>
        <v/>
      </c>
      <c r="K38" s="1129">
        <f>IF('Final Calculation Sheet'!$L$33="","",'Final Calculation Sheet'!$L$33)</f>
        <v/>
      </c>
      <c r="L38" s="1129">
        <f>IF('Final Calculation Sheet'!$M$33="","",'Final Calculation Sheet'!$M$33)</f>
        <v/>
      </c>
      <c r="M38" s="1129">
        <f>IF('Final Calculation Sheet'!$N$33="","",'Final Calculation Sheet'!$N$33)</f>
        <v/>
      </c>
      <c r="N38" s="1129">
        <f>IF('Final Calculation Sheet'!$O$33="","",'Final Calculation Sheet'!$O$33)</f>
        <v/>
      </c>
      <c r="O38" s="1125">
        <f>IF('Final Calculation Sheet'!$P$33="","",'Final Calculation Sheet'!$P$33)</f>
        <v/>
      </c>
      <c r="P38" s="1130">
        <f>IF('Final Calculation Sheet'!$Q$33="","",'Final Calculation Sheet'!$Q$33)</f>
        <v/>
      </c>
      <c r="Q38" s="1125">
        <f>IF('Final Calculation Sheet'!$R$33="","",'Final Calculation Sheet'!$R$33)</f>
        <v/>
      </c>
      <c r="R38" s="1125">
        <f>IF('Final Calculation Sheet'!$S$33="","",'Final Calculation Sheet'!$S$33)</f>
        <v/>
      </c>
      <c r="S38" s="1125">
        <f>IF('Final Calculation Sheet'!$T$33="","",'Final Calculation Sheet'!$T$33)</f>
        <v/>
      </c>
      <c r="T38" s="1125">
        <f>IF('Final Calculation Sheet'!$U$33="","",'Final Calculation Sheet'!$U$33)</f>
        <v/>
      </c>
      <c r="U38" s="1128">
        <f>IF('Final Calculation Sheet'!$V$33="","",'Final Calculation Sheet'!$V$33)</f>
        <v/>
      </c>
      <c r="V38" s="1125">
        <f>IF('Final Calculation Sheet'!$W$33="","",'Final Calculation Sheet'!$W$33)</f>
        <v/>
      </c>
      <c r="W38" s="1125">
        <f>IF('Final Calculation Sheet'!$X$33="","",'Final Calculation Sheet'!$X$33)</f>
        <v/>
      </c>
      <c r="X38" s="1128">
        <f>IF('Final Calculation Sheet'!$Y$33="","",'Final Calculation Sheet'!$Y$33)</f>
        <v/>
      </c>
      <c r="Y38" s="1125">
        <f>IF('Final Calculation Sheet'!$Z$33="","",'Final Calculation Sheet'!$Z$33)</f>
        <v/>
      </c>
      <c r="Z38" s="1125">
        <f>IF('Final Calculation Sheet'!$AA$33="","",'Final Calculation Sheet'!$AA$33)</f>
        <v/>
      </c>
      <c r="AA38" s="1128">
        <f>IF('Final Calculation Sheet'!$AB$33="","",'Final Calculation Sheet'!$AB$33)</f>
        <v/>
      </c>
      <c r="AB38" s="1125">
        <f>IF('Final Calculation Sheet'!$AC$33="","",'Final Calculation Sheet'!$AC$33)</f>
        <v/>
      </c>
      <c r="AC38" s="1125">
        <f>IF('Final Calculation Sheet'!$AD$33="","",'Final Calculation Sheet'!$AD$33)</f>
        <v/>
      </c>
      <c r="AD38" s="1128">
        <f>IF('Final Calculation Sheet'!$AD$33="","",IF('Final Calculation Sheet'!$AD$33&lt;=0,"SETTLED","OUTSTANDING"))</f>
        <v/>
      </c>
      <c r="AE38" s="1128">
        <f>IF('Final Calculation Sheet'!$AE$33="","",'Final Calculation Sheet'!$AE$33)</f>
        <v/>
      </c>
      <c r="AF38" s="1125">
        <f>IF('Final Calculation Sheet'!$AF$33="","",'Final Calculation Sheet'!$AF$33)</f>
        <v/>
      </c>
      <c r="AG38" s="1128">
        <f>IF('Final Calculation Sheet'!$AG$33="","",'Final Calculation Sheet'!$AG$33)</f>
        <v/>
      </c>
    </row>
    <row r="39" outlineLevel="1" ht="15" customHeight="1">
      <c r="A39" s="1119">
        <f>IF('Final Calculation Sheet'!$F$37="","",'Final Calculation Sheet'!$F$37)</f>
        <v/>
      </c>
      <c r="B39" s="1120">
        <f>IF('Final Calculation Sheet'!$B$37="","",'Final Calculation Sheet'!$B$37)</f>
        <v/>
      </c>
      <c r="C39" s="1119">
        <f>IF('Final Calculation Sheet'!$D$37="","",'Final Calculation Sheet'!$D$37)</f>
        <v/>
      </c>
      <c r="D39" s="1121">
        <f>IF('Final Calculation Sheet'!$A$37="","",'Final Calculation Sheet'!$A$37)</f>
        <v/>
      </c>
      <c r="E39" s="1122">
        <f>IF('Final Calculation Sheet'!$E$37="","",'Final Calculation Sheet'!$E$37)</f>
        <v/>
      </c>
      <c r="F39" s="1119">
        <f>IF('Final Calculation Sheet'!$C$37="","",'Final Calculation Sheet'!$C$37)</f>
        <v/>
      </c>
      <c r="G39" s="1119">
        <f>IF('Final Calculation Sheet'!$H$37="","",'Final Calculation Sheet'!$H$37)</f>
        <v/>
      </c>
      <c r="H39" s="1119">
        <f>IF('Final Calculation Sheet'!$I$37="","",'Final Calculation Sheet'!$I$37)</f>
        <v/>
      </c>
      <c r="I39" s="1119">
        <f>IF('Final Calculation Sheet'!$J$37="","",'Final Calculation Sheet'!$J$37)</f>
        <v/>
      </c>
      <c r="J39" s="1119">
        <f>IF('Final Calculation Sheet'!$K$37="","",'Final Calculation Sheet'!$K$37)</f>
        <v/>
      </c>
      <c r="K39" s="1123">
        <f>IF('Final Calculation Sheet'!$L$37="","",'Final Calculation Sheet'!$L$37)</f>
        <v/>
      </c>
      <c r="L39" s="1123">
        <f>IF('Final Calculation Sheet'!$M$37="","",'Final Calculation Sheet'!$M$37)</f>
        <v/>
      </c>
      <c r="M39" s="1123">
        <f>IF('Final Calculation Sheet'!$N$37="","",'Final Calculation Sheet'!$N$37)</f>
        <v/>
      </c>
      <c r="N39" s="1123">
        <f>IF('Final Calculation Sheet'!$O$37="","",'Final Calculation Sheet'!$O$37)</f>
        <v/>
      </c>
      <c r="O39" s="1119">
        <f>IF('Final Calculation Sheet'!$P$37="","",'Final Calculation Sheet'!$P$37)</f>
        <v/>
      </c>
      <c r="P39" s="1124">
        <f>IF('Final Calculation Sheet'!$Q$37="","",'Final Calculation Sheet'!$Q$37)</f>
        <v/>
      </c>
      <c r="Q39" s="1119">
        <f>IF('Final Calculation Sheet'!$R$37="","",'Final Calculation Sheet'!$R$37)</f>
        <v/>
      </c>
      <c r="R39" s="1119">
        <f>IF('Final Calculation Sheet'!$S$37="","",'Final Calculation Sheet'!$S$37)</f>
        <v/>
      </c>
      <c r="S39" s="1119">
        <f>IF('Final Calculation Sheet'!$T$37="","",'Final Calculation Sheet'!$T$37)</f>
        <v/>
      </c>
      <c r="T39" s="1119">
        <f>IF('Final Calculation Sheet'!$U$37="","",'Final Calculation Sheet'!$U$37)</f>
        <v/>
      </c>
      <c r="U39" s="1122">
        <f>IF('Final Calculation Sheet'!$V$37="","",'Final Calculation Sheet'!$V$37)</f>
        <v/>
      </c>
      <c r="V39" s="1119">
        <f>IF('Final Calculation Sheet'!$W$37="","",'Final Calculation Sheet'!$W$37)</f>
        <v/>
      </c>
      <c r="W39" s="1119">
        <f>IF('Final Calculation Sheet'!$X$37="","",'Final Calculation Sheet'!$X$37)</f>
        <v/>
      </c>
      <c r="X39" s="1122">
        <f>IF('Final Calculation Sheet'!$Y$37="","",'Final Calculation Sheet'!$Y$37)</f>
        <v/>
      </c>
      <c r="Y39" s="1119">
        <f>IF('Final Calculation Sheet'!$Z$37="","",'Final Calculation Sheet'!$Z$37)</f>
        <v/>
      </c>
      <c r="Z39" s="1119">
        <f>IF('Final Calculation Sheet'!$AA$37="","",'Final Calculation Sheet'!$AA$37)</f>
        <v/>
      </c>
      <c r="AA39" s="1122">
        <f>IF('Final Calculation Sheet'!$AB$37="","",'Final Calculation Sheet'!$AB$37)</f>
        <v/>
      </c>
      <c r="AB39" s="1119">
        <f>IF('Final Calculation Sheet'!$AC$37="","",'Final Calculation Sheet'!$AC$37)</f>
        <v/>
      </c>
      <c r="AC39" s="1119">
        <f>IF('Final Calculation Sheet'!$AD$37="","",'Final Calculation Sheet'!$AD$37)</f>
        <v/>
      </c>
      <c r="AD39" s="1122">
        <f>IF('Final Calculation Sheet'!$AD$37="","",IF('Final Calculation Sheet'!$AD$37&lt;=0,"SETTLED","OUTSTANDING"))</f>
        <v/>
      </c>
      <c r="AE39" s="1122">
        <f>IF('Final Calculation Sheet'!$AE$37="","",'Final Calculation Sheet'!$AE$37)</f>
        <v/>
      </c>
      <c r="AF39" s="1119">
        <f>IF('Final Calculation Sheet'!$AF$37="","",'Final Calculation Sheet'!$AF$37)</f>
        <v/>
      </c>
      <c r="AG39" s="1122">
        <f>IF('Final Calculation Sheet'!$AG$37="","",'Final Calculation Sheet'!$AG$37)</f>
        <v/>
      </c>
    </row>
    <row r="40" ht="20" customHeight="1">
      <c r="A40" s="1131" t="inlineStr">
        <is>
          <t>∑  NATIONAL ENTERPRISES — TOTALS</t>
        </is>
      </c>
      <c r="B40" s="759" t="inlineStr">
        <is>
          <t>–</t>
        </is>
      </c>
      <c r="C40" s="759" t="inlineStr">
        <is>
          <t>–</t>
        </is>
      </c>
      <c r="D40" s="1132">
        <f>SUM(D27:D39)</f>
        <v/>
      </c>
      <c r="E40" s="759" t="inlineStr">
        <is>
          <t>–</t>
        </is>
      </c>
      <c r="F40" s="759" t="inlineStr">
        <is>
          <t>–</t>
        </is>
      </c>
      <c r="G40" s="1133">
        <f>SUM(G27:G39)</f>
        <v/>
      </c>
      <c r="H40" s="1133">
        <f>SUM(H27:H39)</f>
        <v/>
      </c>
      <c r="I40" s="1133">
        <f>SUM(I27:I39)</f>
        <v/>
      </c>
      <c r="J40" s="1133">
        <f>SUM(J27:J39)</f>
        <v/>
      </c>
      <c r="K40" s="1134">
        <f>SUM(K27:K39)</f>
        <v/>
      </c>
      <c r="L40" s="1134">
        <f>SUM(L27:L39)</f>
        <v/>
      </c>
      <c r="M40" s="1134">
        <f>SUM(M27:M39)</f>
        <v/>
      </c>
      <c r="N40" s="1134">
        <f>SUM(N27:N39)</f>
        <v/>
      </c>
      <c r="O40" s="1133">
        <f>SUM(O27:O39)</f>
        <v/>
      </c>
      <c r="P40" s="759" t="inlineStr">
        <is>
          <t>–</t>
        </is>
      </c>
      <c r="Q40" s="1133">
        <f>SUM(Q27:Q39)</f>
        <v/>
      </c>
      <c r="R40" s="1133">
        <f>SUM(R27:R39)</f>
        <v/>
      </c>
      <c r="S40" s="1133">
        <f>SUM(S27:S39)</f>
        <v/>
      </c>
      <c r="T40" s="1133">
        <f>SUM(T27:T39)</f>
        <v/>
      </c>
      <c r="U40" s="759" t="inlineStr">
        <is>
          <t>–</t>
        </is>
      </c>
      <c r="V40" s="1133">
        <f>SUM(V27:V39)</f>
        <v/>
      </c>
      <c r="W40" s="1133">
        <f>SUM(W27:W39)</f>
        <v/>
      </c>
      <c r="X40" s="759" t="inlineStr">
        <is>
          <t>–</t>
        </is>
      </c>
      <c r="Y40" s="1133">
        <f>SUM(Y27:Y39)</f>
        <v/>
      </c>
      <c r="Z40" s="1133">
        <f>SUM(Z27:Z39)</f>
        <v/>
      </c>
      <c r="AA40" s="759" t="inlineStr">
        <is>
          <t>–</t>
        </is>
      </c>
      <c r="AB40" s="1133">
        <f>SUM(AB27:AB39)</f>
        <v/>
      </c>
      <c r="AC40" s="1133">
        <f>SUM(AC27:AC39)</f>
        <v/>
      </c>
      <c r="AD40" s="759" t="inlineStr">
        <is>
          <t>–</t>
        </is>
      </c>
      <c r="AE40" s="759" t="inlineStr">
        <is>
          <t>–</t>
        </is>
      </c>
      <c r="AF40" s="759" t="inlineStr">
        <is>
          <t>–</t>
        </is>
      </c>
      <c r="AG40" s="759" t="inlineStr">
        <is>
          <t>–</t>
        </is>
      </c>
    </row>
    <row r="41" ht="7" customHeight="1">
      <c r="A41" s="866" t="n"/>
      <c r="B41" s="866" t="n"/>
      <c r="C41" s="866" t="n"/>
      <c r="D41" s="866" t="n"/>
      <c r="E41" s="866" t="n"/>
      <c r="F41" s="866" t="n"/>
      <c r="G41" s="866" t="n"/>
      <c r="H41" s="866" t="n"/>
      <c r="I41" s="866" t="n"/>
      <c r="J41" s="866" t="n"/>
      <c r="K41" s="866" t="n"/>
      <c r="L41" s="866" t="n"/>
      <c r="M41" s="866" t="n"/>
      <c r="N41" s="866" t="n"/>
      <c r="O41" s="866" t="n"/>
      <c r="P41" s="866" t="n"/>
      <c r="Q41" s="866" t="n"/>
      <c r="R41" s="866" t="n"/>
      <c r="S41" s="866" t="n"/>
      <c r="T41" s="866" t="n"/>
      <c r="U41" s="866" t="n"/>
      <c r="V41" s="866" t="n"/>
      <c r="W41" s="866" t="n"/>
      <c r="X41" s="866" t="n"/>
      <c r="Y41" s="866" t="n"/>
      <c r="Z41" s="866" t="n"/>
      <c r="AA41" s="866" t="n"/>
      <c r="AB41" s="866" t="n"/>
      <c r="AC41" s="866" t="n"/>
      <c r="AD41" s="866" t="n"/>
      <c r="AE41" s="866" t="n"/>
      <c r="AF41" s="866" t="n"/>
      <c r="AG41" s="866" t="n"/>
    </row>
    <row r="42" ht="24" customHeight="1">
      <c r="A42" s="918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1135">
        <f>IF('Final Calculation Sheet'!$F$21="","",'Final Calculation Sheet'!$F$21)</f>
        <v/>
      </c>
      <c r="B43" s="1136">
        <f>IF('Final Calculation Sheet'!$B$21="","",'Final Calculation Sheet'!$B$21)</f>
        <v/>
      </c>
      <c r="C43" s="1135">
        <f>IF('Final Calculation Sheet'!$D$21="","",'Final Calculation Sheet'!$D$21)</f>
        <v/>
      </c>
      <c r="D43" s="1137">
        <f>IF('Final Calculation Sheet'!$A$21="","",'Final Calculation Sheet'!$A$21)</f>
        <v/>
      </c>
      <c r="E43" s="1138">
        <f>IF('Final Calculation Sheet'!$E$21="","",'Final Calculation Sheet'!$E$21)</f>
        <v/>
      </c>
      <c r="F43" s="1135">
        <f>IF('Final Calculation Sheet'!$C$21="","",'Final Calculation Sheet'!$C$21)</f>
        <v/>
      </c>
      <c r="G43" s="1135">
        <f>IF('Final Calculation Sheet'!$H$21="","",'Final Calculation Sheet'!$H$21)</f>
        <v/>
      </c>
      <c r="H43" s="1135">
        <f>IF('Final Calculation Sheet'!$I$21="","",'Final Calculation Sheet'!$I$21)</f>
        <v/>
      </c>
      <c r="I43" s="1135">
        <f>IF('Final Calculation Sheet'!$J$21="","",'Final Calculation Sheet'!$J$21)</f>
        <v/>
      </c>
      <c r="J43" s="1135">
        <f>IF('Final Calculation Sheet'!$K$21="","",'Final Calculation Sheet'!$K$21)</f>
        <v/>
      </c>
      <c r="K43" s="1139">
        <f>IF('Final Calculation Sheet'!$L$21="","",'Final Calculation Sheet'!$L$21)</f>
        <v/>
      </c>
      <c r="L43" s="1139">
        <f>IF('Final Calculation Sheet'!$M$21="","",'Final Calculation Sheet'!$M$21)</f>
        <v/>
      </c>
      <c r="M43" s="1139">
        <f>IF('Final Calculation Sheet'!$N$21="","",'Final Calculation Sheet'!$N$21)</f>
        <v/>
      </c>
      <c r="N43" s="1139">
        <f>IF('Final Calculation Sheet'!$O$21="","",'Final Calculation Sheet'!$O$21)</f>
        <v/>
      </c>
      <c r="O43" s="1135">
        <f>IF('Final Calculation Sheet'!$P$21="","",'Final Calculation Sheet'!$P$21)</f>
        <v/>
      </c>
      <c r="P43" s="1140">
        <f>IF('Final Calculation Sheet'!$Q$21="","",'Final Calculation Sheet'!$Q$21)</f>
        <v/>
      </c>
      <c r="Q43" s="1135">
        <f>IF('Final Calculation Sheet'!$R$21="","",'Final Calculation Sheet'!$R$21)</f>
        <v/>
      </c>
      <c r="R43" s="1135">
        <f>IF('Final Calculation Sheet'!$S$21="","",'Final Calculation Sheet'!$S$21)</f>
        <v/>
      </c>
      <c r="S43" s="1135">
        <f>IF('Final Calculation Sheet'!$T$21="","",'Final Calculation Sheet'!$T$21)</f>
        <v/>
      </c>
      <c r="T43" s="1135">
        <f>IF('Final Calculation Sheet'!$U$21="","",'Final Calculation Sheet'!$U$21)</f>
        <v/>
      </c>
      <c r="U43" s="1138">
        <f>IF('Final Calculation Sheet'!$V$21="","",'Final Calculation Sheet'!$V$21)</f>
        <v/>
      </c>
      <c r="V43" s="1135">
        <f>IF('Final Calculation Sheet'!$W$21="","",'Final Calculation Sheet'!$W$21)</f>
        <v/>
      </c>
      <c r="W43" s="1135">
        <f>IF('Final Calculation Sheet'!$X$21="","",'Final Calculation Sheet'!$X$21)</f>
        <v/>
      </c>
      <c r="X43" s="1138">
        <f>IF('Final Calculation Sheet'!$Y$21="","",'Final Calculation Sheet'!$Y$21)</f>
        <v/>
      </c>
      <c r="Y43" s="1135">
        <f>IF('Final Calculation Sheet'!$Z$21="","",'Final Calculation Sheet'!$Z$21)</f>
        <v/>
      </c>
      <c r="Z43" s="1135">
        <f>IF('Final Calculation Sheet'!$AA$21="","",'Final Calculation Sheet'!$AA$21)</f>
        <v/>
      </c>
      <c r="AA43" s="1138">
        <f>IF('Final Calculation Sheet'!$AB$21="","",'Final Calculation Sheet'!$AB$21)</f>
        <v/>
      </c>
      <c r="AB43" s="1135">
        <f>IF('Final Calculation Sheet'!$AC$21="","",'Final Calculation Sheet'!$AC$21)</f>
        <v/>
      </c>
      <c r="AC43" s="1135">
        <f>IF('Final Calculation Sheet'!$AD$21="","",'Final Calculation Sheet'!$AD$21)</f>
        <v/>
      </c>
      <c r="AD43" s="1138">
        <f>IF('Final Calculation Sheet'!$AD$21="","",IF('Final Calculation Sheet'!$AD$21&lt;=0,"SETTLED","OUTSTANDING"))</f>
        <v/>
      </c>
      <c r="AE43" s="1138">
        <f>IF('Final Calculation Sheet'!$AE$21="","",'Final Calculation Sheet'!$AE$21)</f>
        <v/>
      </c>
      <c r="AF43" s="1135">
        <f>IF('Final Calculation Sheet'!$AF$21="","",'Final Calculation Sheet'!$AF$21)</f>
        <v/>
      </c>
      <c r="AG43" s="1138">
        <f>IF('Final Calculation Sheet'!$AG$21="","",'Final Calculation Sheet'!$AG$21)</f>
        <v/>
      </c>
    </row>
    <row r="44" ht="20" customHeight="1">
      <c r="A44" s="1141" t="inlineStr">
        <is>
          <t>∑  NATIONAL SCRAP AND BUILDING MATERIAL SUPPLIER — TOTALS</t>
        </is>
      </c>
      <c r="B44" s="760" t="inlineStr">
        <is>
          <t>–</t>
        </is>
      </c>
      <c r="C44" s="760" t="inlineStr">
        <is>
          <t>–</t>
        </is>
      </c>
      <c r="D44" s="1142">
        <f>SUM(D43:D43)</f>
        <v/>
      </c>
      <c r="E44" s="760" t="inlineStr">
        <is>
          <t>–</t>
        </is>
      </c>
      <c r="F44" s="760" t="inlineStr">
        <is>
          <t>–</t>
        </is>
      </c>
      <c r="G44" s="1143">
        <f>SUM(G43:G43)</f>
        <v/>
      </c>
      <c r="H44" s="1143">
        <f>SUM(H43:H43)</f>
        <v/>
      </c>
      <c r="I44" s="1143">
        <f>SUM(I43:I43)</f>
        <v/>
      </c>
      <c r="J44" s="1143">
        <f>SUM(J43:J43)</f>
        <v/>
      </c>
      <c r="K44" s="1144">
        <f>SUM(K43:K43)</f>
        <v/>
      </c>
      <c r="L44" s="1144">
        <f>SUM(L43:L43)</f>
        <v/>
      </c>
      <c r="M44" s="1144">
        <f>SUM(M43:M43)</f>
        <v/>
      </c>
      <c r="N44" s="1144">
        <f>SUM(N43:N43)</f>
        <v/>
      </c>
      <c r="O44" s="1143">
        <f>SUM(O43:O43)</f>
        <v/>
      </c>
      <c r="P44" s="760" t="inlineStr">
        <is>
          <t>–</t>
        </is>
      </c>
      <c r="Q44" s="1143">
        <f>SUM(Q43:Q43)</f>
        <v/>
      </c>
      <c r="R44" s="1143">
        <f>SUM(R43:R43)</f>
        <v/>
      </c>
      <c r="S44" s="1143">
        <f>SUM(S43:S43)</f>
        <v/>
      </c>
      <c r="T44" s="1143">
        <f>SUM(T43:T43)</f>
        <v/>
      </c>
      <c r="U44" s="760" t="inlineStr">
        <is>
          <t>–</t>
        </is>
      </c>
      <c r="V44" s="1143">
        <f>SUM(V43:V43)</f>
        <v/>
      </c>
      <c r="W44" s="1143">
        <f>SUM(W43:W43)</f>
        <v/>
      </c>
      <c r="X44" s="760" t="inlineStr">
        <is>
          <t>–</t>
        </is>
      </c>
      <c r="Y44" s="1143">
        <f>SUM(Y43:Y43)</f>
        <v/>
      </c>
      <c r="Z44" s="1143">
        <f>SUM(Z43:Z43)</f>
        <v/>
      </c>
      <c r="AA44" s="760" t="inlineStr">
        <is>
          <t>–</t>
        </is>
      </c>
      <c r="AB44" s="1143">
        <f>SUM(AB43:AB43)</f>
        <v/>
      </c>
      <c r="AC44" s="1143">
        <f>SUM(AC43:AC43)</f>
        <v/>
      </c>
      <c r="AD44" s="760" t="inlineStr">
        <is>
          <t>–</t>
        </is>
      </c>
      <c r="AE44" s="760" t="inlineStr">
        <is>
          <t>–</t>
        </is>
      </c>
      <c r="AF44" s="760" t="inlineStr">
        <is>
          <t>–</t>
        </is>
      </c>
      <c r="AG44" s="760" t="inlineStr">
        <is>
          <t>–</t>
        </is>
      </c>
    </row>
    <row r="45" ht="7" customHeight="1">
      <c r="A45" s="866" t="n"/>
      <c r="B45" s="866" t="n"/>
      <c r="C45" s="866" t="n"/>
      <c r="D45" s="866" t="n"/>
      <c r="E45" s="866" t="n"/>
      <c r="F45" s="866" t="n"/>
      <c r="G45" s="866" t="n"/>
      <c r="H45" s="866" t="n"/>
      <c r="I45" s="866" t="n"/>
      <c r="J45" s="866" t="n"/>
      <c r="K45" s="866" t="n"/>
      <c r="L45" s="866" t="n"/>
      <c r="M45" s="866" t="n"/>
      <c r="N45" s="866" t="n"/>
      <c r="O45" s="866" t="n"/>
      <c r="P45" s="866" t="n"/>
      <c r="Q45" s="866" t="n"/>
      <c r="R45" s="866" t="n"/>
      <c r="S45" s="866" t="n"/>
      <c r="T45" s="866" t="n"/>
      <c r="U45" s="866" t="n"/>
      <c r="V45" s="866" t="n"/>
      <c r="W45" s="866" t="n"/>
      <c r="X45" s="866" t="n"/>
      <c r="Y45" s="866" t="n"/>
      <c r="Z45" s="866" t="n"/>
      <c r="AA45" s="866" t="n"/>
      <c r="AB45" s="866" t="n"/>
      <c r="AC45" s="866" t="n"/>
      <c r="AD45" s="866" t="n"/>
      <c r="AE45" s="866" t="n"/>
      <c r="AF45" s="866" t="n"/>
      <c r="AG45" s="866" t="n"/>
    </row>
    <row r="46" ht="24" customHeight="1">
      <c r="A46" s="929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1145">
        <f>IF('Final Calculation Sheet'!$F$8="","",'Final Calculation Sheet'!$F$8)</f>
        <v/>
      </c>
      <c r="B47" s="1146">
        <f>IF('Final Calculation Sheet'!$B$8="","",'Final Calculation Sheet'!$B$8)</f>
        <v/>
      </c>
      <c r="C47" s="1145">
        <f>IF('Final Calculation Sheet'!$D$8="","",'Final Calculation Sheet'!$D$8)</f>
        <v/>
      </c>
      <c r="D47" s="1147">
        <f>IF('Final Calculation Sheet'!$A$8="","",'Final Calculation Sheet'!$A$8)</f>
        <v/>
      </c>
      <c r="E47" s="1148">
        <f>IF('Final Calculation Sheet'!$E$8="","",'Final Calculation Sheet'!$E$8)</f>
        <v/>
      </c>
      <c r="F47" s="1145">
        <f>IF('Final Calculation Sheet'!$C$8="","",'Final Calculation Sheet'!$C$8)</f>
        <v/>
      </c>
      <c r="G47" s="1145">
        <f>IF('Final Calculation Sheet'!$H$8="","",'Final Calculation Sheet'!$H$8)</f>
        <v/>
      </c>
      <c r="H47" s="1145">
        <f>IF('Final Calculation Sheet'!$I$8="","",'Final Calculation Sheet'!$I$8)</f>
        <v/>
      </c>
      <c r="I47" s="1145">
        <f>IF('Final Calculation Sheet'!$J$8="","",'Final Calculation Sheet'!$J$8)</f>
        <v/>
      </c>
      <c r="J47" s="1145">
        <f>IF('Final Calculation Sheet'!$K$8="","",'Final Calculation Sheet'!$K$8)</f>
        <v/>
      </c>
      <c r="K47" s="1149">
        <f>IF('Final Calculation Sheet'!$L$8="","",'Final Calculation Sheet'!$L$8)</f>
        <v/>
      </c>
      <c r="L47" s="1149">
        <f>IF('Final Calculation Sheet'!$M$8="","",'Final Calculation Sheet'!$M$8)</f>
        <v/>
      </c>
      <c r="M47" s="1149">
        <f>IF('Final Calculation Sheet'!$N$8="","",'Final Calculation Sheet'!$N$8)</f>
        <v/>
      </c>
      <c r="N47" s="1149">
        <f>IF('Final Calculation Sheet'!$O$8="","",'Final Calculation Sheet'!$O$8)</f>
        <v/>
      </c>
      <c r="O47" s="1145">
        <f>IF('Final Calculation Sheet'!$P$8="","",'Final Calculation Sheet'!$P$8)</f>
        <v/>
      </c>
      <c r="P47" s="1150">
        <f>IF('Final Calculation Sheet'!$Q$8="","",'Final Calculation Sheet'!$Q$8)</f>
        <v/>
      </c>
      <c r="Q47" s="1145">
        <f>IF('Final Calculation Sheet'!$R$8="","",'Final Calculation Sheet'!$R$8)</f>
        <v/>
      </c>
      <c r="R47" s="1145">
        <f>IF('Final Calculation Sheet'!$S$8="","",'Final Calculation Sheet'!$S$8)</f>
        <v/>
      </c>
      <c r="S47" s="1145">
        <f>IF('Final Calculation Sheet'!$T$8="","",'Final Calculation Sheet'!$T$8)</f>
        <v/>
      </c>
      <c r="T47" s="1145">
        <f>IF('Final Calculation Sheet'!$U$8="","",'Final Calculation Sheet'!$U$8)</f>
        <v/>
      </c>
      <c r="U47" s="1148">
        <f>IF('Final Calculation Sheet'!$V$8="","",'Final Calculation Sheet'!$V$8)</f>
        <v/>
      </c>
      <c r="V47" s="1145">
        <f>IF('Final Calculation Sheet'!$W$8="","",'Final Calculation Sheet'!$W$8)</f>
        <v/>
      </c>
      <c r="W47" s="1145">
        <f>IF('Final Calculation Sheet'!$X$8="","",'Final Calculation Sheet'!$X$8)</f>
        <v/>
      </c>
      <c r="X47" s="1148">
        <f>IF('Final Calculation Sheet'!$Y$8="","",'Final Calculation Sheet'!$Y$8)</f>
        <v/>
      </c>
      <c r="Y47" s="1145">
        <f>IF('Final Calculation Sheet'!$Z$8="","",'Final Calculation Sheet'!$Z$8)</f>
        <v/>
      </c>
      <c r="Z47" s="1145">
        <f>IF('Final Calculation Sheet'!$AA$8="","",'Final Calculation Sheet'!$AA$8)</f>
        <v/>
      </c>
      <c r="AA47" s="1148">
        <f>IF('Final Calculation Sheet'!$AB$8="","",'Final Calculation Sheet'!$AB$8)</f>
        <v/>
      </c>
      <c r="AB47" s="1145">
        <f>IF('Final Calculation Sheet'!$AC$8="","",'Final Calculation Sheet'!$AC$8)</f>
        <v/>
      </c>
      <c r="AC47" s="1145">
        <f>IF('Final Calculation Sheet'!$AD$8="","",'Final Calculation Sheet'!$AD$8)</f>
        <v/>
      </c>
      <c r="AD47" s="1148">
        <f>IF('Final Calculation Sheet'!$AD$8="","",IF('Final Calculation Sheet'!$AD$8&lt;=0,"SETTLED","OUTSTANDING"))</f>
        <v/>
      </c>
      <c r="AE47" s="1148">
        <f>IF('Final Calculation Sheet'!$AE$8="","",'Final Calculation Sheet'!$AE$8)</f>
        <v/>
      </c>
      <c r="AF47" s="1145">
        <f>IF('Final Calculation Sheet'!$AF$8="","",'Final Calculation Sheet'!$AF$8)</f>
        <v/>
      </c>
      <c r="AG47" s="1148">
        <f>IF('Final Calculation Sheet'!$AG$8="","",'Final Calculation Sheet'!$AG$8)</f>
        <v/>
      </c>
    </row>
    <row r="48" outlineLevel="1" ht="15" customHeight="1">
      <c r="A48" s="1151">
        <f>IF('Final Calculation Sheet'!$F$20="","",'Final Calculation Sheet'!$F$20)</f>
        <v/>
      </c>
      <c r="B48" s="1152">
        <f>IF('Final Calculation Sheet'!$B$20="","",'Final Calculation Sheet'!$B$20)</f>
        <v/>
      </c>
      <c r="C48" s="1151">
        <f>IF('Final Calculation Sheet'!$D$20="","",'Final Calculation Sheet'!$D$20)</f>
        <v/>
      </c>
      <c r="D48" s="1153">
        <f>IF('Final Calculation Sheet'!$A$20="","",'Final Calculation Sheet'!$A$20)</f>
        <v/>
      </c>
      <c r="E48" s="1154">
        <f>IF('Final Calculation Sheet'!$E$20="","",'Final Calculation Sheet'!$E$20)</f>
        <v/>
      </c>
      <c r="F48" s="1151">
        <f>IF('Final Calculation Sheet'!$C$20="","",'Final Calculation Sheet'!$C$20)</f>
        <v/>
      </c>
      <c r="G48" s="1151">
        <f>IF('Final Calculation Sheet'!$H$20="","",'Final Calculation Sheet'!$H$20)</f>
        <v/>
      </c>
      <c r="H48" s="1151">
        <f>IF('Final Calculation Sheet'!$I$20="","",'Final Calculation Sheet'!$I$20)</f>
        <v/>
      </c>
      <c r="I48" s="1151">
        <f>IF('Final Calculation Sheet'!$J$20="","",'Final Calculation Sheet'!$J$20)</f>
        <v/>
      </c>
      <c r="J48" s="1151">
        <f>IF('Final Calculation Sheet'!$K$20="","",'Final Calculation Sheet'!$K$20)</f>
        <v/>
      </c>
      <c r="K48" s="1155">
        <f>IF('Final Calculation Sheet'!$L$20="","",'Final Calculation Sheet'!$L$20)</f>
        <v/>
      </c>
      <c r="L48" s="1155">
        <f>IF('Final Calculation Sheet'!$M$20="","",'Final Calculation Sheet'!$M$20)</f>
        <v/>
      </c>
      <c r="M48" s="1155">
        <f>IF('Final Calculation Sheet'!$N$20="","",'Final Calculation Sheet'!$N$20)</f>
        <v/>
      </c>
      <c r="N48" s="1155">
        <f>IF('Final Calculation Sheet'!$O$20="","",'Final Calculation Sheet'!$O$20)</f>
        <v/>
      </c>
      <c r="O48" s="1151">
        <f>IF('Final Calculation Sheet'!$P$20="","",'Final Calculation Sheet'!$P$20)</f>
        <v/>
      </c>
      <c r="P48" s="1156">
        <f>IF('Final Calculation Sheet'!$Q$20="","",'Final Calculation Sheet'!$Q$20)</f>
        <v/>
      </c>
      <c r="Q48" s="1151">
        <f>IF('Final Calculation Sheet'!$R$20="","",'Final Calculation Sheet'!$R$20)</f>
        <v/>
      </c>
      <c r="R48" s="1151">
        <f>IF('Final Calculation Sheet'!$S$20="","",'Final Calculation Sheet'!$S$20)</f>
        <v/>
      </c>
      <c r="S48" s="1151">
        <f>IF('Final Calculation Sheet'!$T$20="","",'Final Calculation Sheet'!$T$20)</f>
        <v/>
      </c>
      <c r="T48" s="1151">
        <f>IF('Final Calculation Sheet'!$U$20="","",'Final Calculation Sheet'!$U$20)</f>
        <v/>
      </c>
      <c r="U48" s="1154">
        <f>IF('Final Calculation Sheet'!$V$20="","",'Final Calculation Sheet'!$V$20)</f>
        <v/>
      </c>
      <c r="V48" s="1151">
        <f>IF('Final Calculation Sheet'!$W$20="","",'Final Calculation Sheet'!$W$20)</f>
        <v/>
      </c>
      <c r="W48" s="1151">
        <f>IF('Final Calculation Sheet'!$X$20="","",'Final Calculation Sheet'!$X$20)</f>
        <v/>
      </c>
      <c r="X48" s="1154">
        <f>IF('Final Calculation Sheet'!$Y$20="","",'Final Calculation Sheet'!$Y$20)</f>
        <v/>
      </c>
      <c r="Y48" s="1151">
        <f>IF('Final Calculation Sheet'!$Z$20="","",'Final Calculation Sheet'!$Z$20)</f>
        <v/>
      </c>
      <c r="Z48" s="1151">
        <f>IF('Final Calculation Sheet'!$AA$20="","",'Final Calculation Sheet'!$AA$20)</f>
        <v/>
      </c>
      <c r="AA48" s="1154">
        <f>IF('Final Calculation Sheet'!$AB$20="","",'Final Calculation Sheet'!$AB$20)</f>
        <v/>
      </c>
      <c r="AB48" s="1151">
        <f>IF('Final Calculation Sheet'!$AC$20="","",'Final Calculation Sheet'!$AC$20)</f>
        <v/>
      </c>
      <c r="AC48" s="1151">
        <f>IF('Final Calculation Sheet'!$AD$20="","",'Final Calculation Sheet'!$AD$20)</f>
        <v/>
      </c>
      <c r="AD48" s="1154">
        <f>IF('Final Calculation Sheet'!$AD$20="","",IF('Final Calculation Sheet'!$AD$20&lt;=0,"SETTLED","OUTSTANDING"))</f>
        <v/>
      </c>
      <c r="AE48" s="1154">
        <f>IF('Final Calculation Sheet'!$AE$20="","",'Final Calculation Sheet'!$AE$20)</f>
        <v/>
      </c>
      <c r="AF48" s="1151">
        <f>IF('Final Calculation Sheet'!$AF$20="","",'Final Calculation Sheet'!$AF$20)</f>
        <v/>
      </c>
      <c r="AG48" s="1154">
        <f>IF('Final Calculation Sheet'!$AG$20="","",'Final Calculation Sheet'!$AG$20)</f>
        <v/>
      </c>
    </row>
    <row r="49" ht="20" customHeight="1">
      <c r="A49" s="1157" t="inlineStr">
        <is>
          <t>∑  OMKAR STEELS — TOTALS</t>
        </is>
      </c>
      <c r="B49" s="761" t="inlineStr">
        <is>
          <t>–</t>
        </is>
      </c>
      <c r="C49" s="761" t="inlineStr">
        <is>
          <t>–</t>
        </is>
      </c>
      <c r="D49" s="1158">
        <f>SUM(D47:D48)</f>
        <v/>
      </c>
      <c r="E49" s="761" t="inlineStr">
        <is>
          <t>–</t>
        </is>
      </c>
      <c r="F49" s="761" t="inlineStr">
        <is>
          <t>–</t>
        </is>
      </c>
      <c r="G49" s="1159">
        <f>SUM(G47:G48)</f>
        <v/>
      </c>
      <c r="H49" s="1159">
        <f>SUM(H47:H48)</f>
        <v/>
      </c>
      <c r="I49" s="1159">
        <f>SUM(I47:I48)</f>
        <v/>
      </c>
      <c r="J49" s="1159">
        <f>SUM(J47:J48)</f>
        <v/>
      </c>
      <c r="K49" s="1160">
        <f>SUM(K47:K48)</f>
        <v/>
      </c>
      <c r="L49" s="1160">
        <f>SUM(L47:L48)</f>
        <v/>
      </c>
      <c r="M49" s="1160">
        <f>SUM(M47:M48)</f>
        <v/>
      </c>
      <c r="N49" s="1160">
        <f>SUM(N47:N48)</f>
        <v/>
      </c>
      <c r="O49" s="1159">
        <f>SUM(O47:O48)</f>
        <v/>
      </c>
      <c r="P49" s="761" t="inlineStr">
        <is>
          <t>–</t>
        </is>
      </c>
      <c r="Q49" s="1159">
        <f>SUM(Q47:Q48)</f>
        <v/>
      </c>
      <c r="R49" s="1159">
        <f>SUM(R47:R48)</f>
        <v/>
      </c>
      <c r="S49" s="1159">
        <f>SUM(S47:S48)</f>
        <v/>
      </c>
      <c r="T49" s="1159">
        <f>SUM(T47:T48)</f>
        <v/>
      </c>
      <c r="U49" s="761" t="inlineStr">
        <is>
          <t>–</t>
        </is>
      </c>
      <c r="V49" s="1159">
        <f>SUM(V47:V48)</f>
        <v/>
      </c>
      <c r="W49" s="1159">
        <f>SUM(W47:W48)</f>
        <v/>
      </c>
      <c r="X49" s="761" t="inlineStr">
        <is>
          <t>–</t>
        </is>
      </c>
      <c r="Y49" s="1159">
        <f>SUM(Y47:Y48)</f>
        <v/>
      </c>
      <c r="Z49" s="1159">
        <f>SUM(Z47:Z48)</f>
        <v/>
      </c>
      <c r="AA49" s="761" t="inlineStr">
        <is>
          <t>–</t>
        </is>
      </c>
      <c r="AB49" s="1159">
        <f>SUM(AB47:AB48)</f>
        <v/>
      </c>
      <c r="AC49" s="1159">
        <f>SUM(AC47:AC48)</f>
        <v/>
      </c>
      <c r="AD49" s="761" t="inlineStr">
        <is>
          <t>–</t>
        </is>
      </c>
      <c r="AE49" s="761" t="inlineStr">
        <is>
          <t>–</t>
        </is>
      </c>
      <c r="AF49" s="761" t="inlineStr">
        <is>
          <t>–</t>
        </is>
      </c>
      <c r="AG49" s="761" t="inlineStr">
        <is>
          <t>–</t>
        </is>
      </c>
    </row>
    <row r="50" ht="7" customHeight="1">
      <c r="A50" s="866" t="n"/>
      <c r="B50" s="866" t="n"/>
      <c r="C50" s="866" t="n"/>
      <c r="D50" s="866" t="n"/>
      <c r="E50" s="866" t="n"/>
      <c r="F50" s="866" t="n"/>
      <c r="G50" s="866" t="n"/>
      <c r="H50" s="866" t="n"/>
      <c r="I50" s="866" t="n"/>
      <c r="J50" s="866" t="n"/>
      <c r="K50" s="866" t="n"/>
      <c r="L50" s="866" t="n"/>
      <c r="M50" s="866" t="n"/>
      <c r="N50" s="866" t="n"/>
      <c r="O50" s="866" t="n"/>
      <c r="P50" s="866" t="n"/>
      <c r="Q50" s="866" t="n"/>
      <c r="R50" s="866" t="n"/>
      <c r="S50" s="866" t="n"/>
      <c r="T50" s="866" t="n"/>
      <c r="U50" s="866" t="n"/>
      <c r="V50" s="866" t="n"/>
      <c r="W50" s="866" t="n"/>
      <c r="X50" s="866" t="n"/>
      <c r="Y50" s="866" t="n"/>
      <c r="Z50" s="866" t="n"/>
      <c r="AA50" s="866" t="n"/>
      <c r="AB50" s="866" t="n"/>
      <c r="AC50" s="866" t="n"/>
      <c r="AD50" s="866" t="n"/>
      <c r="AE50" s="866" t="n"/>
      <c r="AF50" s="866" t="n"/>
      <c r="AG50" s="866" t="n"/>
    </row>
    <row r="51" ht="24" customHeight="1">
      <c r="A51" s="856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1063">
        <f>IF('Final Calculation Sheet'!$F$39="","",'Final Calculation Sheet'!$F$39)</f>
        <v/>
      </c>
      <c r="B52" s="1064">
        <f>IF('Final Calculation Sheet'!$B$39="","",'Final Calculation Sheet'!$B$39)</f>
        <v/>
      </c>
      <c r="C52" s="1063">
        <f>IF('Final Calculation Sheet'!$D$39="","",'Final Calculation Sheet'!$D$39)</f>
        <v/>
      </c>
      <c r="D52" s="1065">
        <f>IF('Final Calculation Sheet'!$A$39="","",'Final Calculation Sheet'!$A$39)</f>
        <v/>
      </c>
      <c r="E52" s="1066">
        <f>IF('Final Calculation Sheet'!$E$39="","",'Final Calculation Sheet'!$E$39)</f>
        <v/>
      </c>
      <c r="F52" s="1063">
        <f>IF('Final Calculation Sheet'!$C$39="","",'Final Calculation Sheet'!$C$39)</f>
        <v/>
      </c>
      <c r="G52" s="1063">
        <f>IF('Final Calculation Sheet'!$H$39="","",'Final Calculation Sheet'!$H$39)</f>
        <v/>
      </c>
      <c r="H52" s="1063">
        <f>IF('Final Calculation Sheet'!$I$39="","",'Final Calculation Sheet'!$I$39)</f>
        <v/>
      </c>
      <c r="I52" s="1063">
        <f>IF('Final Calculation Sheet'!$J$39="","",'Final Calculation Sheet'!$J$39)</f>
        <v/>
      </c>
      <c r="J52" s="1063">
        <f>IF('Final Calculation Sheet'!$K$39="","",'Final Calculation Sheet'!$K$39)</f>
        <v/>
      </c>
      <c r="K52" s="1067">
        <f>IF('Final Calculation Sheet'!$L$39="","",'Final Calculation Sheet'!$L$39)</f>
        <v/>
      </c>
      <c r="L52" s="1067">
        <f>IF('Final Calculation Sheet'!$M$39="","",'Final Calculation Sheet'!$M$39)</f>
        <v/>
      </c>
      <c r="M52" s="1067">
        <f>IF('Final Calculation Sheet'!$N$39="","",'Final Calculation Sheet'!$N$39)</f>
        <v/>
      </c>
      <c r="N52" s="1067">
        <f>IF('Final Calculation Sheet'!$O$39="","",'Final Calculation Sheet'!$O$39)</f>
        <v/>
      </c>
      <c r="O52" s="1063">
        <f>IF('Final Calculation Sheet'!$P$39="","",'Final Calculation Sheet'!$P$39)</f>
        <v/>
      </c>
      <c r="P52" s="1068">
        <f>IF('Final Calculation Sheet'!$Q$39="","",'Final Calculation Sheet'!$Q$39)</f>
        <v/>
      </c>
      <c r="Q52" s="1063">
        <f>IF('Final Calculation Sheet'!$R$39="","",'Final Calculation Sheet'!$R$39)</f>
        <v/>
      </c>
      <c r="R52" s="1063">
        <f>IF('Final Calculation Sheet'!$S$39="","",'Final Calculation Sheet'!$S$39)</f>
        <v/>
      </c>
      <c r="S52" s="1063">
        <f>IF('Final Calculation Sheet'!$T$39="","",'Final Calculation Sheet'!$T$39)</f>
        <v/>
      </c>
      <c r="T52" s="1063">
        <f>IF('Final Calculation Sheet'!$U$39="","",'Final Calculation Sheet'!$U$39)</f>
        <v/>
      </c>
      <c r="U52" s="1066">
        <f>IF('Final Calculation Sheet'!$V$39="","",'Final Calculation Sheet'!$V$39)</f>
        <v/>
      </c>
      <c r="V52" s="1063">
        <f>IF('Final Calculation Sheet'!$W$39="","",'Final Calculation Sheet'!$W$39)</f>
        <v/>
      </c>
      <c r="W52" s="1063">
        <f>IF('Final Calculation Sheet'!$X$39="","",'Final Calculation Sheet'!$X$39)</f>
        <v/>
      </c>
      <c r="X52" s="1066">
        <f>IF('Final Calculation Sheet'!$Y$39="","",'Final Calculation Sheet'!$Y$39)</f>
        <v/>
      </c>
      <c r="Y52" s="1063">
        <f>IF('Final Calculation Sheet'!$Z$39="","",'Final Calculation Sheet'!$Z$39)</f>
        <v/>
      </c>
      <c r="Z52" s="1063">
        <f>IF('Final Calculation Sheet'!$AA$39="","",'Final Calculation Sheet'!$AA$39)</f>
        <v/>
      </c>
      <c r="AA52" s="1066">
        <f>IF('Final Calculation Sheet'!$AB$39="","",'Final Calculation Sheet'!$AB$39)</f>
        <v/>
      </c>
      <c r="AB52" s="1063">
        <f>IF('Final Calculation Sheet'!$AC$39="","",'Final Calculation Sheet'!$AC$39)</f>
        <v/>
      </c>
      <c r="AC52" s="1063">
        <f>IF('Final Calculation Sheet'!$AD$39="","",'Final Calculation Sheet'!$AD$39)</f>
        <v/>
      </c>
      <c r="AD52" s="1066">
        <f>IF('Final Calculation Sheet'!$AD$39="","",IF('Final Calculation Sheet'!$AD$39&lt;=0,"SETTLED","OUTSTANDING"))</f>
        <v/>
      </c>
      <c r="AE52" s="1066">
        <f>IF('Final Calculation Sheet'!$AE$39="","",'Final Calculation Sheet'!$AE$39)</f>
        <v/>
      </c>
      <c r="AF52" s="1063">
        <f>IF('Final Calculation Sheet'!$AF$39="","",'Final Calculation Sheet'!$AF$39)</f>
        <v/>
      </c>
      <c r="AG52" s="1066">
        <f>IF('Final Calculation Sheet'!$AG$39="","",'Final Calculation Sheet'!$AG$39)</f>
        <v/>
      </c>
    </row>
    <row r="53" outlineLevel="1" ht="15" customHeight="1">
      <c r="A53" s="1161">
        <f>IF('Final Calculation Sheet'!$F$40="","",'Final Calculation Sheet'!$F$40)</f>
        <v/>
      </c>
      <c r="B53" s="1162">
        <f>IF('Final Calculation Sheet'!$B$40="","",'Final Calculation Sheet'!$B$40)</f>
        <v/>
      </c>
      <c r="C53" s="1161">
        <f>IF('Final Calculation Sheet'!$D$40="","",'Final Calculation Sheet'!$D$40)</f>
        <v/>
      </c>
      <c r="D53" s="1163">
        <f>IF('Final Calculation Sheet'!$A$40="","",'Final Calculation Sheet'!$A$40)</f>
        <v/>
      </c>
      <c r="E53" s="1164">
        <f>IF('Final Calculation Sheet'!$E$40="","",'Final Calculation Sheet'!$E$40)</f>
        <v/>
      </c>
      <c r="F53" s="1161">
        <f>IF('Final Calculation Sheet'!$C$40="","",'Final Calculation Sheet'!$C$40)</f>
        <v/>
      </c>
      <c r="G53" s="1161">
        <f>IF('Final Calculation Sheet'!$H$40="","",'Final Calculation Sheet'!$H$40)</f>
        <v/>
      </c>
      <c r="H53" s="1161">
        <f>IF('Final Calculation Sheet'!$I$40="","",'Final Calculation Sheet'!$I$40)</f>
        <v/>
      </c>
      <c r="I53" s="1161">
        <f>IF('Final Calculation Sheet'!$J$40="","",'Final Calculation Sheet'!$J$40)</f>
        <v/>
      </c>
      <c r="J53" s="1161">
        <f>IF('Final Calculation Sheet'!$K$40="","",'Final Calculation Sheet'!$K$40)</f>
        <v/>
      </c>
      <c r="K53" s="1165">
        <f>IF('Final Calculation Sheet'!$L$40="","",'Final Calculation Sheet'!$L$40)</f>
        <v/>
      </c>
      <c r="L53" s="1165">
        <f>IF('Final Calculation Sheet'!$M$40="","",'Final Calculation Sheet'!$M$40)</f>
        <v/>
      </c>
      <c r="M53" s="1165">
        <f>IF('Final Calculation Sheet'!$N$40="","",'Final Calculation Sheet'!$N$40)</f>
        <v/>
      </c>
      <c r="N53" s="1165">
        <f>IF('Final Calculation Sheet'!$O$40="","",'Final Calculation Sheet'!$O$40)</f>
        <v/>
      </c>
      <c r="O53" s="1161">
        <f>IF('Final Calculation Sheet'!$P$40="","",'Final Calculation Sheet'!$P$40)</f>
        <v/>
      </c>
      <c r="P53" s="1166">
        <f>IF('Final Calculation Sheet'!$Q$40="","",'Final Calculation Sheet'!$Q$40)</f>
        <v/>
      </c>
      <c r="Q53" s="1161">
        <f>IF('Final Calculation Sheet'!$R$40="","",'Final Calculation Sheet'!$R$40)</f>
        <v/>
      </c>
      <c r="R53" s="1161">
        <f>IF('Final Calculation Sheet'!$S$40="","",'Final Calculation Sheet'!$S$40)</f>
        <v/>
      </c>
      <c r="S53" s="1161">
        <f>IF('Final Calculation Sheet'!$T$40="","",'Final Calculation Sheet'!$T$40)</f>
        <v/>
      </c>
      <c r="T53" s="1161">
        <f>IF('Final Calculation Sheet'!$U$40="","",'Final Calculation Sheet'!$U$40)</f>
        <v/>
      </c>
      <c r="U53" s="1164">
        <f>IF('Final Calculation Sheet'!$V$40="","",'Final Calculation Sheet'!$V$40)</f>
        <v/>
      </c>
      <c r="V53" s="1161">
        <f>IF('Final Calculation Sheet'!$W$40="","",'Final Calculation Sheet'!$W$40)</f>
        <v/>
      </c>
      <c r="W53" s="1161">
        <f>IF('Final Calculation Sheet'!$X$40="","",'Final Calculation Sheet'!$X$40)</f>
        <v/>
      </c>
      <c r="X53" s="1164">
        <f>IF('Final Calculation Sheet'!$Y$40="","",'Final Calculation Sheet'!$Y$40)</f>
        <v/>
      </c>
      <c r="Y53" s="1161">
        <f>IF('Final Calculation Sheet'!$Z$40="","",'Final Calculation Sheet'!$Z$40)</f>
        <v/>
      </c>
      <c r="Z53" s="1161">
        <f>IF('Final Calculation Sheet'!$AA$40="","",'Final Calculation Sheet'!$AA$40)</f>
        <v/>
      </c>
      <c r="AA53" s="1164">
        <f>IF('Final Calculation Sheet'!$AB$40="","",'Final Calculation Sheet'!$AB$40)</f>
        <v/>
      </c>
      <c r="AB53" s="1161">
        <f>IF('Final Calculation Sheet'!$AC$40="","",'Final Calculation Sheet'!$AC$40)</f>
        <v/>
      </c>
      <c r="AC53" s="1161">
        <f>IF('Final Calculation Sheet'!$AD$40="","",'Final Calculation Sheet'!$AD$40)</f>
        <v/>
      </c>
      <c r="AD53" s="1164">
        <f>IF('Final Calculation Sheet'!$AD$40="","",IF('Final Calculation Sheet'!$AD$40&lt;=0,"SETTLED","OUTSTANDING"))</f>
        <v/>
      </c>
      <c r="AE53" s="1164">
        <f>IF('Final Calculation Sheet'!$AE$40="","",'Final Calculation Sheet'!$AE$40)</f>
        <v/>
      </c>
      <c r="AF53" s="1161">
        <f>IF('Final Calculation Sheet'!$AF$40="","",'Final Calculation Sheet'!$AF$40)</f>
        <v/>
      </c>
      <c r="AG53" s="1164">
        <f>IF('Final Calculation Sheet'!$AG$40="","",'Final Calculation Sheet'!$AG$40)</f>
        <v/>
      </c>
    </row>
    <row r="54" ht="20" customHeight="1">
      <c r="A54" s="1069" t="inlineStr">
        <is>
          <t>∑  S M ENTERPRISES — TOTALS</t>
        </is>
      </c>
      <c r="B54" s="754" t="inlineStr">
        <is>
          <t>–</t>
        </is>
      </c>
      <c r="C54" s="754" t="inlineStr">
        <is>
          <t>–</t>
        </is>
      </c>
      <c r="D54" s="1070">
        <f>SUM(D52:D53)</f>
        <v/>
      </c>
      <c r="E54" s="754" t="inlineStr">
        <is>
          <t>–</t>
        </is>
      </c>
      <c r="F54" s="754" t="inlineStr">
        <is>
          <t>–</t>
        </is>
      </c>
      <c r="G54" s="1071">
        <f>SUM(G52:G53)</f>
        <v/>
      </c>
      <c r="H54" s="1071">
        <f>SUM(H52:H53)</f>
        <v/>
      </c>
      <c r="I54" s="1071">
        <f>SUM(I52:I53)</f>
        <v/>
      </c>
      <c r="J54" s="1071">
        <f>SUM(J52:J53)</f>
        <v/>
      </c>
      <c r="K54" s="1072">
        <f>SUM(K52:K53)</f>
        <v/>
      </c>
      <c r="L54" s="1072">
        <f>SUM(L52:L53)</f>
        <v/>
      </c>
      <c r="M54" s="1072">
        <f>SUM(M52:M53)</f>
        <v/>
      </c>
      <c r="N54" s="1072">
        <f>SUM(N52:N53)</f>
        <v/>
      </c>
      <c r="O54" s="1071">
        <f>SUM(O52:O53)</f>
        <v/>
      </c>
      <c r="P54" s="754" t="inlineStr">
        <is>
          <t>–</t>
        </is>
      </c>
      <c r="Q54" s="1071">
        <f>SUM(Q52:Q53)</f>
        <v/>
      </c>
      <c r="R54" s="1071">
        <f>SUM(R52:R53)</f>
        <v/>
      </c>
      <c r="S54" s="1071">
        <f>SUM(S52:S53)</f>
        <v/>
      </c>
      <c r="T54" s="1071">
        <f>SUM(T52:T53)</f>
        <v/>
      </c>
      <c r="U54" s="754" t="inlineStr">
        <is>
          <t>–</t>
        </is>
      </c>
      <c r="V54" s="1071">
        <f>SUM(V52:V53)</f>
        <v/>
      </c>
      <c r="W54" s="1071">
        <f>SUM(W52:W53)</f>
        <v/>
      </c>
      <c r="X54" s="754" t="inlineStr">
        <is>
          <t>–</t>
        </is>
      </c>
      <c r="Y54" s="1071">
        <f>SUM(Y52:Y53)</f>
        <v/>
      </c>
      <c r="Z54" s="1071">
        <f>SUM(Z52:Z53)</f>
        <v/>
      </c>
      <c r="AA54" s="754" t="inlineStr">
        <is>
          <t>–</t>
        </is>
      </c>
      <c r="AB54" s="1071">
        <f>SUM(AB52:AB53)</f>
        <v/>
      </c>
      <c r="AC54" s="1071">
        <f>SUM(AC52:AC53)</f>
        <v/>
      </c>
      <c r="AD54" s="754" t="inlineStr">
        <is>
          <t>–</t>
        </is>
      </c>
      <c r="AE54" s="754" t="inlineStr">
        <is>
          <t>–</t>
        </is>
      </c>
      <c r="AF54" s="754" t="inlineStr">
        <is>
          <t>–</t>
        </is>
      </c>
      <c r="AG54" s="754" t="inlineStr">
        <is>
          <t>–</t>
        </is>
      </c>
    </row>
    <row r="55" ht="7" customHeight="1">
      <c r="A55" s="866" t="n"/>
      <c r="B55" s="866" t="n"/>
      <c r="C55" s="866" t="n"/>
      <c r="D55" s="866" t="n"/>
      <c r="E55" s="866" t="n"/>
      <c r="F55" s="866" t="n"/>
      <c r="G55" s="866" t="n"/>
      <c r="H55" s="866" t="n"/>
      <c r="I55" s="866" t="n"/>
      <c r="J55" s="866" t="n"/>
      <c r="K55" s="866" t="n"/>
      <c r="L55" s="866" t="n"/>
      <c r="M55" s="866" t="n"/>
      <c r="N55" s="866" t="n"/>
      <c r="O55" s="866" t="n"/>
      <c r="P55" s="866" t="n"/>
      <c r="Q55" s="866" t="n"/>
      <c r="R55" s="866" t="n"/>
      <c r="S55" s="866" t="n"/>
      <c r="T55" s="866" t="n"/>
      <c r="U55" s="866" t="n"/>
      <c r="V55" s="866" t="n"/>
      <c r="W55" s="866" t="n"/>
      <c r="X55" s="866" t="n"/>
      <c r="Y55" s="866" t="n"/>
      <c r="Z55" s="866" t="n"/>
      <c r="AA55" s="866" t="n"/>
      <c r="AB55" s="866" t="n"/>
      <c r="AC55" s="866" t="n"/>
      <c r="AD55" s="866" t="n"/>
      <c r="AE55" s="866" t="n"/>
      <c r="AF55" s="866" t="n"/>
      <c r="AG55" s="866" t="n"/>
    </row>
    <row r="56" ht="24" customHeight="1">
      <c r="A56" s="867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1073">
        <f>IF('Final Calculation Sheet'!$F$31="","",'Final Calculation Sheet'!$F$31)</f>
        <v/>
      </c>
      <c r="B57" s="1074">
        <f>IF('Final Calculation Sheet'!$B$31="","",'Final Calculation Sheet'!$B$31)</f>
        <v/>
      </c>
      <c r="C57" s="1073">
        <f>IF('Final Calculation Sheet'!$D$31="","",'Final Calculation Sheet'!$D$31)</f>
        <v/>
      </c>
      <c r="D57" s="1075">
        <f>IF('Final Calculation Sheet'!$A$31="","",'Final Calculation Sheet'!$A$31)</f>
        <v/>
      </c>
      <c r="E57" s="1076">
        <f>IF('Final Calculation Sheet'!$E$31="","",'Final Calculation Sheet'!$E$31)</f>
        <v/>
      </c>
      <c r="F57" s="1073">
        <f>IF('Final Calculation Sheet'!$C$31="","",'Final Calculation Sheet'!$C$31)</f>
        <v/>
      </c>
      <c r="G57" s="1073">
        <f>IF('Final Calculation Sheet'!$H$31="","",'Final Calculation Sheet'!$H$31)</f>
        <v/>
      </c>
      <c r="H57" s="1073">
        <f>IF('Final Calculation Sheet'!$I$31="","",'Final Calculation Sheet'!$I$31)</f>
        <v/>
      </c>
      <c r="I57" s="1073">
        <f>IF('Final Calculation Sheet'!$J$31="","",'Final Calculation Sheet'!$J$31)</f>
        <v/>
      </c>
      <c r="J57" s="1073">
        <f>IF('Final Calculation Sheet'!$K$31="","",'Final Calculation Sheet'!$K$31)</f>
        <v/>
      </c>
      <c r="K57" s="1077">
        <f>IF('Final Calculation Sheet'!$L$31="","",'Final Calculation Sheet'!$L$31)</f>
        <v/>
      </c>
      <c r="L57" s="1077">
        <f>IF('Final Calculation Sheet'!$M$31="","",'Final Calculation Sheet'!$M$31)</f>
        <v/>
      </c>
      <c r="M57" s="1077">
        <f>IF('Final Calculation Sheet'!$N$31="","",'Final Calculation Sheet'!$N$31)</f>
        <v/>
      </c>
      <c r="N57" s="1077">
        <f>IF('Final Calculation Sheet'!$O$31="","",'Final Calculation Sheet'!$O$31)</f>
        <v/>
      </c>
      <c r="O57" s="1073">
        <f>IF('Final Calculation Sheet'!$P$31="","",'Final Calculation Sheet'!$P$31)</f>
        <v/>
      </c>
      <c r="P57" s="1078">
        <f>IF('Final Calculation Sheet'!$Q$31="","",'Final Calculation Sheet'!$Q$31)</f>
        <v/>
      </c>
      <c r="Q57" s="1073">
        <f>IF('Final Calculation Sheet'!$R$31="","",'Final Calculation Sheet'!$R$31)</f>
        <v/>
      </c>
      <c r="R57" s="1073">
        <f>IF('Final Calculation Sheet'!$S$31="","",'Final Calculation Sheet'!$S$31)</f>
        <v/>
      </c>
      <c r="S57" s="1073">
        <f>IF('Final Calculation Sheet'!$T$31="","",'Final Calculation Sheet'!$T$31)</f>
        <v/>
      </c>
      <c r="T57" s="1073">
        <f>IF('Final Calculation Sheet'!$U$31="","",'Final Calculation Sheet'!$U$31)</f>
        <v/>
      </c>
      <c r="U57" s="1076">
        <f>IF('Final Calculation Sheet'!$V$31="","",'Final Calculation Sheet'!$V$31)</f>
        <v/>
      </c>
      <c r="V57" s="1073">
        <f>IF('Final Calculation Sheet'!$W$31="","",'Final Calculation Sheet'!$W$31)</f>
        <v/>
      </c>
      <c r="W57" s="1073">
        <f>IF('Final Calculation Sheet'!$X$31="","",'Final Calculation Sheet'!$X$31)</f>
        <v/>
      </c>
      <c r="X57" s="1076">
        <f>IF('Final Calculation Sheet'!$Y$31="","",'Final Calculation Sheet'!$Y$31)</f>
        <v/>
      </c>
      <c r="Y57" s="1073">
        <f>IF('Final Calculation Sheet'!$Z$31="","",'Final Calculation Sheet'!$Z$31)</f>
        <v/>
      </c>
      <c r="Z57" s="1073">
        <f>IF('Final Calculation Sheet'!$AA$31="","",'Final Calculation Sheet'!$AA$31)</f>
        <v/>
      </c>
      <c r="AA57" s="1076">
        <f>IF('Final Calculation Sheet'!$AB$31="","",'Final Calculation Sheet'!$AB$31)</f>
        <v/>
      </c>
      <c r="AB57" s="1073">
        <f>IF('Final Calculation Sheet'!$AC$31="","",'Final Calculation Sheet'!$AC$31)</f>
        <v/>
      </c>
      <c r="AC57" s="1073">
        <f>IF('Final Calculation Sheet'!$AD$31="","",'Final Calculation Sheet'!$AD$31)</f>
        <v/>
      </c>
      <c r="AD57" s="1076">
        <f>IF('Final Calculation Sheet'!$AD$31="","",IF('Final Calculation Sheet'!$AD$31&lt;=0,"SETTLED","OUTSTANDING"))</f>
        <v/>
      </c>
      <c r="AE57" s="1076">
        <f>IF('Final Calculation Sheet'!$AE$31="","",'Final Calculation Sheet'!$AE$31)</f>
        <v/>
      </c>
      <c r="AF57" s="1073">
        <f>IF('Final Calculation Sheet'!$AF$31="","",'Final Calculation Sheet'!$AF$31)</f>
        <v/>
      </c>
      <c r="AG57" s="1076">
        <f>IF('Final Calculation Sheet'!$AG$31="","",'Final Calculation Sheet'!$AG$31)</f>
        <v/>
      </c>
    </row>
    <row r="58" ht="20" customHeight="1">
      <c r="A58" s="1085" t="inlineStr">
        <is>
          <t>∑  SAHARA ENTERPRISES — TOTALS</t>
        </is>
      </c>
      <c r="B58" s="755" t="inlineStr">
        <is>
          <t>–</t>
        </is>
      </c>
      <c r="C58" s="755" t="inlineStr">
        <is>
          <t>–</t>
        </is>
      </c>
      <c r="D58" s="1086">
        <f>SUM(D57:D57)</f>
        <v/>
      </c>
      <c r="E58" s="755" t="inlineStr">
        <is>
          <t>–</t>
        </is>
      </c>
      <c r="F58" s="755" t="inlineStr">
        <is>
          <t>–</t>
        </is>
      </c>
      <c r="G58" s="1087">
        <f>SUM(G57:G57)</f>
        <v/>
      </c>
      <c r="H58" s="1087">
        <f>SUM(H57:H57)</f>
        <v/>
      </c>
      <c r="I58" s="1087">
        <f>SUM(I57:I57)</f>
        <v/>
      </c>
      <c r="J58" s="1087">
        <f>SUM(J57:J57)</f>
        <v/>
      </c>
      <c r="K58" s="1088">
        <f>SUM(K57:K57)</f>
        <v/>
      </c>
      <c r="L58" s="1088">
        <f>SUM(L57:L57)</f>
        <v/>
      </c>
      <c r="M58" s="1088">
        <f>SUM(M57:M57)</f>
        <v/>
      </c>
      <c r="N58" s="1088">
        <f>SUM(N57:N57)</f>
        <v/>
      </c>
      <c r="O58" s="1087">
        <f>SUM(O57:O57)</f>
        <v/>
      </c>
      <c r="P58" s="755" t="inlineStr">
        <is>
          <t>–</t>
        </is>
      </c>
      <c r="Q58" s="1087">
        <f>SUM(Q57:Q57)</f>
        <v/>
      </c>
      <c r="R58" s="1087">
        <f>SUM(R57:R57)</f>
        <v/>
      </c>
      <c r="S58" s="1087">
        <f>SUM(S57:S57)</f>
        <v/>
      </c>
      <c r="T58" s="1087">
        <f>SUM(T57:T57)</f>
        <v/>
      </c>
      <c r="U58" s="755" t="inlineStr">
        <is>
          <t>–</t>
        </is>
      </c>
      <c r="V58" s="1087">
        <f>SUM(V57:V57)</f>
        <v/>
      </c>
      <c r="W58" s="1087">
        <f>SUM(W57:W57)</f>
        <v/>
      </c>
      <c r="X58" s="755" t="inlineStr">
        <is>
          <t>–</t>
        </is>
      </c>
      <c r="Y58" s="1087">
        <f>SUM(Y57:Y57)</f>
        <v/>
      </c>
      <c r="Z58" s="1087">
        <f>SUM(Z57:Z57)</f>
        <v/>
      </c>
      <c r="AA58" s="755" t="inlineStr">
        <is>
          <t>–</t>
        </is>
      </c>
      <c r="AB58" s="1087">
        <f>SUM(AB57:AB57)</f>
        <v/>
      </c>
      <c r="AC58" s="1087">
        <f>SUM(AC57:AC57)</f>
        <v/>
      </c>
      <c r="AD58" s="755" t="inlineStr">
        <is>
          <t>–</t>
        </is>
      </c>
      <c r="AE58" s="755" t="inlineStr">
        <is>
          <t>–</t>
        </is>
      </c>
      <c r="AF58" s="755" t="inlineStr">
        <is>
          <t>–</t>
        </is>
      </c>
      <c r="AG58" s="755" t="inlineStr">
        <is>
          <t>–</t>
        </is>
      </c>
    </row>
    <row r="59" ht="7" customHeight="1">
      <c r="A59" s="866" t="n"/>
      <c r="B59" s="866" t="n"/>
      <c r="C59" s="866" t="n"/>
      <c r="D59" s="866" t="n"/>
      <c r="E59" s="866" t="n"/>
      <c r="F59" s="866" t="n"/>
      <c r="G59" s="866" t="n"/>
      <c r="H59" s="866" t="n"/>
      <c r="I59" s="866" t="n"/>
      <c r="J59" s="866" t="n"/>
      <c r="K59" s="866" t="n"/>
      <c r="L59" s="866" t="n"/>
      <c r="M59" s="866" t="n"/>
      <c r="N59" s="866" t="n"/>
      <c r="O59" s="866" t="n"/>
      <c r="P59" s="866" t="n"/>
      <c r="Q59" s="866" t="n"/>
      <c r="R59" s="866" t="n"/>
      <c r="S59" s="866" t="n"/>
      <c r="T59" s="866" t="n"/>
      <c r="U59" s="866" t="n"/>
      <c r="V59" s="866" t="n"/>
      <c r="W59" s="866" t="n"/>
      <c r="X59" s="866" t="n"/>
      <c r="Y59" s="866" t="n"/>
      <c r="Z59" s="866" t="n"/>
      <c r="AA59" s="866" t="n"/>
      <c r="AB59" s="866" t="n"/>
      <c r="AC59" s="866" t="n"/>
      <c r="AD59" s="866" t="n"/>
      <c r="AE59" s="866" t="n"/>
      <c r="AF59" s="866" t="n"/>
      <c r="AG59" s="866" t="n"/>
    </row>
    <row r="60" ht="24" customHeight="1">
      <c r="A60" s="877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1089">
        <f>IF('Final Calculation Sheet'!$F$9="","",'Final Calculation Sheet'!$F$9)</f>
        <v/>
      </c>
      <c r="B61" s="1090">
        <f>IF('Final Calculation Sheet'!$B$9="","",'Final Calculation Sheet'!$B$9)</f>
        <v/>
      </c>
      <c r="C61" s="1089">
        <f>IF('Final Calculation Sheet'!$D$9="","",'Final Calculation Sheet'!$D$9)</f>
        <v/>
      </c>
      <c r="D61" s="1091">
        <f>IF('Final Calculation Sheet'!$A$9="","",'Final Calculation Sheet'!$A$9)</f>
        <v/>
      </c>
      <c r="E61" s="1092">
        <f>IF('Final Calculation Sheet'!$E$9="","",'Final Calculation Sheet'!$E$9)</f>
        <v/>
      </c>
      <c r="F61" s="1089">
        <f>IF('Final Calculation Sheet'!$C$9="","",'Final Calculation Sheet'!$C$9)</f>
        <v/>
      </c>
      <c r="G61" s="1089">
        <f>IF('Final Calculation Sheet'!$H$9="","",'Final Calculation Sheet'!$H$9)</f>
        <v/>
      </c>
      <c r="H61" s="1089">
        <f>IF('Final Calculation Sheet'!$I$9="","",'Final Calculation Sheet'!$I$9)</f>
        <v/>
      </c>
      <c r="I61" s="1089">
        <f>IF('Final Calculation Sheet'!$J$9="","",'Final Calculation Sheet'!$J$9)</f>
        <v/>
      </c>
      <c r="J61" s="1089">
        <f>IF('Final Calculation Sheet'!$K$9="","",'Final Calculation Sheet'!$K$9)</f>
        <v/>
      </c>
      <c r="K61" s="1093">
        <f>IF('Final Calculation Sheet'!$L$9="","",'Final Calculation Sheet'!$L$9)</f>
        <v/>
      </c>
      <c r="L61" s="1093">
        <f>IF('Final Calculation Sheet'!$M$9="","",'Final Calculation Sheet'!$M$9)</f>
        <v/>
      </c>
      <c r="M61" s="1093">
        <f>IF('Final Calculation Sheet'!$N$9="","",'Final Calculation Sheet'!$N$9)</f>
        <v/>
      </c>
      <c r="N61" s="1093">
        <f>IF('Final Calculation Sheet'!$O$9="","",'Final Calculation Sheet'!$O$9)</f>
        <v/>
      </c>
      <c r="O61" s="1089">
        <f>IF('Final Calculation Sheet'!$P$9="","",'Final Calculation Sheet'!$P$9)</f>
        <v/>
      </c>
      <c r="P61" s="1094">
        <f>IF('Final Calculation Sheet'!$Q$9="","",'Final Calculation Sheet'!$Q$9)</f>
        <v/>
      </c>
      <c r="Q61" s="1089">
        <f>IF('Final Calculation Sheet'!$R$9="","",'Final Calculation Sheet'!$R$9)</f>
        <v/>
      </c>
      <c r="R61" s="1089">
        <f>IF('Final Calculation Sheet'!$S$9="","",'Final Calculation Sheet'!$S$9)</f>
        <v/>
      </c>
      <c r="S61" s="1089">
        <f>IF('Final Calculation Sheet'!$T$9="","",'Final Calculation Sheet'!$T$9)</f>
        <v/>
      </c>
      <c r="T61" s="1089">
        <f>IF('Final Calculation Sheet'!$U$9="","",'Final Calculation Sheet'!$U$9)</f>
        <v/>
      </c>
      <c r="U61" s="1092">
        <f>IF('Final Calculation Sheet'!$V$9="","",'Final Calculation Sheet'!$V$9)</f>
        <v/>
      </c>
      <c r="V61" s="1089">
        <f>IF('Final Calculation Sheet'!$W$9="","",'Final Calculation Sheet'!$W$9)</f>
        <v/>
      </c>
      <c r="W61" s="1089">
        <f>IF('Final Calculation Sheet'!$X$9="","",'Final Calculation Sheet'!$X$9)</f>
        <v/>
      </c>
      <c r="X61" s="1092">
        <f>IF('Final Calculation Sheet'!$Y$9="","",'Final Calculation Sheet'!$Y$9)</f>
        <v/>
      </c>
      <c r="Y61" s="1089">
        <f>IF('Final Calculation Sheet'!$Z$9="","",'Final Calculation Sheet'!$Z$9)</f>
        <v/>
      </c>
      <c r="Z61" s="1089">
        <f>IF('Final Calculation Sheet'!$AA$9="","",'Final Calculation Sheet'!$AA$9)</f>
        <v/>
      </c>
      <c r="AA61" s="1092">
        <f>IF('Final Calculation Sheet'!$AB$9="","",'Final Calculation Sheet'!$AB$9)</f>
        <v/>
      </c>
      <c r="AB61" s="1089">
        <f>IF('Final Calculation Sheet'!$AC$9="","",'Final Calculation Sheet'!$AC$9)</f>
        <v/>
      </c>
      <c r="AC61" s="1089">
        <f>IF('Final Calculation Sheet'!$AD$9="","",'Final Calculation Sheet'!$AD$9)</f>
        <v/>
      </c>
      <c r="AD61" s="1092">
        <f>IF('Final Calculation Sheet'!$AD$9="","",IF('Final Calculation Sheet'!$AD$9&lt;=0,"SETTLED","OUTSTANDING"))</f>
        <v/>
      </c>
      <c r="AE61" s="1092">
        <f>IF('Final Calculation Sheet'!$AE$9="","",'Final Calculation Sheet'!$AE$9)</f>
        <v/>
      </c>
      <c r="AF61" s="1089">
        <f>IF('Final Calculation Sheet'!$AF$9="","",'Final Calculation Sheet'!$AF$9)</f>
        <v/>
      </c>
      <c r="AG61" s="1092">
        <f>IF('Final Calculation Sheet'!$AG$9="","",'Final Calculation Sheet'!$AG$9)</f>
        <v/>
      </c>
    </row>
    <row r="62" outlineLevel="1" ht="15" customHeight="1">
      <c r="A62" s="1167">
        <f>IF('Final Calculation Sheet'!$F$14="","",'Final Calculation Sheet'!$F$14)</f>
        <v/>
      </c>
      <c r="B62" s="1168">
        <f>IF('Final Calculation Sheet'!$B$14="","",'Final Calculation Sheet'!$B$14)</f>
        <v/>
      </c>
      <c r="C62" s="1167">
        <f>IF('Final Calculation Sheet'!$D$14="","",'Final Calculation Sheet'!$D$14)</f>
        <v/>
      </c>
      <c r="D62" s="1169">
        <f>IF('Final Calculation Sheet'!$A$14="","",'Final Calculation Sheet'!$A$14)</f>
        <v/>
      </c>
      <c r="E62" s="1170">
        <f>IF('Final Calculation Sheet'!$E$14="","",'Final Calculation Sheet'!$E$14)</f>
        <v/>
      </c>
      <c r="F62" s="1167">
        <f>IF('Final Calculation Sheet'!$C$14="","",'Final Calculation Sheet'!$C$14)</f>
        <v/>
      </c>
      <c r="G62" s="1167">
        <f>IF('Final Calculation Sheet'!$H$14="","",'Final Calculation Sheet'!$H$14)</f>
        <v/>
      </c>
      <c r="H62" s="1167">
        <f>IF('Final Calculation Sheet'!$I$14="","",'Final Calculation Sheet'!$I$14)</f>
        <v/>
      </c>
      <c r="I62" s="1167">
        <f>IF('Final Calculation Sheet'!$J$14="","",'Final Calculation Sheet'!$J$14)</f>
        <v/>
      </c>
      <c r="J62" s="1167">
        <f>IF('Final Calculation Sheet'!$K$14="","",'Final Calculation Sheet'!$K$14)</f>
        <v/>
      </c>
      <c r="K62" s="1171">
        <f>IF('Final Calculation Sheet'!$L$14="","",'Final Calculation Sheet'!$L$14)</f>
        <v/>
      </c>
      <c r="L62" s="1171">
        <f>IF('Final Calculation Sheet'!$M$14="","",'Final Calculation Sheet'!$M$14)</f>
        <v/>
      </c>
      <c r="M62" s="1171">
        <f>IF('Final Calculation Sheet'!$N$14="","",'Final Calculation Sheet'!$N$14)</f>
        <v/>
      </c>
      <c r="N62" s="1171">
        <f>IF('Final Calculation Sheet'!$O$14="","",'Final Calculation Sheet'!$O$14)</f>
        <v/>
      </c>
      <c r="O62" s="1167">
        <f>IF('Final Calculation Sheet'!$P$14="","",'Final Calculation Sheet'!$P$14)</f>
        <v/>
      </c>
      <c r="P62" s="1172">
        <f>IF('Final Calculation Sheet'!$Q$14="","",'Final Calculation Sheet'!$Q$14)</f>
        <v/>
      </c>
      <c r="Q62" s="1167">
        <f>IF('Final Calculation Sheet'!$R$14="","",'Final Calculation Sheet'!$R$14)</f>
        <v/>
      </c>
      <c r="R62" s="1167">
        <f>IF('Final Calculation Sheet'!$S$14="","",'Final Calculation Sheet'!$S$14)</f>
        <v/>
      </c>
      <c r="S62" s="1167">
        <f>IF('Final Calculation Sheet'!$T$14="","",'Final Calculation Sheet'!$T$14)</f>
        <v/>
      </c>
      <c r="T62" s="1167">
        <f>IF('Final Calculation Sheet'!$U$14="","",'Final Calculation Sheet'!$U$14)</f>
        <v/>
      </c>
      <c r="U62" s="1170">
        <f>IF('Final Calculation Sheet'!$V$14="","",'Final Calculation Sheet'!$V$14)</f>
        <v/>
      </c>
      <c r="V62" s="1167">
        <f>IF('Final Calculation Sheet'!$W$14="","",'Final Calculation Sheet'!$W$14)</f>
        <v/>
      </c>
      <c r="W62" s="1167">
        <f>IF('Final Calculation Sheet'!$X$14="","",'Final Calculation Sheet'!$X$14)</f>
        <v/>
      </c>
      <c r="X62" s="1170">
        <f>IF('Final Calculation Sheet'!$Y$14="","",'Final Calculation Sheet'!$Y$14)</f>
        <v/>
      </c>
      <c r="Y62" s="1167">
        <f>IF('Final Calculation Sheet'!$Z$14="","",'Final Calculation Sheet'!$Z$14)</f>
        <v/>
      </c>
      <c r="Z62" s="1167">
        <f>IF('Final Calculation Sheet'!$AA$14="","",'Final Calculation Sheet'!$AA$14)</f>
        <v/>
      </c>
      <c r="AA62" s="1170">
        <f>IF('Final Calculation Sheet'!$AB$14="","",'Final Calculation Sheet'!$AB$14)</f>
        <v/>
      </c>
      <c r="AB62" s="1167">
        <f>IF('Final Calculation Sheet'!$AC$14="","",'Final Calculation Sheet'!$AC$14)</f>
        <v/>
      </c>
      <c r="AC62" s="1167">
        <f>IF('Final Calculation Sheet'!$AD$14="","",'Final Calculation Sheet'!$AD$14)</f>
        <v/>
      </c>
      <c r="AD62" s="1170">
        <f>IF('Final Calculation Sheet'!$AD$14="","",IF('Final Calculation Sheet'!$AD$14&lt;=0,"SETTLED","OUTSTANDING"))</f>
        <v/>
      </c>
      <c r="AE62" s="1170">
        <f>IF('Final Calculation Sheet'!$AE$14="","",'Final Calculation Sheet'!$AE$14)</f>
        <v/>
      </c>
      <c r="AF62" s="1167">
        <f>IF('Final Calculation Sheet'!$AF$14="","",'Final Calculation Sheet'!$AF$14)</f>
        <v/>
      </c>
      <c r="AG62" s="1170">
        <f>IF('Final Calculation Sheet'!$AG$14="","",'Final Calculation Sheet'!$AG$14)</f>
        <v/>
      </c>
    </row>
    <row r="63" ht="20" customHeight="1">
      <c r="A63" s="1095" t="inlineStr">
        <is>
          <t>∑  SHAR JAHAN TRADERS — TOTALS</t>
        </is>
      </c>
      <c r="B63" s="756" t="inlineStr">
        <is>
          <t>–</t>
        </is>
      </c>
      <c r="C63" s="756" t="inlineStr">
        <is>
          <t>–</t>
        </is>
      </c>
      <c r="D63" s="1096">
        <f>SUM(D61:D62)</f>
        <v/>
      </c>
      <c r="E63" s="756" t="inlineStr">
        <is>
          <t>–</t>
        </is>
      </c>
      <c r="F63" s="756" t="inlineStr">
        <is>
          <t>–</t>
        </is>
      </c>
      <c r="G63" s="1097">
        <f>SUM(G61:G62)</f>
        <v/>
      </c>
      <c r="H63" s="1097">
        <f>SUM(H61:H62)</f>
        <v/>
      </c>
      <c r="I63" s="1097">
        <f>SUM(I61:I62)</f>
        <v/>
      </c>
      <c r="J63" s="1097">
        <f>SUM(J61:J62)</f>
        <v/>
      </c>
      <c r="K63" s="1098">
        <f>SUM(K61:K62)</f>
        <v/>
      </c>
      <c r="L63" s="1098">
        <f>SUM(L61:L62)</f>
        <v/>
      </c>
      <c r="M63" s="1098">
        <f>SUM(M61:M62)</f>
        <v/>
      </c>
      <c r="N63" s="1098">
        <f>SUM(N61:N62)</f>
        <v/>
      </c>
      <c r="O63" s="1097">
        <f>SUM(O61:O62)</f>
        <v/>
      </c>
      <c r="P63" s="756" t="inlineStr">
        <is>
          <t>–</t>
        </is>
      </c>
      <c r="Q63" s="1097">
        <f>SUM(Q61:Q62)</f>
        <v/>
      </c>
      <c r="R63" s="1097">
        <f>SUM(R61:R62)</f>
        <v/>
      </c>
      <c r="S63" s="1097">
        <f>SUM(S61:S62)</f>
        <v/>
      </c>
      <c r="T63" s="1097">
        <f>SUM(T61:T62)</f>
        <v/>
      </c>
      <c r="U63" s="756" t="inlineStr">
        <is>
          <t>–</t>
        </is>
      </c>
      <c r="V63" s="1097">
        <f>SUM(V61:V62)</f>
        <v/>
      </c>
      <c r="W63" s="1097">
        <f>SUM(W61:W62)</f>
        <v/>
      </c>
      <c r="X63" s="756" t="inlineStr">
        <is>
          <t>–</t>
        </is>
      </c>
      <c r="Y63" s="1097">
        <f>SUM(Y61:Y62)</f>
        <v/>
      </c>
      <c r="Z63" s="1097">
        <f>SUM(Z61:Z62)</f>
        <v/>
      </c>
      <c r="AA63" s="756" t="inlineStr">
        <is>
          <t>–</t>
        </is>
      </c>
      <c r="AB63" s="1097">
        <f>SUM(AB61:AB62)</f>
        <v/>
      </c>
      <c r="AC63" s="1097">
        <f>SUM(AC61:AC62)</f>
        <v/>
      </c>
      <c r="AD63" s="756" t="inlineStr">
        <is>
          <t>–</t>
        </is>
      </c>
      <c r="AE63" s="756" t="inlineStr">
        <is>
          <t>–</t>
        </is>
      </c>
      <c r="AF63" s="756" t="inlineStr">
        <is>
          <t>–</t>
        </is>
      </c>
      <c r="AG63" s="756" t="inlineStr">
        <is>
          <t>–</t>
        </is>
      </c>
    </row>
    <row r="64" ht="7" customHeight="1">
      <c r="A64" s="866" t="n"/>
      <c r="B64" s="866" t="n"/>
      <c r="C64" s="866" t="n"/>
      <c r="D64" s="866" t="n"/>
      <c r="E64" s="866" t="n"/>
      <c r="F64" s="866" t="n"/>
      <c r="G64" s="866" t="n"/>
      <c r="H64" s="866" t="n"/>
      <c r="I64" s="866" t="n"/>
      <c r="J64" s="866" t="n"/>
      <c r="K64" s="866" t="n"/>
      <c r="L64" s="866" t="n"/>
      <c r="M64" s="866" t="n"/>
      <c r="N64" s="866" t="n"/>
      <c r="O64" s="866" t="n"/>
      <c r="P64" s="866" t="n"/>
      <c r="Q64" s="866" t="n"/>
      <c r="R64" s="866" t="n"/>
      <c r="S64" s="866" t="n"/>
      <c r="T64" s="866" t="n"/>
      <c r="U64" s="866" t="n"/>
      <c r="V64" s="866" t="n"/>
      <c r="W64" s="866" t="n"/>
      <c r="X64" s="866" t="n"/>
      <c r="Y64" s="866" t="n"/>
      <c r="Z64" s="866" t="n"/>
      <c r="AA64" s="866" t="n"/>
      <c r="AB64" s="866" t="n"/>
      <c r="AC64" s="866" t="n"/>
      <c r="AD64" s="866" t="n"/>
      <c r="AE64" s="866" t="n"/>
      <c r="AF64" s="866" t="n"/>
      <c r="AG64" s="866" t="n"/>
    </row>
    <row r="65" ht="24" customHeight="1">
      <c r="A65" s="887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1099">
        <f>IF('Final Calculation Sheet'!$F$13="","",'Final Calculation Sheet'!$F$13)</f>
        <v/>
      </c>
      <c r="B66" s="1100">
        <f>IF('Final Calculation Sheet'!$B$13="","",'Final Calculation Sheet'!$B$13)</f>
        <v/>
      </c>
      <c r="C66" s="1099">
        <f>IF('Final Calculation Sheet'!$D$13="","",'Final Calculation Sheet'!$D$13)</f>
        <v/>
      </c>
      <c r="D66" s="1101">
        <f>IF('Final Calculation Sheet'!$A$13="","",'Final Calculation Sheet'!$A$13)</f>
        <v/>
      </c>
      <c r="E66" s="1102">
        <f>IF('Final Calculation Sheet'!$E$13="","",'Final Calculation Sheet'!$E$13)</f>
        <v/>
      </c>
      <c r="F66" s="1099">
        <f>IF('Final Calculation Sheet'!$C$13="","",'Final Calculation Sheet'!$C$13)</f>
        <v/>
      </c>
      <c r="G66" s="1099">
        <f>IF('Final Calculation Sheet'!$H$13="","",'Final Calculation Sheet'!$H$13)</f>
        <v/>
      </c>
      <c r="H66" s="1099">
        <f>IF('Final Calculation Sheet'!$I$13="","",'Final Calculation Sheet'!$I$13)</f>
        <v/>
      </c>
      <c r="I66" s="1099">
        <f>IF('Final Calculation Sheet'!$J$13="","",'Final Calculation Sheet'!$J$13)</f>
        <v/>
      </c>
      <c r="J66" s="1099">
        <f>IF('Final Calculation Sheet'!$K$13="","",'Final Calculation Sheet'!$K$13)</f>
        <v/>
      </c>
      <c r="K66" s="1103">
        <f>IF('Final Calculation Sheet'!$L$13="","",'Final Calculation Sheet'!$L$13)</f>
        <v/>
      </c>
      <c r="L66" s="1103">
        <f>IF('Final Calculation Sheet'!$M$13="","",'Final Calculation Sheet'!$M$13)</f>
        <v/>
      </c>
      <c r="M66" s="1103">
        <f>IF('Final Calculation Sheet'!$N$13="","",'Final Calculation Sheet'!$N$13)</f>
        <v/>
      </c>
      <c r="N66" s="1103">
        <f>IF('Final Calculation Sheet'!$O$13="","",'Final Calculation Sheet'!$O$13)</f>
        <v/>
      </c>
      <c r="O66" s="1099">
        <f>IF('Final Calculation Sheet'!$P$13="","",'Final Calculation Sheet'!$P$13)</f>
        <v/>
      </c>
      <c r="P66" s="1104">
        <f>IF('Final Calculation Sheet'!$Q$13="","",'Final Calculation Sheet'!$Q$13)</f>
        <v/>
      </c>
      <c r="Q66" s="1099">
        <f>IF('Final Calculation Sheet'!$R$13="","",'Final Calculation Sheet'!$R$13)</f>
        <v/>
      </c>
      <c r="R66" s="1099">
        <f>IF('Final Calculation Sheet'!$S$13="","",'Final Calculation Sheet'!$S$13)</f>
        <v/>
      </c>
      <c r="S66" s="1099">
        <f>IF('Final Calculation Sheet'!$T$13="","",'Final Calculation Sheet'!$T$13)</f>
        <v/>
      </c>
      <c r="T66" s="1099">
        <f>IF('Final Calculation Sheet'!$U$13="","",'Final Calculation Sheet'!$U$13)</f>
        <v/>
      </c>
      <c r="U66" s="1102">
        <f>IF('Final Calculation Sheet'!$V$13="","",'Final Calculation Sheet'!$V$13)</f>
        <v/>
      </c>
      <c r="V66" s="1099">
        <f>IF('Final Calculation Sheet'!$W$13="","",'Final Calculation Sheet'!$W$13)</f>
        <v/>
      </c>
      <c r="W66" s="1099">
        <f>IF('Final Calculation Sheet'!$X$13="","",'Final Calculation Sheet'!$X$13)</f>
        <v/>
      </c>
      <c r="X66" s="1102">
        <f>IF('Final Calculation Sheet'!$Y$13="","",'Final Calculation Sheet'!$Y$13)</f>
        <v/>
      </c>
      <c r="Y66" s="1099">
        <f>IF('Final Calculation Sheet'!$Z$13="","",'Final Calculation Sheet'!$Z$13)</f>
        <v/>
      </c>
      <c r="Z66" s="1099">
        <f>IF('Final Calculation Sheet'!$AA$13="","",'Final Calculation Sheet'!$AA$13)</f>
        <v/>
      </c>
      <c r="AA66" s="1102">
        <f>IF('Final Calculation Sheet'!$AB$13="","",'Final Calculation Sheet'!$AB$13)</f>
        <v/>
      </c>
      <c r="AB66" s="1099">
        <f>IF('Final Calculation Sheet'!$AC$13="","",'Final Calculation Sheet'!$AC$13)</f>
        <v/>
      </c>
      <c r="AC66" s="1099">
        <f>IF('Final Calculation Sheet'!$AD$13="","",'Final Calculation Sheet'!$AD$13)</f>
        <v/>
      </c>
      <c r="AD66" s="1102">
        <f>IF('Final Calculation Sheet'!$AD$13="","",IF('Final Calculation Sheet'!$AD$13&lt;=0,"SETTLED","OUTSTANDING"))</f>
        <v/>
      </c>
      <c r="AE66" s="1102">
        <f>IF('Final Calculation Sheet'!$AE$13="","",'Final Calculation Sheet'!$AE$13)</f>
        <v/>
      </c>
      <c r="AF66" s="1099">
        <f>IF('Final Calculation Sheet'!$AF$13="","",'Final Calculation Sheet'!$AF$13)</f>
        <v/>
      </c>
      <c r="AG66" s="1102">
        <f>IF('Final Calculation Sheet'!$AG$13="","",'Final Calculation Sheet'!$AG$13)</f>
        <v/>
      </c>
    </row>
    <row r="67" outlineLevel="1" ht="15" customHeight="1">
      <c r="A67" s="1173">
        <f>IF('Final Calculation Sheet'!$F$16="","",'Final Calculation Sheet'!$F$16)</f>
        <v/>
      </c>
      <c r="B67" s="1174">
        <f>IF('Final Calculation Sheet'!$B$16="","",'Final Calculation Sheet'!$B$16)</f>
        <v/>
      </c>
      <c r="C67" s="1173">
        <f>IF('Final Calculation Sheet'!$D$16="","",'Final Calculation Sheet'!$D$16)</f>
        <v/>
      </c>
      <c r="D67" s="1175">
        <f>IF('Final Calculation Sheet'!$A$16="","",'Final Calculation Sheet'!$A$16)</f>
        <v/>
      </c>
      <c r="E67" s="1176">
        <f>IF('Final Calculation Sheet'!$E$16="","",'Final Calculation Sheet'!$E$16)</f>
        <v/>
      </c>
      <c r="F67" s="1173">
        <f>IF('Final Calculation Sheet'!$C$16="","",'Final Calculation Sheet'!$C$16)</f>
        <v/>
      </c>
      <c r="G67" s="1173">
        <f>IF('Final Calculation Sheet'!$H$16="","",'Final Calculation Sheet'!$H$16)</f>
        <v/>
      </c>
      <c r="H67" s="1173">
        <f>IF('Final Calculation Sheet'!$I$16="","",'Final Calculation Sheet'!$I$16)</f>
        <v/>
      </c>
      <c r="I67" s="1173">
        <f>IF('Final Calculation Sheet'!$J$16="","",'Final Calculation Sheet'!$J$16)</f>
        <v/>
      </c>
      <c r="J67" s="1173">
        <f>IF('Final Calculation Sheet'!$K$16="","",'Final Calculation Sheet'!$K$16)</f>
        <v/>
      </c>
      <c r="K67" s="1177">
        <f>IF('Final Calculation Sheet'!$L$16="","",'Final Calculation Sheet'!$L$16)</f>
        <v/>
      </c>
      <c r="L67" s="1177">
        <f>IF('Final Calculation Sheet'!$M$16="","",'Final Calculation Sheet'!$M$16)</f>
        <v/>
      </c>
      <c r="M67" s="1177">
        <f>IF('Final Calculation Sheet'!$N$16="","",'Final Calculation Sheet'!$N$16)</f>
        <v/>
      </c>
      <c r="N67" s="1177">
        <f>IF('Final Calculation Sheet'!$O$16="","",'Final Calculation Sheet'!$O$16)</f>
        <v/>
      </c>
      <c r="O67" s="1173">
        <f>IF('Final Calculation Sheet'!$P$16="","",'Final Calculation Sheet'!$P$16)</f>
        <v/>
      </c>
      <c r="P67" s="1178">
        <f>IF('Final Calculation Sheet'!$Q$16="","",'Final Calculation Sheet'!$Q$16)</f>
        <v/>
      </c>
      <c r="Q67" s="1173">
        <f>IF('Final Calculation Sheet'!$R$16="","",'Final Calculation Sheet'!$R$16)</f>
        <v/>
      </c>
      <c r="R67" s="1173">
        <f>IF('Final Calculation Sheet'!$S$16="","",'Final Calculation Sheet'!$S$16)</f>
        <v/>
      </c>
      <c r="S67" s="1173">
        <f>IF('Final Calculation Sheet'!$T$16="","",'Final Calculation Sheet'!$T$16)</f>
        <v/>
      </c>
      <c r="T67" s="1173">
        <f>IF('Final Calculation Sheet'!$U$16="","",'Final Calculation Sheet'!$U$16)</f>
        <v/>
      </c>
      <c r="U67" s="1176">
        <f>IF('Final Calculation Sheet'!$V$16="","",'Final Calculation Sheet'!$V$16)</f>
        <v/>
      </c>
      <c r="V67" s="1173">
        <f>IF('Final Calculation Sheet'!$W$16="","",'Final Calculation Sheet'!$W$16)</f>
        <v/>
      </c>
      <c r="W67" s="1173">
        <f>IF('Final Calculation Sheet'!$X$16="","",'Final Calculation Sheet'!$X$16)</f>
        <v/>
      </c>
      <c r="X67" s="1176">
        <f>IF('Final Calculation Sheet'!$Y$16="","",'Final Calculation Sheet'!$Y$16)</f>
        <v/>
      </c>
      <c r="Y67" s="1173">
        <f>IF('Final Calculation Sheet'!$Z$16="","",'Final Calculation Sheet'!$Z$16)</f>
        <v/>
      </c>
      <c r="Z67" s="1173">
        <f>IF('Final Calculation Sheet'!$AA$16="","",'Final Calculation Sheet'!$AA$16)</f>
        <v/>
      </c>
      <c r="AA67" s="1176">
        <f>IF('Final Calculation Sheet'!$AB$16="","",'Final Calculation Sheet'!$AB$16)</f>
        <v/>
      </c>
      <c r="AB67" s="1173">
        <f>IF('Final Calculation Sheet'!$AC$16="","",'Final Calculation Sheet'!$AC$16)</f>
        <v/>
      </c>
      <c r="AC67" s="1173">
        <f>IF('Final Calculation Sheet'!$AD$16="","",'Final Calculation Sheet'!$AD$16)</f>
        <v/>
      </c>
      <c r="AD67" s="1176">
        <f>IF('Final Calculation Sheet'!$AD$16="","",IF('Final Calculation Sheet'!$AD$16&lt;=0,"SETTLED","OUTSTANDING"))</f>
        <v/>
      </c>
      <c r="AE67" s="1176">
        <f>IF('Final Calculation Sheet'!$AE$16="","",'Final Calculation Sheet'!$AE$16)</f>
        <v/>
      </c>
      <c r="AF67" s="1173">
        <f>IF('Final Calculation Sheet'!$AF$16="","",'Final Calculation Sheet'!$AF$16)</f>
        <v/>
      </c>
      <c r="AG67" s="1176">
        <f>IF('Final Calculation Sheet'!$AG$16="","",'Final Calculation Sheet'!$AG$16)</f>
        <v/>
      </c>
    </row>
    <row r="68" outlineLevel="1" ht="15" customHeight="1">
      <c r="A68" s="1099">
        <f>IF('Final Calculation Sheet'!$F$17="","",'Final Calculation Sheet'!$F$17)</f>
        <v/>
      </c>
      <c r="B68" s="1100">
        <f>IF('Final Calculation Sheet'!$B$17="","",'Final Calculation Sheet'!$B$17)</f>
        <v/>
      </c>
      <c r="C68" s="1099">
        <f>IF('Final Calculation Sheet'!$D$17="","",'Final Calculation Sheet'!$D$17)</f>
        <v/>
      </c>
      <c r="D68" s="1101">
        <f>IF('Final Calculation Sheet'!$A$17="","",'Final Calculation Sheet'!$A$17)</f>
        <v/>
      </c>
      <c r="E68" s="1102">
        <f>IF('Final Calculation Sheet'!$E$17="","",'Final Calculation Sheet'!$E$17)</f>
        <v/>
      </c>
      <c r="F68" s="1099">
        <f>IF('Final Calculation Sheet'!$C$17="","",'Final Calculation Sheet'!$C$17)</f>
        <v/>
      </c>
      <c r="G68" s="1099">
        <f>IF('Final Calculation Sheet'!$H$17="","",'Final Calculation Sheet'!$H$17)</f>
        <v/>
      </c>
      <c r="H68" s="1099">
        <f>IF('Final Calculation Sheet'!$I$17="","",'Final Calculation Sheet'!$I$17)</f>
        <v/>
      </c>
      <c r="I68" s="1099">
        <f>IF('Final Calculation Sheet'!$J$17="","",'Final Calculation Sheet'!$J$17)</f>
        <v/>
      </c>
      <c r="J68" s="1099">
        <f>IF('Final Calculation Sheet'!$K$17="","",'Final Calculation Sheet'!$K$17)</f>
        <v/>
      </c>
      <c r="K68" s="1103">
        <f>IF('Final Calculation Sheet'!$L$17="","",'Final Calculation Sheet'!$L$17)</f>
        <v/>
      </c>
      <c r="L68" s="1103">
        <f>IF('Final Calculation Sheet'!$M$17="","",'Final Calculation Sheet'!$M$17)</f>
        <v/>
      </c>
      <c r="M68" s="1103">
        <f>IF('Final Calculation Sheet'!$N$17="","",'Final Calculation Sheet'!$N$17)</f>
        <v/>
      </c>
      <c r="N68" s="1103">
        <f>IF('Final Calculation Sheet'!$O$17="","",'Final Calculation Sheet'!$O$17)</f>
        <v/>
      </c>
      <c r="O68" s="1099">
        <f>IF('Final Calculation Sheet'!$P$17="","",'Final Calculation Sheet'!$P$17)</f>
        <v/>
      </c>
      <c r="P68" s="1104">
        <f>IF('Final Calculation Sheet'!$Q$17="","",'Final Calculation Sheet'!$Q$17)</f>
        <v/>
      </c>
      <c r="Q68" s="1099">
        <f>IF('Final Calculation Sheet'!$R$17="","",'Final Calculation Sheet'!$R$17)</f>
        <v/>
      </c>
      <c r="R68" s="1099">
        <f>IF('Final Calculation Sheet'!$S$17="","",'Final Calculation Sheet'!$S$17)</f>
        <v/>
      </c>
      <c r="S68" s="1099">
        <f>IF('Final Calculation Sheet'!$T$17="","",'Final Calculation Sheet'!$T$17)</f>
        <v/>
      </c>
      <c r="T68" s="1099">
        <f>IF('Final Calculation Sheet'!$U$17="","",'Final Calculation Sheet'!$U$17)</f>
        <v/>
      </c>
      <c r="U68" s="1102">
        <f>IF('Final Calculation Sheet'!$V$17="","",'Final Calculation Sheet'!$V$17)</f>
        <v/>
      </c>
      <c r="V68" s="1099">
        <f>IF('Final Calculation Sheet'!$W$17="","",'Final Calculation Sheet'!$W$17)</f>
        <v/>
      </c>
      <c r="W68" s="1099">
        <f>IF('Final Calculation Sheet'!$X$17="","",'Final Calculation Sheet'!$X$17)</f>
        <v/>
      </c>
      <c r="X68" s="1102">
        <f>IF('Final Calculation Sheet'!$Y$17="","",'Final Calculation Sheet'!$Y$17)</f>
        <v/>
      </c>
      <c r="Y68" s="1099">
        <f>IF('Final Calculation Sheet'!$Z$17="","",'Final Calculation Sheet'!$Z$17)</f>
        <v/>
      </c>
      <c r="Z68" s="1099">
        <f>IF('Final Calculation Sheet'!$AA$17="","",'Final Calculation Sheet'!$AA$17)</f>
        <v/>
      </c>
      <c r="AA68" s="1102">
        <f>IF('Final Calculation Sheet'!$AB$17="","",'Final Calculation Sheet'!$AB$17)</f>
        <v/>
      </c>
      <c r="AB68" s="1099">
        <f>IF('Final Calculation Sheet'!$AC$17="","",'Final Calculation Sheet'!$AC$17)</f>
        <v/>
      </c>
      <c r="AC68" s="1099">
        <f>IF('Final Calculation Sheet'!$AD$17="","",'Final Calculation Sheet'!$AD$17)</f>
        <v/>
      </c>
      <c r="AD68" s="1102">
        <f>IF('Final Calculation Sheet'!$AD$17="","",IF('Final Calculation Sheet'!$AD$17&lt;=0,"SETTLED","OUTSTANDING"))</f>
        <v/>
      </c>
      <c r="AE68" s="1102">
        <f>IF('Final Calculation Sheet'!$AE$17="","",'Final Calculation Sheet'!$AE$17)</f>
        <v/>
      </c>
      <c r="AF68" s="1099">
        <f>IF('Final Calculation Sheet'!$AF$17="","",'Final Calculation Sheet'!$AF$17)</f>
        <v/>
      </c>
      <c r="AG68" s="1102">
        <f>IF('Final Calculation Sheet'!$AG$17="","",'Final Calculation Sheet'!$AG$17)</f>
        <v/>
      </c>
    </row>
    <row r="69" outlineLevel="1" ht="15" customHeight="1">
      <c r="A69" s="1173">
        <f>IF('Final Calculation Sheet'!$F$23="","",'Final Calculation Sheet'!$F$23)</f>
        <v/>
      </c>
      <c r="B69" s="1174">
        <f>IF('Final Calculation Sheet'!$B$23="","",'Final Calculation Sheet'!$B$23)</f>
        <v/>
      </c>
      <c r="C69" s="1173">
        <f>IF('Final Calculation Sheet'!$D$23="","",'Final Calculation Sheet'!$D$23)</f>
        <v/>
      </c>
      <c r="D69" s="1175">
        <f>IF('Final Calculation Sheet'!$A$23="","",'Final Calculation Sheet'!$A$23)</f>
        <v/>
      </c>
      <c r="E69" s="1176">
        <f>IF('Final Calculation Sheet'!$E$23="","",'Final Calculation Sheet'!$E$23)</f>
        <v/>
      </c>
      <c r="F69" s="1173">
        <f>IF('Final Calculation Sheet'!$C$23="","",'Final Calculation Sheet'!$C$23)</f>
        <v/>
      </c>
      <c r="G69" s="1173">
        <f>IF('Final Calculation Sheet'!$H$23="","",'Final Calculation Sheet'!$H$23)</f>
        <v/>
      </c>
      <c r="H69" s="1173">
        <f>IF('Final Calculation Sheet'!$I$23="","",'Final Calculation Sheet'!$I$23)</f>
        <v/>
      </c>
      <c r="I69" s="1173">
        <f>IF('Final Calculation Sheet'!$J$23="","",'Final Calculation Sheet'!$J$23)</f>
        <v/>
      </c>
      <c r="J69" s="1173">
        <f>IF('Final Calculation Sheet'!$K$23="","",'Final Calculation Sheet'!$K$23)</f>
        <v/>
      </c>
      <c r="K69" s="1177">
        <f>IF('Final Calculation Sheet'!$L$23="","",'Final Calculation Sheet'!$L$23)</f>
        <v/>
      </c>
      <c r="L69" s="1177">
        <f>IF('Final Calculation Sheet'!$M$23="","",'Final Calculation Sheet'!$M$23)</f>
        <v/>
      </c>
      <c r="M69" s="1177">
        <f>IF('Final Calculation Sheet'!$N$23="","",'Final Calculation Sheet'!$N$23)</f>
        <v/>
      </c>
      <c r="N69" s="1177">
        <f>IF('Final Calculation Sheet'!$O$23="","",'Final Calculation Sheet'!$O$23)</f>
        <v/>
      </c>
      <c r="O69" s="1173">
        <f>IF('Final Calculation Sheet'!$P$23="","",'Final Calculation Sheet'!$P$23)</f>
        <v/>
      </c>
      <c r="P69" s="1178">
        <f>IF('Final Calculation Sheet'!$Q$23="","",'Final Calculation Sheet'!$Q$23)</f>
        <v/>
      </c>
      <c r="Q69" s="1173">
        <f>IF('Final Calculation Sheet'!$R$23="","",'Final Calculation Sheet'!$R$23)</f>
        <v/>
      </c>
      <c r="R69" s="1173">
        <f>IF('Final Calculation Sheet'!$S$23="","",'Final Calculation Sheet'!$S$23)</f>
        <v/>
      </c>
      <c r="S69" s="1173">
        <f>IF('Final Calculation Sheet'!$T$23="","",'Final Calculation Sheet'!$T$23)</f>
        <v/>
      </c>
      <c r="T69" s="1173">
        <f>IF('Final Calculation Sheet'!$U$23="","",'Final Calculation Sheet'!$U$23)</f>
        <v/>
      </c>
      <c r="U69" s="1176">
        <f>IF('Final Calculation Sheet'!$V$23="","",'Final Calculation Sheet'!$V$23)</f>
        <v/>
      </c>
      <c r="V69" s="1173">
        <f>IF('Final Calculation Sheet'!$W$23="","",'Final Calculation Sheet'!$W$23)</f>
        <v/>
      </c>
      <c r="W69" s="1173">
        <f>IF('Final Calculation Sheet'!$X$23="","",'Final Calculation Sheet'!$X$23)</f>
        <v/>
      </c>
      <c r="X69" s="1176">
        <f>IF('Final Calculation Sheet'!$Y$23="","",'Final Calculation Sheet'!$Y$23)</f>
        <v/>
      </c>
      <c r="Y69" s="1173">
        <f>IF('Final Calculation Sheet'!$Z$23="","",'Final Calculation Sheet'!$Z$23)</f>
        <v/>
      </c>
      <c r="Z69" s="1173">
        <f>IF('Final Calculation Sheet'!$AA$23="","",'Final Calculation Sheet'!$AA$23)</f>
        <v/>
      </c>
      <c r="AA69" s="1176">
        <f>IF('Final Calculation Sheet'!$AB$23="","",'Final Calculation Sheet'!$AB$23)</f>
        <v/>
      </c>
      <c r="AB69" s="1173">
        <f>IF('Final Calculation Sheet'!$AC$23="","",'Final Calculation Sheet'!$AC$23)</f>
        <v/>
      </c>
      <c r="AC69" s="1173">
        <f>IF('Final Calculation Sheet'!$AD$23="","",'Final Calculation Sheet'!$AD$23)</f>
        <v/>
      </c>
      <c r="AD69" s="1176">
        <f>IF('Final Calculation Sheet'!$AD$23="","",IF('Final Calculation Sheet'!$AD$23&lt;=0,"SETTLED","OUTSTANDING"))</f>
        <v/>
      </c>
      <c r="AE69" s="1176">
        <f>IF('Final Calculation Sheet'!$AE$23="","",'Final Calculation Sheet'!$AE$23)</f>
        <v/>
      </c>
      <c r="AF69" s="1173">
        <f>IF('Final Calculation Sheet'!$AF$23="","",'Final Calculation Sheet'!$AF$23)</f>
        <v/>
      </c>
      <c r="AG69" s="1176">
        <f>IF('Final Calculation Sheet'!$AG$23="","",'Final Calculation Sheet'!$AG$23)</f>
        <v/>
      </c>
    </row>
    <row r="70" outlineLevel="1" ht="15" customHeight="1">
      <c r="A70" s="1099">
        <f>IF('Final Calculation Sheet'!$F$29="","",'Final Calculation Sheet'!$F$29)</f>
        <v/>
      </c>
      <c r="B70" s="1100">
        <f>IF('Final Calculation Sheet'!$B$29="","",'Final Calculation Sheet'!$B$29)</f>
        <v/>
      </c>
      <c r="C70" s="1099">
        <f>IF('Final Calculation Sheet'!$D$29="","",'Final Calculation Sheet'!$D$29)</f>
        <v/>
      </c>
      <c r="D70" s="1101">
        <f>IF('Final Calculation Sheet'!$A$29="","",'Final Calculation Sheet'!$A$29)</f>
        <v/>
      </c>
      <c r="E70" s="1102">
        <f>IF('Final Calculation Sheet'!$E$29="","",'Final Calculation Sheet'!$E$29)</f>
        <v/>
      </c>
      <c r="F70" s="1099">
        <f>IF('Final Calculation Sheet'!$C$29="","",'Final Calculation Sheet'!$C$29)</f>
        <v/>
      </c>
      <c r="G70" s="1099">
        <f>IF('Final Calculation Sheet'!$H$29="","",'Final Calculation Sheet'!$H$29)</f>
        <v/>
      </c>
      <c r="H70" s="1099">
        <f>IF('Final Calculation Sheet'!$I$29="","",'Final Calculation Sheet'!$I$29)</f>
        <v/>
      </c>
      <c r="I70" s="1099">
        <f>IF('Final Calculation Sheet'!$J$29="","",'Final Calculation Sheet'!$J$29)</f>
        <v/>
      </c>
      <c r="J70" s="1099">
        <f>IF('Final Calculation Sheet'!$K$29="","",'Final Calculation Sheet'!$K$29)</f>
        <v/>
      </c>
      <c r="K70" s="1103">
        <f>IF('Final Calculation Sheet'!$L$29="","",'Final Calculation Sheet'!$L$29)</f>
        <v/>
      </c>
      <c r="L70" s="1103">
        <f>IF('Final Calculation Sheet'!$M$29="","",'Final Calculation Sheet'!$M$29)</f>
        <v/>
      </c>
      <c r="M70" s="1103">
        <f>IF('Final Calculation Sheet'!$N$29="","",'Final Calculation Sheet'!$N$29)</f>
        <v/>
      </c>
      <c r="N70" s="1103">
        <f>IF('Final Calculation Sheet'!$O$29="","",'Final Calculation Sheet'!$O$29)</f>
        <v/>
      </c>
      <c r="O70" s="1099">
        <f>IF('Final Calculation Sheet'!$P$29="","",'Final Calculation Sheet'!$P$29)</f>
        <v/>
      </c>
      <c r="P70" s="1104">
        <f>IF('Final Calculation Sheet'!$Q$29="","",'Final Calculation Sheet'!$Q$29)</f>
        <v/>
      </c>
      <c r="Q70" s="1099">
        <f>IF('Final Calculation Sheet'!$R$29="","",'Final Calculation Sheet'!$R$29)</f>
        <v/>
      </c>
      <c r="R70" s="1099">
        <f>IF('Final Calculation Sheet'!$S$29="","",'Final Calculation Sheet'!$S$29)</f>
        <v/>
      </c>
      <c r="S70" s="1099">
        <f>IF('Final Calculation Sheet'!$T$29="","",'Final Calculation Sheet'!$T$29)</f>
        <v/>
      </c>
      <c r="T70" s="1099">
        <f>IF('Final Calculation Sheet'!$U$29="","",'Final Calculation Sheet'!$U$29)</f>
        <v/>
      </c>
      <c r="U70" s="1102">
        <f>IF('Final Calculation Sheet'!$V$29="","",'Final Calculation Sheet'!$V$29)</f>
        <v/>
      </c>
      <c r="V70" s="1099">
        <f>IF('Final Calculation Sheet'!$W$29="","",'Final Calculation Sheet'!$W$29)</f>
        <v/>
      </c>
      <c r="W70" s="1099">
        <f>IF('Final Calculation Sheet'!$X$29="","",'Final Calculation Sheet'!$X$29)</f>
        <v/>
      </c>
      <c r="X70" s="1102">
        <f>IF('Final Calculation Sheet'!$Y$29="","",'Final Calculation Sheet'!$Y$29)</f>
        <v/>
      </c>
      <c r="Y70" s="1099">
        <f>IF('Final Calculation Sheet'!$Z$29="","",'Final Calculation Sheet'!$Z$29)</f>
        <v/>
      </c>
      <c r="Z70" s="1099">
        <f>IF('Final Calculation Sheet'!$AA$29="","",'Final Calculation Sheet'!$AA$29)</f>
        <v/>
      </c>
      <c r="AA70" s="1102">
        <f>IF('Final Calculation Sheet'!$AB$29="","",'Final Calculation Sheet'!$AB$29)</f>
        <v/>
      </c>
      <c r="AB70" s="1099">
        <f>IF('Final Calculation Sheet'!$AC$29="","",'Final Calculation Sheet'!$AC$29)</f>
        <v/>
      </c>
      <c r="AC70" s="1099">
        <f>IF('Final Calculation Sheet'!$AD$29="","",'Final Calculation Sheet'!$AD$29)</f>
        <v/>
      </c>
      <c r="AD70" s="1102">
        <f>IF('Final Calculation Sheet'!$AD$29="","",IF('Final Calculation Sheet'!$AD$29&lt;=0,"SETTLED","OUTSTANDING"))</f>
        <v/>
      </c>
      <c r="AE70" s="1102">
        <f>IF('Final Calculation Sheet'!$AE$29="","",'Final Calculation Sheet'!$AE$29)</f>
        <v/>
      </c>
      <c r="AF70" s="1099">
        <f>IF('Final Calculation Sheet'!$AF$29="","",'Final Calculation Sheet'!$AF$29)</f>
        <v/>
      </c>
      <c r="AG70" s="1102">
        <f>IF('Final Calculation Sheet'!$AG$29="","",'Final Calculation Sheet'!$AG$29)</f>
        <v/>
      </c>
    </row>
    <row r="71" outlineLevel="1" ht="15" customHeight="1">
      <c r="A71" s="1173">
        <f>IF('Final Calculation Sheet'!$F$34="","",'Final Calculation Sheet'!$F$34)</f>
        <v/>
      </c>
      <c r="B71" s="1174">
        <f>IF('Final Calculation Sheet'!$B$34="","",'Final Calculation Sheet'!$B$34)</f>
        <v/>
      </c>
      <c r="C71" s="1173">
        <f>IF('Final Calculation Sheet'!$D$34="","",'Final Calculation Sheet'!$D$34)</f>
        <v/>
      </c>
      <c r="D71" s="1175">
        <f>IF('Final Calculation Sheet'!$A$34="","",'Final Calculation Sheet'!$A$34)</f>
        <v/>
      </c>
      <c r="E71" s="1176">
        <f>IF('Final Calculation Sheet'!$E$34="","",'Final Calculation Sheet'!$E$34)</f>
        <v/>
      </c>
      <c r="F71" s="1173">
        <f>IF('Final Calculation Sheet'!$C$34="","",'Final Calculation Sheet'!$C$34)</f>
        <v/>
      </c>
      <c r="G71" s="1173">
        <f>IF('Final Calculation Sheet'!$H$34="","",'Final Calculation Sheet'!$H$34)</f>
        <v/>
      </c>
      <c r="H71" s="1173">
        <f>IF('Final Calculation Sheet'!$I$34="","",'Final Calculation Sheet'!$I$34)</f>
        <v/>
      </c>
      <c r="I71" s="1173">
        <f>IF('Final Calculation Sheet'!$J$34="","",'Final Calculation Sheet'!$J$34)</f>
        <v/>
      </c>
      <c r="J71" s="1173">
        <f>IF('Final Calculation Sheet'!$K$34="","",'Final Calculation Sheet'!$K$34)</f>
        <v/>
      </c>
      <c r="K71" s="1177">
        <f>IF('Final Calculation Sheet'!$L$34="","",'Final Calculation Sheet'!$L$34)</f>
        <v/>
      </c>
      <c r="L71" s="1177">
        <f>IF('Final Calculation Sheet'!$M$34="","",'Final Calculation Sheet'!$M$34)</f>
        <v/>
      </c>
      <c r="M71" s="1177">
        <f>IF('Final Calculation Sheet'!$N$34="","",'Final Calculation Sheet'!$N$34)</f>
        <v/>
      </c>
      <c r="N71" s="1177">
        <f>IF('Final Calculation Sheet'!$O$34="","",'Final Calculation Sheet'!$O$34)</f>
        <v/>
      </c>
      <c r="O71" s="1173">
        <f>IF('Final Calculation Sheet'!$P$34="","",'Final Calculation Sheet'!$P$34)</f>
        <v/>
      </c>
      <c r="P71" s="1178">
        <f>IF('Final Calculation Sheet'!$Q$34="","",'Final Calculation Sheet'!$Q$34)</f>
        <v/>
      </c>
      <c r="Q71" s="1173">
        <f>IF('Final Calculation Sheet'!$R$34="","",'Final Calculation Sheet'!$R$34)</f>
        <v/>
      </c>
      <c r="R71" s="1173">
        <f>IF('Final Calculation Sheet'!$S$34="","",'Final Calculation Sheet'!$S$34)</f>
        <v/>
      </c>
      <c r="S71" s="1173">
        <f>IF('Final Calculation Sheet'!$T$34="","",'Final Calculation Sheet'!$T$34)</f>
        <v/>
      </c>
      <c r="T71" s="1173">
        <f>IF('Final Calculation Sheet'!$U$34="","",'Final Calculation Sheet'!$U$34)</f>
        <v/>
      </c>
      <c r="U71" s="1176">
        <f>IF('Final Calculation Sheet'!$V$34="","",'Final Calculation Sheet'!$V$34)</f>
        <v/>
      </c>
      <c r="V71" s="1173">
        <f>IF('Final Calculation Sheet'!$W$34="","",'Final Calculation Sheet'!$W$34)</f>
        <v/>
      </c>
      <c r="W71" s="1173">
        <f>IF('Final Calculation Sheet'!$X$34="","",'Final Calculation Sheet'!$X$34)</f>
        <v/>
      </c>
      <c r="X71" s="1176">
        <f>IF('Final Calculation Sheet'!$Y$34="","",'Final Calculation Sheet'!$Y$34)</f>
        <v/>
      </c>
      <c r="Y71" s="1173">
        <f>IF('Final Calculation Sheet'!$Z$34="","",'Final Calculation Sheet'!$Z$34)</f>
        <v/>
      </c>
      <c r="Z71" s="1173">
        <f>IF('Final Calculation Sheet'!$AA$34="","",'Final Calculation Sheet'!$AA$34)</f>
        <v/>
      </c>
      <c r="AA71" s="1176">
        <f>IF('Final Calculation Sheet'!$AB$34="","",'Final Calculation Sheet'!$AB$34)</f>
        <v/>
      </c>
      <c r="AB71" s="1173">
        <f>IF('Final Calculation Sheet'!$AC$34="","",'Final Calculation Sheet'!$AC$34)</f>
        <v/>
      </c>
      <c r="AC71" s="1173">
        <f>IF('Final Calculation Sheet'!$AD$34="","",'Final Calculation Sheet'!$AD$34)</f>
        <v/>
      </c>
      <c r="AD71" s="1176">
        <f>IF('Final Calculation Sheet'!$AD$34="","",IF('Final Calculation Sheet'!$AD$34&lt;=0,"SETTLED","OUTSTANDING"))</f>
        <v/>
      </c>
      <c r="AE71" s="1176">
        <f>IF('Final Calculation Sheet'!$AE$34="","",'Final Calculation Sheet'!$AE$34)</f>
        <v/>
      </c>
      <c r="AF71" s="1173">
        <f>IF('Final Calculation Sheet'!$AF$34="","",'Final Calculation Sheet'!$AF$34)</f>
        <v/>
      </c>
      <c r="AG71" s="1176">
        <f>IF('Final Calculation Sheet'!$AG$34="","",'Final Calculation Sheet'!$AG$34)</f>
        <v/>
      </c>
    </row>
    <row r="72" outlineLevel="1" ht="15" customHeight="1">
      <c r="A72" s="1099">
        <f>IF('Final Calculation Sheet'!$F$36="","",'Final Calculation Sheet'!$F$36)</f>
        <v/>
      </c>
      <c r="B72" s="1100">
        <f>IF('Final Calculation Sheet'!$B$36="","",'Final Calculation Sheet'!$B$36)</f>
        <v/>
      </c>
      <c r="C72" s="1099">
        <f>IF('Final Calculation Sheet'!$D$36="","",'Final Calculation Sheet'!$D$36)</f>
        <v/>
      </c>
      <c r="D72" s="1101">
        <f>IF('Final Calculation Sheet'!$A$36="","",'Final Calculation Sheet'!$A$36)</f>
        <v/>
      </c>
      <c r="E72" s="1102">
        <f>IF('Final Calculation Sheet'!$E$36="","",'Final Calculation Sheet'!$E$36)</f>
        <v/>
      </c>
      <c r="F72" s="1099">
        <f>IF('Final Calculation Sheet'!$C$36="","",'Final Calculation Sheet'!$C$36)</f>
        <v/>
      </c>
      <c r="G72" s="1099">
        <f>IF('Final Calculation Sheet'!$H$36="","",'Final Calculation Sheet'!$H$36)</f>
        <v/>
      </c>
      <c r="H72" s="1099">
        <f>IF('Final Calculation Sheet'!$I$36="","",'Final Calculation Sheet'!$I$36)</f>
        <v/>
      </c>
      <c r="I72" s="1099">
        <f>IF('Final Calculation Sheet'!$J$36="","",'Final Calculation Sheet'!$J$36)</f>
        <v/>
      </c>
      <c r="J72" s="1099">
        <f>IF('Final Calculation Sheet'!$K$36="","",'Final Calculation Sheet'!$K$36)</f>
        <v/>
      </c>
      <c r="K72" s="1103">
        <f>IF('Final Calculation Sheet'!$L$36="","",'Final Calculation Sheet'!$L$36)</f>
        <v/>
      </c>
      <c r="L72" s="1103">
        <f>IF('Final Calculation Sheet'!$M$36="","",'Final Calculation Sheet'!$M$36)</f>
        <v/>
      </c>
      <c r="M72" s="1103">
        <f>IF('Final Calculation Sheet'!$N$36="","",'Final Calculation Sheet'!$N$36)</f>
        <v/>
      </c>
      <c r="N72" s="1103">
        <f>IF('Final Calculation Sheet'!$O$36="","",'Final Calculation Sheet'!$O$36)</f>
        <v/>
      </c>
      <c r="O72" s="1099">
        <f>IF('Final Calculation Sheet'!$P$36="","",'Final Calculation Sheet'!$P$36)</f>
        <v/>
      </c>
      <c r="P72" s="1104">
        <f>IF('Final Calculation Sheet'!$Q$36="","",'Final Calculation Sheet'!$Q$36)</f>
        <v/>
      </c>
      <c r="Q72" s="1099">
        <f>IF('Final Calculation Sheet'!$R$36="","",'Final Calculation Sheet'!$R$36)</f>
        <v/>
      </c>
      <c r="R72" s="1099">
        <f>IF('Final Calculation Sheet'!$S$36="","",'Final Calculation Sheet'!$S$36)</f>
        <v/>
      </c>
      <c r="S72" s="1099">
        <f>IF('Final Calculation Sheet'!$T$36="","",'Final Calculation Sheet'!$T$36)</f>
        <v/>
      </c>
      <c r="T72" s="1099">
        <f>IF('Final Calculation Sheet'!$U$36="","",'Final Calculation Sheet'!$U$36)</f>
        <v/>
      </c>
      <c r="U72" s="1102">
        <f>IF('Final Calculation Sheet'!$V$36="","",'Final Calculation Sheet'!$V$36)</f>
        <v/>
      </c>
      <c r="V72" s="1099">
        <f>IF('Final Calculation Sheet'!$W$36="","",'Final Calculation Sheet'!$W$36)</f>
        <v/>
      </c>
      <c r="W72" s="1099">
        <f>IF('Final Calculation Sheet'!$X$36="","",'Final Calculation Sheet'!$X$36)</f>
        <v/>
      </c>
      <c r="X72" s="1102">
        <f>IF('Final Calculation Sheet'!$Y$36="","",'Final Calculation Sheet'!$Y$36)</f>
        <v/>
      </c>
      <c r="Y72" s="1099">
        <f>IF('Final Calculation Sheet'!$Z$36="","",'Final Calculation Sheet'!$Z$36)</f>
        <v/>
      </c>
      <c r="Z72" s="1099">
        <f>IF('Final Calculation Sheet'!$AA$36="","",'Final Calculation Sheet'!$AA$36)</f>
        <v/>
      </c>
      <c r="AA72" s="1102">
        <f>IF('Final Calculation Sheet'!$AB$36="","",'Final Calculation Sheet'!$AB$36)</f>
        <v/>
      </c>
      <c r="AB72" s="1099">
        <f>IF('Final Calculation Sheet'!$AC$36="","",'Final Calculation Sheet'!$AC$36)</f>
        <v/>
      </c>
      <c r="AC72" s="1099">
        <f>IF('Final Calculation Sheet'!$AD$36="","",'Final Calculation Sheet'!$AD$36)</f>
        <v/>
      </c>
      <c r="AD72" s="1102">
        <f>IF('Final Calculation Sheet'!$AD$36="","",IF('Final Calculation Sheet'!$AD$36&lt;=0,"SETTLED","OUTSTANDING"))</f>
        <v/>
      </c>
      <c r="AE72" s="1102">
        <f>IF('Final Calculation Sheet'!$AE$36="","",'Final Calculation Sheet'!$AE$36)</f>
        <v/>
      </c>
      <c r="AF72" s="1099">
        <f>IF('Final Calculation Sheet'!$AF$36="","",'Final Calculation Sheet'!$AF$36)</f>
        <v/>
      </c>
      <c r="AG72" s="1102">
        <f>IF('Final Calculation Sheet'!$AG$36="","",'Final Calculation Sheet'!$AG$36)</f>
        <v/>
      </c>
    </row>
    <row r="73" ht="20" customHeight="1">
      <c r="A73" s="1105" t="inlineStr">
        <is>
          <t>∑  STERLING ENTERPRISES — TOTALS</t>
        </is>
      </c>
      <c r="B73" s="757" t="inlineStr">
        <is>
          <t>–</t>
        </is>
      </c>
      <c r="C73" s="757" t="inlineStr">
        <is>
          <t>–</t>
        </is>
      </c>
      <c r="D73" s="1106">
        <f>SUM(D66:D72)</f>
        <v/>
      </c>
      <c r="E73" s="757" t="inlineStr">
        <is>
          <t>–</t>
        </is>
      </c>
      <c r="F73" s="757" t="inlineStr">
        <is>
          <t>–</t>
        </is>
      </c>
      <c r="G73" s="1107">
        <f>SUM(G66:G72)</f>
        <v/>
      </c>
      <c r="H73" s="1107">
        <f>SUM(H66:H72)</f>
        <v/>
      </c>
      <c r="I73" s="1107">
        <f>SUM(I66:I72)</f>
        <v/>
      </c>
      <c r="J73" s="1107">
        <f>SUM(J66:J72)</f>
        <v/>
      </c>
      <c r="K73" s="1108">
        <f>SUM(K66:K72)</f>
        <v/>
      </c>
      <c r="L73" s="1108">
        <f>SUM(L66:L72)</f>
        <v/>
      </c>
      <c r="M73" s="1108">
        <f>SUM(M66:M72)</f>
        <v/>
      </c>
      <c r="N73" s="1108">
        <f>SUM(N66:N72)</f>
        <v/>
      </c>
      <c r="O73" s="1107">
        <f>SUM(O66:O72)</f>
        <v/>
      </c>
      <c r="P73" s="757" t="inlineStr">
        <is>
          <t>–</t>
        </is>
      </c>
      <c r="Q73" s="1107">
        <f>SUM(Q66:Q72)</f>
        <v/>
      </c>
      <c r="R73" s="1107">
        <f>SUM(R66:R72)</f>
        <v/>
      </c>
      <c r="S73" s="1107">
        <f>SUM(S66:S72)</f>
        <v/>
      </c>
      <c r="T73" s="1107">
        <f>SUM(T66:T72)</f>
        <v/>
      </c>
      <c r="U73" s="757" t="inlineStr">
        <is>
          <t>–</t>
        </is>
      </c>
      <c r="V73" s="1107">
        <f>SUM(V66:V72)</f>
        <v/>
      </c>
      <c r="W73" s="1107">
        <f>SUM(W66:W72)</f>
        <v/>
      </c>
      <c r="X73" s="757" t="inlineStr">
        <is>
          <t>–</t>
        </is>
      </c>
      <c r="Y73" s="1107">
        <f>SUM(Y66:Y72)</f>
        <v/>
      </c>
      <c r="Z73" s="1107">
        <f>SUM(Z66:Z72)</f>
        <v/>
      </c>
      <c r="AA73" s="757" t="inlineStr">
        <is>
          <t>–</t>
        </is>
      </c>
      <c r="AB73" s="1107">
        <f>SUM(AB66:AB72)</f>
        <v/>
      </c>
      <c r="AC73" s="1107">
        <f>SUM(AC66:AC72)</f>
        <v/>
      </c>
      <c r="AD73" s="757" t="inlineStr">
        <is>
          <t>–</t>
        </is>
      </c>
      <c r="AE73" s="757" t="inlineStr">
        <is>
          <t>–</t>
        </is>
      </c>
      <c r="AF73" s="757" t="inlineStr">
        <is>
          <t>–</t>
        </is>
      </c>
      <c r="AG73" s="757" t="inlineStr">
        <is>
          <t>–</t>
        </is>
      </c>
    </row>
    <row r="74" ht="7" customHeight="1">
      <c r="A74" s="866" t="n"/>
      <c r="B74" s="866" t="n"/>
      <c r="C74" s="866" t="n"/>
      <c r="D74" s="866" t="n"/>
      <c r="E74" s="866" t="n"/>
      <c r="F74" s="866" t="n"/>
      <c r="G74" s="866" t="n"/>
      <c r="H74" s="866" t="n"/>
      <c r="I74" s="866" t="n"/>
      <c r="J74" s="866" t="n"/>
      <c r="K74" s="866" t="n"/>
      <c r="L74" s="866" t="n"/>
      <c r="M74" s="866" t="n"/>
      <c r="N74" s="866" t="n"/>
      <c r="O74" s="866" t="n"/>
      <c r="P74" s="866" t="n"/>
      <c r="Q74" s="866" t="n"/>
      <c r="R74" s="866" t="n"/>
      <c r="S74" s="866" t="n"/>
      <c r="T74" s="866" t="n"/>
      <c r="U74" s="866" t="n"/>
      <c r="V74" s="866" t="n"/>
      <c r="W74" s="866" t="n"/>
      <c r="X74" s="866" t="n"/>
      <c r="Y74" s="866" t="n"/>
      <c r="Z74" s="866" t="n"/>
      <c r="AA74" s="866" t="n"/>
      <c r="AB74" s="866" t="n"/>
      <c r="AC74" s="866" t="n"/>
      <c r="AD74" s="866" t="n"/>
      <c r="AE74" s="866" t="n"/>
      <c r="AF74" s="866" t="n"/>
      <c r="AG74" s="866" t="n"/>
    </row>
    <row r="75" ht="24" customHeight="1">
      <c r="A75" s="89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1109">
        <f>IF('Final Calculation Sheet'!$F$25="","",'Final Calculation Sheet'!$F$25)</f>
        <v/>
      </c>
      <c r="B76" s="1110">
        <f>IF('Final Calculation Sheet'!$B$25="","",'Final Calculation Sheet'!$B$25)</f>
        <v/>
      </c>
      <c r="C76" s="1109">
        <f>IF('Final Calculation Sheet'!$D$25="","",'Final Calculation Sheet'!$D$25)</f>
        <v/>
      </c>
      <c r="D76" s="1111">
        <f>IF('Final Calculation Sheet'!$A$25="","",'Final Calculation Sheet'!$A$25)</f>
        <v/>
      </c>
      <c r="E76" s="1112">
        <f>IF('Final Calculation Sheet'!$E$25="","",'Final Calculation Sheet'!$E$25)</f>
        <v/>
      </c>
      <c r="F76" s="1109">
        <f>IF('Final Calculation Sheet'!$C$25="","",'Final Calculation Sheet'!$C$25)</f>
        <v/>
      </c>
      <c r="G76" s="1109">
        <f>IF('Final Calculation Sheet'!$H$25="","",'Final Calculation Sheet'!$H$25)</f>
        <v/>
      </c>
      <c r="H76" s="1109">
        <f>IF('Final Calculation Sheet'!$I$25="","",'Final Calculation Sheet'!$I$25)</f>
        <v/>
      </c>
      <c r="I76" s="1109">
        <f>IF('Final Calculation Sheet'!$J$25="","",'Final Calculation Sheet'!$J$25)</f>
        <v/>
      </c>
      <c r="J76" s="1109">
        <f>IF('Final Calculation Sheet'!$K$25="","",'Final Calculation Sheet'!$K$25)</f>
        <v/>
      </c>
      <c r="K76" s="1113">
        <f>IF('Final Calculation Sheet'!$L$25="","",'Final Calculation Sheet'!$L$25)</f>
        <v/>
      </c>
      <c r="L76" s="1113">
        <f>IF('Final Calculation Sheet'!$M$25="","",'Final Calculation Sheet'!$M$25)</f>
        <v/>
      </c>
      <c r="M76" s="1113">
        <f>IF('Final Calculation Sheet'!$N$25="","",'Final Calculation Sheet'!$N$25)</f>
        <v/>
      </c>
      <c r="N76" s="1113">
        <f>IF('Final Calculation Sheet'!$O$25="","",'Final Calculation Sheet'!$O$25)</f>
        <v/>
      </c>
      <c r="O76" s="1109">
        <f>IF('Final Calculation Sheet'!$P$25="","",'Final Calculation Sheet'!$P$25)</f>
        <v/>
      </c>
      <c r="P76" s="1114">
        <f>IF('Final Calculation Sheet'!$Q$25="","",'Final Calculation Sheet'!$Q$25)</f>
        <v/>
      </c>
      <c r="Q76" s="1109">
        <f>IF('Final Calculation Sheet'!$R$25="","",'Final Calculation Sheet'!$R$25)</f>
        <v/>
      </c>
      <c r="R76" s="1109">
        <f>IF('Final Calculation Sheet'!$S$25="","",'Final Calculation Sheet'!$S$25)</f>
        <v/>
      </c>
      <c r="S76" s="1109">
        <f>IF('Final Calculation Sheet'!$T$25="","",'Final Calculation Sheet'!$T$25)</f>
        <v/>
      </c>
      <c r="T76" s="1109">
        <f>IF('Final Calculation Sheet'!$U$25="","",'Final Calculation Sheet'!$U$25)</f>
        <v/>
      </c>
      <c r="U76" s="1112">
        <f>IF('Final Calculation Sheet'!$V$25="","",'Final Calculation Sheet'!$V$25)</f>
        <v/>
      </c>
      <c r="V76" s="1109">
        <f>IF('Final Calculation Sheet'!$W$25="","",'Final Calculation Sheet'!$W$25)</f>
        <v/>
      </c>
      <c r="W76" s="1109">
        <f>IF('Final Calculation Sheet'!$X$25="","",'Final Calculation Sheet'!$X$25)</f>
        <v/>
      </c>
      <c r="X76" s="1112">
        <f>IF('Final Calculation Sheet'!$Y$25="","",'Final Calculation Sheet'!$Y$25)</f>
        <v/>
      </c>
      <c r="Y76" s="1109">
        <f>IF('Final Calculation Sheet'!$Z$25="","",'Final Calculation Sheet'!$Z$25)</f>
        <v/>
      </c>
      <c r="Z76" s="1109">
        <f>IF('Final Calculation Sheet'!$AA$25="","",'Final Calculation Sheet'!$AA$25)</f>
        <v/>
      </c>
      <c r="AA76" s="1112">
        <f>IF('Final Calculation Sheet'!$AB$25="","",'Final Calculation Sheet'!$AB$25)</f>
        <v/>
      </c>
      <c r="AB76" s="1109">
        <f>IF('Final Calculation Sheet'!$AC$25="","",'Final Calculation Sheet'!$AC$25)</f>
        <v/>
      </c>
      <c r="AC76" s="1109">
        <f>IF('Final Calculation Sheet'!$AD$25="","",'Final Calculation Sheet'!$AD$25)</f>
        <v/>
      </c>
      <c r="AD76" s="1112">
        <f>IF('Final Calculation Sheet'!$AD$25="","",IF('Final Calculation Sheet'!$AD$25&lt;=0,"SETTLED","OUTSTANDING"))</f>
        <v/>
      </c>
      <c r="AE76" s="1112">
        <f>IF('Final Calculation Sheet'!$AE$25="","",'Final Calculation Sheet'!$AE$25)</f>
        <v/>
      </c>
      <c r="AF76" s="1109">
        <f>IF('Final Calculation Sheet'!$AF$25="","",'Final Calculation Sheet'!$AF$25)</f>
        <v/>
      </c>
      <c r="AG76" s="1112">
        <f>IF('Final Calculation Sheet'!$AG$25="","",'Final Calculation Sheet'!$AG$25)</f>
        <v/>
      </c>
    </row>
    <row r="77" outlineLevel="1" ht="15" customHeight="1">
      <c r="A77" s="1179">
        <f>IF('Final Calculation Sheet'!$F$28="","",'Final Calculation Sheet'!$F$28)</f>
        <v/>
      </c>
      <c r="B77" s="1180">
        <f>IF('Final Calculation Sheet'!$B$28="","",'Final Calculation Sheet'!$B$28)</f>
        <v/>
      </c>
      <c r="C77" s="1179">
        <f>IF('Final Calculation Sheet'!$D$28="","",'Final Calculation Sheet'!$D$28)</f>
        <v/>
      </c>
      <c r="D77" s="1181">
        <f>IF('Final Calculation Sheet'!$A$28="","",'Final Calculation Sheet'!$A$28)</f>
        <v/>
      </c>
      <c r="E77" s="1182">
        <f>IF('Final Calculation Sheet'!$E$28="","",'Final Calculation Sheet'!$E$28)</f>
        <v/>
      </c>
      <c r="F77" s="1179">
        <f>IF('Final Calculation Sheet'!$C$28="","",'Final Calculation Sheet'!$C$28)</f>
        <v/>
      </c>
      <c r="G77" s="1179">
        <f>IF('Final Calculation Sheet'!$H$28="","",'Final Calculation Sheet'!$H$28)</f>
        <v/>
      </c>
      <c r="H77" s="1179">
        <f>IF('Final Calculation Sheet'!$I$28="","",'Final Calculation Sheet'!$I$28)</f>
        <v/>
      </c>
      <c r="I77" s="1179">
        <f>IF('Final Calculation Sheet'!$J$28="","",'Final Calculation Sheet'!$J$28)</f>
        <v/>
      </c>
      <c r="J77" s="1179">
        <f>IF('Final Calculation Sheet'!$K$28="","",'Final Calculation Sheet'!$K$28)</f>
        <v/>
      </c>
      <c r="K77" s="1183">
        <f>IF('Final Calculation Sheet'!$L$28="","",'Final Calculation Sheet'!$L$28)</f>
        <v/>
      </c>
      <c r="L77" s="1183">
        <f>IF('Final Calculation Sheet'!$M$28="","",'Final Calculation Sheet'!$M$28)</f>
        <v/>
      </c>
      <c r="M77" s="1183">
        <f>IF('Final Calculation Sheet'!$N$28="","",'Final Calculation Sheet'!$N$28)</f>
        <v/>
      </c>
      <c r="N77" s="1183">
        <f>IF('Final Calculation Sheet'!$O$28="","",'Final Calculation Sheet'!$O$28)</f>
        <v/>
      </c>
      <c r="O77" s="1179">
        <f>IF('Final Calculation Sheet'!$P$28="","",'Final Calculation Sheet'!$P$28)</f>
        <v/>
      </c>
      <c r="P77" s="1184">
        <f>IF('Final Calculation Sheet'!$Q$28="","",'Final Calculation Sheet'!$Q$28)</f>
        <v/>
      </c>
      <c r="Q77" s="1179">
        <f>IF('Final Calculation Sheet'!$R$28="","",'Final Calculation Sheet'!$R$28)</f>
        <v/>
      </c>
      <c r="R77" s="1179">
        <f>IF('Final Calculation Sheet'!$S$28="","",'Final Calculation Sheet'!$S$28)</f>
        <v/>
      </c>
      <c r="S77" s="1179">
        <f>IF('Final Calculation Sheet'!$T$28="","",'Final Calculation Sheet'!$T$28)</f>
        <v/>
      </c>
      <c r="T77" s="1179">
        <f>IF('Final Calculation Sheet'!$U$28="","",'Final Calculation Sheet'!$U$28)</f>
        <v/>
      </c>
      <c r="U77" s="1182">
        <f>IF('Final Calculation Sheet'!$V$28="","",'Final Calculation Sheet'!$V$28)</f>
        <v/>
      </c>
      <c r="V77" s="1179">
        <f>IF('Final Calculation Sheet'!$W$28="","",'Final Calculation Sheet'!$W$28)</f>
        <v/>
      </c>
      <c r="W77" s="1179">
        <f>IF('Final Calculation Sheet'!$X$28="","",'Final Calculation Sheet'!$X$28)</f>
        <v/>
      </c>
      <c r="X77" s="1182">
        <f>IF('Final Calculation Sheet'!$Y$28="","",'Final Calculation Sheet'!$Y$28)</f>
        <v/>
      </c>
      <c r="Y77" s="1179">
        <f>IF('Final Calculation Sheet'!$Z$28="","",'Final Calculation Sheet'!$Z$28)</f>
        <v/>
      </c>
      <c r="Z77" s="1179">
        <f>IF('Final Calculation Sheet'!$AA$28="","",'Final Calculation Sheet'!$AA$28)</f>
        <v/>
      </c>
      <c r="AA77" s="1182">
        <f>IF('Final Calculation Sheet'!$AB$28="","",'Final Calculation Sheet'!$AB$28)</f>
        <v/>
      </c>
      <c r="AB77" s="1179">
        <f>IF('Final Calculation Sheet'!$AC$28="","",'Final Calculation Sheet'!$AC$28)</f>
        <v/>
      </c>
      <c r="AC77" s="1179">
        <f>IF('Final Calculation Sheet'!$AD$28="","",'Final Calculation Sheet'!$AD$28)</f>
        <v/>
      </c>
      <c r="AD77" s="1182">
        <f>IF('Final Calculation Sheet'!$AD$28="","",IF('Final Calculation Sheet'!$AD$28&lt;=0,"SETTLED","OUTSTANDING"))</f>
        <v/>
      </c>
      <c r="AE77" s="1182">
        <f>IF('Final Calculation Sheet'!$AE$28="","",'Final Calculation Sheet'!$AE$28)</f>
        <v/>
      </c>
      <c r="AF77" s="1179">
        <f>IF('Final Calculation Sheet'!$AF$28="","",'Final Calculation Sheet'!$AF$28)</f>
        <v/>
      </c>
      <c r="AG77" s="1182">
        <f>IF('Final Calculation Sheet'!$AG$28="","",'Final Calculation Sheet'!$AG$28)</f>
        <v/>
      </c>
    </row>
    <row r="78" outlineLevel="1" ht="15" customHeight="1">
      <c r="A78" s="1109">
        <f>IF('Final Calculation Sheet'!$F$35="","",'Final Calculation Sheet'!$F$35)</f>
        <v/>
      </c>
      <c r="B78" s="1110">
        <f>IF('Final Calculation Sheet'!$B$35="","",'Final Calculation Sheet'!$B$35)</f>
        <v/>
      </c>
      <c r="C78" s="1109">
        <f>IF('Final Calculation Sheet'!$D$35="","",'Final Calculation Sheet'!$D$35)</f>
        <v/>
      </c>
      <c r="D78" s="1111">
        <f>IF('Final Calculation Sheet'!$A$35="","",'Final Calculation Sheet'!$A$35)</f>
        <v/>
      </c>
      <c r="E78" s="1112">
        <f>IF('Final Calculation Sheet'!$E$35="","",'Final Calculation Sheet'!$E$35)</f>
        <v/>
      </c>
      <c r="F78" s="1109">
        <f>IF('Final Calculation Sheet'!$C$35="","",'Final Calculation Sheet'!$C$35)</f>
        <v/>
      </c>
      <c r="G78" s="1109">
        <f>IF('Final Calculation Sheet'!$H$35="","",'Final Calculation Sheet'!$H$35)</f>
        <v/>
      </c>
      <c r="H78" s="1109">
        <f>IF('Final Calculation Sheet'!$I$35="","",'Final Calculation Sheet'!$I$35)</f>
        <v/>
      </c>
      <c r="I78" s="1109">
        <f>IF('Final Calculation Sheet'!$J$35="","",'Final Calculation Sheet'!$J$35)</f>
        <v/>
      </c>
      <c r="J78" s="1109">
        <f>IF('Final Calculation Sheet'!$K$35="","",'Final Calculation Sheet'!$K$35)</f>
        <v/>
      </c>
      <c r="K78" s="1113">
        <f>IF('Final Calculation Sheet'!$L$35="","",'Final Calculation Sheet'!$L$35)</f>
        <v/>
      </c>
      <c r="L78" s="1113">
        <f>IF('Final Calculation Sheet'!$M$35="","",'Final Calculation Sheet'!$M$35)</f>
        <v/>
      </c>
      <c r="M78" s="1113">
        <f>IF('Final Calculation Sheet'!$N$35="","",'Final Calculation Sheet'!$N$35)</f>
        <v/>
      </c>
      <c r="N78" s="1113">
        <f>IF('Final Calculation Sheet'!$O$35="","",'Final Calculation Sheet'!$O$35)</f>
        <v/>
      </c>
      <c r="O78" s="1109">
        <f>IF('Final Calculation Sheet'!$P$35="","",'Final Calculation Sheet'!$P$35)</f>
        <v/>
      </c>
      <c r="P78" s="1114">
        <f>IF('Final Calculation Sheet'!$Q$35="","",'Final Calculation Sheet'!$Q$35)</f>
        <v/>
      </c>
      <c r="Q78" s="1109">
        <f>IF('Final Calculation Sheet'!$R$35="","",'Final Calculation Sheet'!$R$35)</f>
        <v/>
      </c>
      <c r="R78" s="1109">
        <f>IF('Final Calculation Sheet'!$S$35="","",'Final Calculation Sheet'!$S$35)</f>
        <v/>
      </c>
      <c r="S78" s="1109">
        <f>IF('Final Calculation Sheet'!$T$35="","",'Final Calculation Sheet'!$T$35)</f>
        <v/>
      </c>
      <c r="T78" s="1109">
        <f>IF('Final Calculation Sheet'!$U$35="","",'Final Calculation Sheet'!$U$35)</f>
        <v/>
      </c>
      <c r="U78" s="1112">
        <f>IF('Final Calculation Sheet'!$V$35="","",'Final Calculation Sheet'!$V$35)</f>
        <v/>
      </c>
      <c r="V78" s="1109">
        <f>IF('Final Calculation Sheet'!$W$35="","",'Final Calculation Sheet'!$W$35)</f>
        <v/>
      </c>
      <c r="W78" s="1109">
        <f>IF('Final Calculation Sheet'!$X$35="","",'Final Calculation Sheet'!$X$35)</f>
        <v/>
      </c>
      <c r="X78" s="1112">
        <f>IF('Final Calculation Sheet'!$Y$35="","",'Final Calculation Sheet'!$Y$35)</f>
        <v/>
      </c>
      <c r="Y78" s="1109">
        <f>IF('Final Calculation Sheet'!$Z$35="","",'Final Calculation Sheet'!$Z$35)</f>
        <v/>
      </c>
      <c r="Z78" s="1109">
        <f>IF('Final Calculation Sheet'!$AA$35="","",'Final Calculation Sheet'!$AA$35)</f>
        <v/>
      </c>
      <c r="AA78" s="1112">
        <f>IF('Final Calculation Sheet'!$AB$35="","",'Final Calculation Sheet'!$AB$35)</f>
        <v/>
      </c>
      <c r="AB78" s="1109">
        <f>IF('Final Calculation Sheet'!$AC$35="","",'Final Calculation Sheet'!$AC$35)</f>
        <v/>
      </c>
      <c r="AC78" s="1109">
        <f>IF('Final Calculation Sheet'!$AD$35="","",'Final Calculation Sheet'!$AD$35)</f>
        <v/>
      </c>
      <c r="AD78" s="1112">
        <f>IF('Final Calculation Sheet'!$AD$35="","",IF('Final Calculation Sheet'!$AD$35&lt;=0,"SETTLED","OUTSTANDING"))</f>
        <v/>
      </c>
      <c r="AE78" s="1112">
        <f>IF('Final Calculation Sheet'!$AE$35="","",'Final Calculation Sheet'!$AE$35)</f>
        <v/>
      </c>
      <c r="AF78" s="1109">
        <f>IF('Final Calculation Sheet'!$AF$35="","",'Final Calculation Sheet'!$AF$35)</f>
        <v/>
      </c>
      <c r="AG78" s="1112">
        <f>IF('Final Calculation Sheet'!$AG$35="","",'Final Calculation Sheet'!$AG$35)</f>
        <v/>
      </c>
    </row>
    <row r="79" ht="20" customHeight="1">
      <c r="A79" s="1115" t="inlineStr">
        <is>
          <t>∑  WATAN SCRAP TRADERS — TOTALS</t>
        </is>
      </c>
      <c r="B79" s="758" t="inlineStr">
        <is>
          <t>–</t>
        </is>
      </c>
      <c r="C79" s="758" t="inlineStr">
        <is>
          <t>–</t>
        </is>
      </c>
      <c r="D79" s="1116">
        <f>SUM(D76:D78)</f>
        <v/>
      </c>
      <c r="E79" s="758" t="inlineStr">
        <is>
          <t>–</t>
        </is>
      </c>
      <c r="F79" s="758" t="inlineStr">
        <is>
          <t>–</t>
        </is>
      </c>
      <c r="G79" s="1117">
        <f>SUM(G76:G78)</f>
        <v/>
      </c>
      <c r="H79" s="1117">
        <f>SUM(H76:H78)</f>
        <v/>
      </c>
      <c r="I79" s="1117">
        <f>SUM(I76:I78)</f>
        <v/>
      </c>
      <c r="J79" s="1117">
        <f>SUM(J76:J78)</f>
        <v/>
      </c>
      <c r="K79" s="1118">
        <f>SUM(K76:K78)</f>
        <v/>
      </c>
      <c r="L79" s="1118">
        <f>SUM(L76:L78)</f>
        <v/>
      </c>
      <c r="M79" s="1118">
        <f>SUM(M76:M78)</f>
        <v/>
      </c>
      <c r="N79" s="1118">
        <f>SUM(N76:N78)</f>
        <v/>
      </c>
      <c r="O79" s="1117">
        <f>SUM(O76:O78)</f>
        <v/>
      </c>
      <c r="P79" s="758" t="inlineStr">
        <is>
          <t>–</t>
        </is>
      </c>
      <c r="Q79" s="1117">
        <f>SUM(Q76:Q78)</f>
        <v/>
      </c>
      <c r="R79" s="1117">
        <f>SUM(R76:R78)</f>
        <v/>
      </c>
      <c r="S79" s="1117">
        <f>SUM(S76:S78)</f>
        <v/>
      </c>
      <c r="T79" s="1117">
        <f>SUM(T76:T78)</f>
        <v/>
      </c>
      <c r="U79" s="758" t="inlineStr">
        <is>
          <t>–</t>
        </is>
      </c>
      <c r="V79" s="1117">
        <f>SUM(V76:V78)</f>
        <v/>
      </c>
      <c r="W79" s="1117">
        <f>SUM(W76:W78)</f>
        <v/>
      </c>
      <c r="X79" s="758" t="inlineStr">
        <is>
          <t>–</t>
        </is>
      </c>
      <c r="Y79" s="1117">
        <f>SUM(Y76:Y78)</f>
        <v/>
      </c>
      <c r="Z79" s="1117">
        <f>SUM(Z76:Z78)</f>
        <v/>
      </c>
      <c r="AA79" s="758" t="inlineStr">
        <is>
          <t>–</t>
        </is>
      </c>
      <c r="AB79" s="1117">
        <f>SUM(AB76:AB78)</f>
        <v/>
      </c>
      <c r="AC79" s="1117">
        <f>SUM(AC76:AC78)</f>
        <v/>
      </c>
      <c r="AD79" s="758" t="inlineStr">
        <is>
          <t>–</t>
        </is>
      </c>
      <c r="AE79" s="758" t="inlineStr">
        <is>
          <t>–</t>
        </is>
      </c>
      <c r="AF79" s="758" t="inlineStr">
        <is>
          <t>–</t>
        </is>
      </c>
      <c r="AG79" s="758" t="inlineStr">
        <is>
          <t>–</t>
        </is>
      </c>
    </row>
    <row r="80" ht="7" customHeight="1">
      <c r="A80" s="866" t="n"/>
      <c r="B80" s="866" t="n"/>
      <c r="C80" s="866" t="n"/>
      <c r="D80" s="866" t="n"/>
      <c r="E80" s="866" t="n"/>
      <c r="F80" s="866" t="n"/>
      <c r="G80" s="866" t="n"/>
      <c r="H80" s="866" t="n"/>
      <c r="I80" s="866" t="n"/>
      <c r="J80" s="866" t="n"/>
      <c r="K80" s="866" t="n"/>
      <c r="L80" s="866" t="n"/>
      <c r="M80" s="866" t="n"/>
      <c r="N80" s="866" t="n"/>
      <c r="O80" s="866" t="n"/>
      <c r="P80" s="866" t="n"/>
      <c r="Q80" s="866" t="n"/>
      <c r="R80" s="866" t="n"/>
      <c r="S80" s="866" t="n"/>
      <c r="T80" s="866" t="n"/>
      <c r="U80" s="866" t="n"/>
      <c r="V80" s="866" t="n"/>
      <c r="W80" s="866" t="n"/>
      <c r="X80" s="866" t="n"/>
      <c r="Y80" s="866" t="n"/>
      <c r="Z80" s="866" t="n"/>
      <c r="AA80" s="866" t="n"/>
      <c r="AB80" s="866" t="n"/>
      <c r="AC80" s="866" t="n"/>
      <c r="AD80" s="866" t="n"/>
      <c r="AE80" s="866" t="n"/>
      <c r="AF80" s="866" t="n"/>
      <c r="AG80" s="866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22">
      <formula>0</formula>
    </cfRule>
  </conditionalFormatting>
  <conditionalFormatting sqref="AD6:AD80">
    <cfRule type="cellIs" priority="2" operator="equal" dxfId="21">
      <formula>"SETTLED"</formula>
    </cfRule>
    <cfRule type="cellIs" priority="3" operator="equal" dxfId="22">
      <formula>"OUTSTANDING"</formula>
    </cfRule>
  </conditionalFormatting>
  <conditionalFormatting sqref="AE6:AE80">
    <cfRule type="expression" priority="4" dxfId="2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658" t="inlineStr">
        <is>
          <t>MSTC LIMITED  •  BUYER &amp; LOT LEDGER  (filter + fold)   (lots ↓ rows  |  fields → columns)</t>
        </is>
      </c>
    </row>
    <row r="2" ht="28" customHeight="1">
      <c r="A2" s="659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1185" t="inlineStr">
        <is>
          <t>LOTS VISIBLE  ▸</t>
        </is>
      </c>
      <c r="C3" s="1186">
        <f>SUBTOTAL(103,$B$7:$B$55)</f>
        <v/>
      </c>
      <c r="E3" s="1185" t="inlineStr">
        <is>
          <t>MAT. VALUE ₹  ▸</t>
        </is>
      </c>
      <c r="G3" s="1187">
        <f>SUBTOTAL(109,$H$7:$H$55)</f>
        <v/>
      </c>
      <c r="I3" s="1185" t="inlineStr">
        <is>
          <t>RECEIVABLES ₹  ▸</t>
        </is>
      </c>
      <c r="K3" s="1187">
        <f>SUBTOTAL(109,$S$7:$S$55)</f>
        <v/>
      </c>
      <c r="M3" s="1185" t="inlineStr">
        <is>
          <t>SD RECEIVED ₹  ▸</t>
        </is>
      </c>
      <c r="O3" s="1187">
        <f>SUBTOTAL(109,$U$7:$U$55)</f>
        <v/>
      </c>
      <c r="Q3" s="1185" t="inlineStr">
        <is>
          <t>FP RECEIVED ₹  ▸</t>
        </is>
      </c>
      <c r="S3" s="1187">
        <f>SUBTOTAL(109,$X$7:$X$55)</f>
        <v/>
      </c>
      <c r="U3" s="1185" t="inlineStr">
        <is>
          <t>TOTAL RECEIVED ₹  ▸</t>
        </is>
      </c>
      <c r="W3" s="1187">
        <f>SUBTOTAL(109,$AC$7:$AC$55)</f>
        <v/>
      </c>
      <c r="Y3" s="1185" t="inlineStr">
        <is>
          <t>OUTSTANDING ₹  ▸</t>
        </is>
      </c>
      <c r="AA3" s="1187">
        <f>SUBTOTAL(109,$AD$7:$AD$55)</f>
        <v/>
      </c>
    </row>
    <row r="4" ht="17" customHeight="1">
      <c r="A4" s="1188" t="inlineStr">
        <is>
          <t>IDENTITY</t>
        </is>
      </c>
      <c r="B4" s="71" t="n"/>
      <c r="C4" s="690" t="inlineStr">
        <is>
          <t>LOT INFO</t>
        </is>
      </c>
      <c r="D4" s="71" t="n"/>
      <c r="E4" s="71" t="n"/>
      <c r="F4" s="71" t="n"/>
      <c r="G4" s="71" t="n"/>
      <c r="H4" s="692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694" t="inlineStr">
        <is>
          <t>SECURITY DEPOSIT</t>
        </is>
      </c>
      <c r="U4" s="71" t="n"/>
      <c r="V4" s="71" t="n"/>
      <c r="W4" s="696" t="inlineStr">
        <is>
          <t>FINAL PAYMENT</t>
        </is>
      </c>
      <c r="X4" s="71" t="n"/>
      <c r="Y4" s="71" t="n"/>
      <c r="Z4" s="834" t="inlineStr">
        <is>
          <t>LPP</t>
        </is>
      </c>
      <c r="AA4" s="71" t="n"/>
      <c r="AB4" s="71" t="n"/>
      <c r="AC4" s="835" t="inlineStr">
        <is>
          <t>SUMMARY</t>
        </is>
      </c>
      <c r="AD4" s="71" t="n"/>
      <c r="AE4" s="71" t="n"/>
      <c r="AF4" s="836" t="inlineStr">
        <is>
          <t>DOCUMENT</t>
        </is>
      </c>
      <c r="AG4" s="71" t="n"/>
      <c r="AH4" s="71" t="n"/>
      <c r="AI4" s="1189" t="inlineStr">
        <is>
          <t>TRACE</t>
        </is>
      </c>
    </row>
    <row r="5" ht="42" customHeight="1">
      <c r="A5" s="1188" t="inlineStr">
        <is>
          <t>Buyer</t>
        </is>
      </c>
      <c r="B5" s="1188" t="inlineStr">
        <is>
          <t>Lot No.</t>
        </is>
      </c>
      <c r="C5" s="690" t="inlineStr">
        <is>
          <t>Lot Name</t>
        </is>
      </c>
      <c r="D5" s="690" t="inlineStr">
        <is>
          <t>Bid Sheet / Auction</t>
        </is>
      </c>
      <c r="E5" s="690" t="inlineStr">
        <is>
          <t>Quantity</t>
        </is>
      </c>
      <c r="F5" s="690" t="inlineStr">
        <is>
          <t>Unit</t>
        </is>
      </c>
      <c r="G5" s="690" t="inlineStr">
        <is>
          <t>Rate (₹)</t>
        </is>
      </c>
      <c r="H5" s="692" t="inlineStr">
        <is>
          <t>Mat. Value (₹)</t>
        </is>
      </c>
      <c r="I5" s="692" t="inlineStr">
        <is>
          <t>GST @ 18% (₹)</t>
        </is>
      </c>
      <c r="J5" s="692" t="inlineStr">
        <is>
          <t>Mat. Value + GST (₹)</t>
        </is>
      </c>
      <c r="K5" s="692" t="inlineStr">
        <is>
          <t>TCS @ 2% (₹)</t>
        </is>
      </c>
      <c r="L5" s="692" t="inlineStr">
        <is>
          <t>TDS u/s 194(O) (₹)</t>
        </is>
      </c>
      <c r="M5" s="692" t="inlineStr">
        <is>
          <t>Service Charge gross (₹)</t>
        </is>
      </c>
      <c r="N5" s="692" t="inlineStr">
        <is>
          <t>TDS u/s 194(H) (₹)</t>
        </is>
      </c>
      <c r="O5" s="692" t="inlineStr">
        <is>
          <t>Net Service Charge (₹)</t>
        </is>
      </c>
      <c r="P5" s="692" t="inlineStr">
        <is>
          <t>Svc Charge to MSTC (₹)</t>
        </is>
      </c>
      <c r="Q5" s="692" t="inlineStr">
        <is>
          <t>GST TDS Rate</t>
        </is>
      </c>
      <c r="R5" s="692" t="inlineStr">
        <is>
          <t>GST TDS (₹)</t>
        </is>
      </c>
      <c r="S5" s="692" t="inlineStr">
        <is>
          <t>Total Receivables (₹)</t>
        </is>
      </c>
      <c r="T5" s="694" t="inlineStr">
        <is>
          <t>SD Expected (₹)</t>
        </is>
      </c>
      <c r="U5" s="694" t="inlineStr">
        <is>
          <t>SD Received (₹)</t>
        </is>
      </c>
      <c r="V5" s="694" t="inlineStr">
        <is>
          <t>SD Receipt Date</t>
        </is>
      </c>
      <c r="W5" s="696" t="inlineStr">
        <is>
          <t>FP Expected (₹)</t>
        </is>
      </c>
      <c r="X5" s="696" t="inlineStr">
        <is>
          <t>FP Received (₹)</t>
        </is>
      </c>
      <c r="Y5" s="696" t="inlineStr">
        <is>
          <t>FP Receipt Date</t>
        </is>
      </c>
      <c r="Z5" s="834" t="inlineStr">
        <is>
          <t>LPP Expected (₹)</t>
        </is>
      </c>
      <c r="AA5" s="834" t="inlineStr">
        <is>
          <t>LPP Received (₹)</t>
        </is>
      </c>
      <c r="AB5" s="834" t="inlineStr">
        <is>
          <t>LPP Receipt Date</t>
        </is>
      </c>
      <c r="AC5" s="835" t="inlineStr">
        <is>
          <t>Total Received (₹)</t>
        </is>
      </c>
      <c r="AD5" s="835" t="inlineStr">
        <is>
          <t>Outstanding (₹)</t>
        </is>
      </c>
      <c r="AE5" s="835" t="inlineStr">
        <is>
          <t>Payment Status</t>
        </is>
      </c>
      <c r="AF5" s="836" t="inlineStr">
        <is>
          <t>Invoice No.</t>
        </is>
      </c>
      <c r="AG5" s="836" t="inlineStr">
        <is>
          <t>SAP Document</t>
        </is>
      </c>
      <c r="AH5" s="836" t="inlineStr">
        <is>
          <t>Doc./Invoice Date</t>
        </is>
      </c>
      <c r="AI5" s="1189" t="inlineStr">
        <is>
          <t>Src Row</t>
        </is>
      </c>
    </row>
    <row r="6" ht="20" customHeight="1">
      <c r="A6" s="1069" t="inlineStr">
        <is>
          <t>▼  AL HAMD TRADE CORPORATION</t>
        </is>
      </c>
      <c r="B6" s="857" t="n"/>
      <c r="C6" s="1190" t="inlineStr">
        <is>
          <t>1 lot  —  click − to fold this buyer</t>
        </is>
      </c>
      <c r="D6" s="857" t="n"/>
      <c r="E6" s="1070">
        <f>SUBTOTAL(109,E7:E7)</f>
        <v/>
      </c>
      <c r="F6" s="857" t="n"/>
      <c r="G6" s="857" t="n"/>
      <c r="H6" s="1071">
        <f>SUBTOTAL(109,H7:H7)</f>
        <v/>
      </c>
      <c r="I6" s="1071">
        <f>SUBTOTAL(109,I7:I7)</f>
        <v/>
      </c>
      <c r="J6" s="1071">
        <f>SUBTOTAL(109,J7:J7)</f>
        <v/>
      </c>
      <c r="K6" s="1071">
        <f>SUBTOTAL(109,K7:K7)</f>
        <v/>
      </c>
      <c r="L6" s="1072">
        <f>SUBTOTAL(109,L7:L7)</f>
        <v/>
      </c>
      <c r="M6" s="1072">
        <f>SUBTOTAL(109,M7:M7)</f>
        <v/>
      </c>
      <c r="N6" s="1072">
        <f>SUBTOTAL(109,N7:N7)</f>
        <v/>
      </c>
      <c r="O6" s="1072">
        <f>SUBTOTAL(109,O7:O7)</f>
        <v/>
      </c>
      <c r="P6" s="1071">
        <f>SUBTOTAL(109,P7:P7)</f>
        <v/>
      </c>
      <c r="Q6" s="857" t="n"/>
      <c r="R6" s="1071">
        <f>SUBTOTAL(109,R7:R7)</f>
        <v/>
      </c>
      <c r="S6" s="1071">
        <f>SUBTOTAL(109,S7:S7)</f>
        <v/>
      </c>
      <c r="T6" s="1071">
        <f>SUBTOTAL(109,T7:T7)</f>
        <v/>
      </c>
      <c r="U6" s="1071">
        <f>SUBTOTAL(109,U7:U7)</f>
        <v/>
      </c>
      <c r="V6" s="857" t="n"/>
      <c r="W6" s="1071">
        <f>SUBTOTAL(109,W7:W7)</f>
        <v/>
      </c>
      <c r="X6" s="1071">
        <f>SUBTOTAL(109,X7:X7)</f>
        <v/>
      </c>
      <c r="Y6" s="857" t="n"/>
      <c r="Z6" s="1071">
        <f>SUBTOTAL(109,Z7:Z7)</f>
        <v/>
      </c>
      <c r="AA6" s="1071">
        <f>SUBTOTAL(109,AA7:AA7)</f>
        <v/>
      </c>
      <c r="AB6" s="857" t="n"/>
      <c r="AC6" s="1071">
        <f>SUBTOTAL(109,AC7:AC7)</f>
        <v/>
      </c>
      <c r="AD6" s="1071">
        <f>SUBTOTAL(109,AD7:AD7)</f>
        <v/>
      </c>
      <c r="AE6" s="857" t="n"/>
      <c r="AF6" s="857" t="n"/>
      <c r="AG6" s="857" t="n"/>
      <c r="AH6" s="857" t="n"/>
      <c r="AI6" s="857" t="n"/>
    </row>
    <row r="7" outlineLevel="1" ht="15" customHeight="1">
      <c r="A7" s="1064">
        <f>IF('Final Calculation Sheet'!$G$4="","",'Final Calculation Sheet'!$G$4)</f>
        <v/>
      </c>
      <c r="B7" s="1063">
        <f>IF('Final Calculation Sheet'!$F$4="","",'Final Calculation Sheet'!$F$4)</f>
        <v/>
      </c>
      <c r="C7" s="1064">
        <f>IF('Final Calculation Sheet'!$B$4="","",'Final Calculation Sheet'!$B$4)</f>
        <v/>
      </c>
      <c r="D7" s="1063">
        <f>IF('Final Calculation Sheet'!$D$4="","",'Final Calculation Sheet'!$D$4)</f>
        <v/>
      </c>
      <c r="E7" s="1065">
        <f>IF('Final Calculation Sheet'!$A$4="","",'Final Calculation Sheet'!$A$4)</f>
        <v/>
      </c>
      <c r="F7" s="1066">
        <f>IF('Final Calculation Sheet'!$E$4="","",'Final Calculation Sheet'!$E$4)</f>
        <v/>
      </c>
      <c r="G7" s="1063">
        <f>IF('Final Calculation Sheet'!$C$4="","",'Final Calculation Sheet'!$C$4)</f>
        <v/>
      </c>
      <c r="H7" s="1063">
        <f>IF('Final Calculation Sheet'!$H$4="","",'Final Calculation Sheet'!$H$4)</f>
        <v/>
      </c>
      <c r="I7" s="1063">
        <f>IF('Final Calculation Sheet'!$I$4="","",'Final Calculation Sheet'!$I$4)</f>
        <v/>
      </c>
      <c r="J7" s="1063">
        <f>IF('Final Calculation Sheet'!$J$4="","",'Final Calculation Sheet'!$J$4)</f>
        <v/>
      </c>
      <c r="K7" s="1063">
        <f>IF('Final Calculation Sheet'!$K$4="","",'Final Calculation Sheet'!$K$4)</f>
        <v/>
      </c>
      <c r="L7" s="1067">
        <f>IF('Final Calculation Sheet'!$L$4="","",'Final Calculation Sheet'!$L$4)</f>
        <v/>
      </c>
      <c r="M7" s="1067">
        <f>IF('Final Calculation Sheet'!$M$4="","",'Final Calculation Sheet'!$M$4)</f>
        <v/>
      </c>
      <c r="N7" s="1067">
        <f>IF('Final Calculation Sheet'!$N$4="","",'Final Calculation Sheet'!$N$4)</f>
        <v/>
      </c>
      <c r="O7" s="1067">
        <f>IF('Final Calculation Sheet'!$O$4="","",'Final Calculation Sheet'!$O$4)</f>
        <v/>
      </c>
      <c r="P7" s="1063">
        <f>IF('Final Calculation Sheet'!$P$4="","",'Final Calculation Sheet'!$P$4)</f>
        <v/>
      </c>
      <c r="Q7" s="1068">
        <f>IF('Final Calculation Sheet'!$Q$4="","",'Final Calculation Sheet'!$Q$4)</f>
        <v/>
      </c>
      <c r="R7" s="1063">
        <f>IF('Final Calculation Sheet'!$R$4="","",'Final Calculation Sheet'!$R$4)</f>
        <v/>
      </c>
      <c r="S7" s="1063">
        <f>IF('Final Calculation Sheet'!$S$4="","",'Final Calculation Sheet'!$S$4)</f>
        <v/>
      </c>
      <c r="T7" s="1063">
        <f>IF('Final Calculation Sheet'!$T$4="","",'Final Calculation Sheet'!$T$4)</f>
        <v/>
      </c>
      <c r="U7" s="1063">
        <f>IF('Final Calculation Sheet'!$U$4="","",'Final Calculation Sheet'!$U$4)</f>
        <v/>
      </c>
      <c r="V7" s="1066">
        <f>IF('Final Calculation Sheet'!$V$4="","",'Final Calculation Sheet'!$V$4)</f>
        <v/>
      </c>
      <c r="W7" s="1063">
        <f>IF('Final Calculation Sheet'!$W$4="","",'Final Calculation Sheet'!$W$4)</f>
        <v/>
      </c>
      <c r="X7" s="1063">
        <f>IF('Final Calculation Sheet'!$X$4="","",'Final Calculation Sheet'!$X$4)</f>
        <v/>
      </c>
      <c r="Y7" s="1066">
        <f>IF('Final Calculation Sheet'!$Y$4="","",'Final Calculation Sheet'!$Y$4)</f>
        <v/>
      </c>
      <c r="Z7" s="1063">
        <f>IF('Final Calculation Sheet'!$Z$4="","",'Final Calculation Sheet'!$Z$4)</f>
        <v/>
      </c>
      <c r="AA7" s="1063">
        <f>IF('Final Calculation Sheet'!$AA$4="","",'Final Calculation Sheet'!$AA$4)</f>
        <v/>
      </c>
      <c r="AB7" s="1066">
        <f>IF('Final Calculation Sheet'!$AB$4="","",'Final Calculation Sheet'!$AB$4)</f>
        <v/>
      </c>
      <c r="AC7" s="1063">
        <f>IF('Final Calculation Sheet'!$AC$4="","",'Final Calculation Sheet'!$AC$4)</f>
        <v/>
      </c>
      <c r="AD7" s="1063">
        <f>IF('Final Calculation Sheet'!$AD$4="","",'Final Calculation Sheet'!$AD$4)</f>
        <v/>
      </c>
      <c r="AE7" s="1066">
        <f>IF('Final Calculation Sheet'!$AD$4="","",IF('Final Calculation Sheet'!$AD$4&lt;=0,"SETTLED","OUTSTANDING"))</f>
        <v/>
      </c>
      <c r="AF7" s="1066">
        <f>IF('Final Calculation Sheet'!$AE$4="","",'Final Calculation Sheet'!$AE$4)</f>
        <v/>
      </c>
      <c r="AG7" s="1063">
        <f>IF('Final Calculation Sheet'!$AF$4="","",'Final Calculation Sheet'!$AF$4)</f>
        <v/>
      </c>
      <c r="AH7" s="1066">
        <f>IF('Final Calculation Sheet'!$AG$4="","",'Final Calculation Sheet'!$AG$4)</f>
        <v/>
      </c>
      <c r="AI7" s="1063" t="n">
        <v>4</v>
      </c>
    </row>
    <row r="8" ht="20" customHeight="1">
      <c r="A8" s="1085" t="inlineStr">
        <is>
          <t>▼  F R KHANS ENTERPRISES</t>
        </is>
      </c>
      <c r="B8" s="868" t="n"/>
      <c r="C8" s="1191" t="inlineStr">
        <is>
          <t>2 lots  —  click − to fold this buyer</t>
        </is>
      </c>
      <c r="D8" s="868" t="n"/>
      <c r="E8" s="1086">
        <f>SUBTOTAL(109,E9:E10)</f>
        <v/>
      </c>
      <c r="F8" s="868" t="n"/>
      <c r="G8" s="868" t="n"/>
      <c r="H8" s="1087">
        <f>SUBTOTAL(109,H9:H10)</f>
        <v/>
      </c>
      <c r="I8" s="1087">
        <f>SUBTOTAL(109,I9:I10)</f>
        <v/>
      </c>
      <c r="J8" s="1087">
        <f>SUBTOTAL(109,J9:J10)</f>
        <v/>
      </c>
      <c r="K8" s="1087">
        <f>SUBTOTAL(109,K9:K10)</f>
        <v/>
      </c>
      <c r="L8" s="1088">
        <f>SUBTOTAL(109,L9:L10)</f>
        <v/>
      </c>
      <c r="M8" s="1088">
        <f>SUBTOTAL(109,M9:M10)</f>
        <v/>
      </c>
      <c r="N8" s="1088">
        <f>SUBTOTAL(109,N9:N10)</f>
        <v/>
      </c>
      <c r="O8" s="1088">
        <f>SUBTOTAL(109,O9:O10)</f>
        <v/>
      </c>
      <c r="P8" s="1087">
        <f>SUBTOTAL(109,P9:P10)</f>
        <v/>
      </c>
      <c r="Q8" s="868" t="n"/>
      <c r="R8" s="1087">
        <f>SUBTOTAL(109,R9:R10)</f>
        <v/>
      </c>
      <c r="S8" s="1087">
        <f>SUBTOTAL(109,S9:S10)</f>
        <v/>
      </c>
      <c r="T8" s="1087">
        <f>SUBTOTAL(109,T9:T10)</f>
        <v/>
      </c>
      <c r="U8" s="1087">
        <f>SUBTOTAL(109,U9:U10)</f>
        <v/>
      </c>
      <c r="V8" s="868" t="n"/>
      <c r="W8" s="1087">
        <f>SUBTOTAL(109,W9:W10)</f>
        <v/>
      </c>
      <c r="X8" s="1087">
        <f>SUBTOTAL(109,X9:X10)</f>
        <v/>
      </c>
      <c r="Y8" s="868" t="n"/>
      <c r="Z8" s="1087">
        <f>SUBTOTAL(109,Z9:Z10)</f>
        <v/>
      </c>
      <c r="AA8" s="1087">
        <f>SUBTOTAL(109,AA9:AA10)</f>
        <v/>
      </c>
      <c r="AB8" s="868" t="n"/>
      <c r="AC8" s="1087">
        <f>SUBTOTAL(109,AC9:AC10)</f>
        <v/>
      </c>
      <c r="AD8" s="1087">
        <f>SUBTOTAL(109,AD9:AD10)</f>
        <v/>
      </c>
      <c r="AE8" s="868" t="n"/>
      <c r="AF8" s="868" t="n"/>
      <c r="AG8" s="868" t="n"/>
      <c r="AH8" s="868" t="n"/>
      <c r="AI8" s="868" t="n"/>
    </row>
    <row r="9" outlineLevel="1" ht="15" customHeight="1">
      <c r="A9" s="1074">
        <f>IF('Final Calculation Sheet'!$G$6="","",'Final Calculation Sheet'!$G$6)</f>
        <v/>
      </c>
      <c r="B9" s="1073">
        <f>IF('Final Calculation Sheet'!$F$6="","",'Final Calculation Sheet'!$F$6)</f>
        <v/>
      </c>
      <c r="C9" s="1074">
        <f>IF('Final Calculation Sheet'!$B$6="","",'Final Calculation Sheet'!$B$6)</f>
        <v/>
      </c>
      <c r="D9" s="1073">
        <f>IF('Final Calculation Sheet'!$D$6="","",'Final Calculation Sheet'!$D$6)</f>
        <v/>
      </c>
      <c r="E9" s="1075">
        <f>IF('Final Calculation Sheet'!$A$6="","",'Final Calculation Sheet'!$A$6)</f>
        <v/>
      </c>
      <c r="F9" s="1076">
        <f>IF('Final Calculation Sheet'!$E$6="","",'Final Calculation Sheet'!$E$6)</f>
        <v/>
      </c>
      <c r="G9" s="1073">
        <f>IF('Final Calculation Sheet'!$C$6="","",'Final Calculation Sheet'!$C$6)</f>
        <v/>
      </c>
      <c r="H9" s="1073">
        <f>IF('Final Calculation Sheet'!$H$6="","",'Final Calculation Sheet'!$H$6)</f>
        <v/>
      </c>
      <c r="I9" s="1073">
        <f>IF('Final Calculation Sheet'!$I$6="","",'Final Calculation Sheet'!$I$6)</f>
        <v/>
      </c>
      <c r="J9" s="1073">
        <f>IF('Final Calculation Sheet'!$J$6="","",'Final Calculation Sheet'!$J$6)</f>
        <v/>
      </c>
      <c r="K9" s="1073">
        <f>IF('Final Calculation Sheet'!$K$6="","",'Final Calculation Sheet'!$K$6)</f>
        <v/>
      </c>
      <c r="L9" s="1077">
        <f>IF('Final Calculation Sheet'!$L$6="","",'Final Calculation Sheet'!$L$6)</f>
        <v/>
      </c>
      <c r="M9" s="1077">
        <f>IF('Final Calculation Sheet'!$M$6="","",'Final Calculation Sheet'!$M$6)</f>
        <v/>
      </c>
      <c r="N9" s="1077">
        <f>IF('Final Calculation Sheet'!$N$6="","",'Final Calculation Sheet'!$N$6)</f>
        <v/>
      </c>
      <c r="O9" s="1077">
        <f>IF('Final Calculation Sheet'!$O$6="","",'Final Calculation Sheet'!$O$6)</f>
        <v/>
      </c>
      <c r="P9" s="1073">
        <f>IF('Final Calculation Sheet'!$P$6="","",'Final Calculation Sheet'!$P$6)</f>
        <v/>
      </c>
      <c r="Q9" s="1078">
        <f>IF('Final Calculation Sheet'!$Q$6="","",'Final Calculation Sheet'!$Q$6)</f>
        <v/>
      </c>
      <c r="R9" s="1073">
        <f>IF('Final Calculation Sheet'!$R$6="","",'Final Calculation Sheet'!$R$6)</f>
        <v/>
      </c>
      <c r="S9" s="1073">
        <f>IF('Final Calculation Sheet'!$S$6="","",'Final Calculation Sheet'!$S$6)</f>
        <v/>
      </c>
      <c r="T9" s="1073">
        <f>IF('Final Calculation Sheet'!$T$6="","",'Final Calculation Sheet'!$T$6)</f>
        <v/>
      </c>
      <c r="U9" s="1073">
        <f>IF('Final Calculation Sheet'!$U$6="","",'Final Calculation Sheet'!$U$6)</f>
        <v/>
      </c>
      <c r="V9" s="1076">
        <f>IF('Final Calculation Sheet'!$V$6="","",'Final Calculation Sheet'!$V$6)</f>
        <v/>
      </c>
      <c r="W9" s="1073">
        <f>IF('Final Calculation Sheet'!$W$6="","",'Final Calculation Sheet'!$W$6)</f>
        <v/>
      </c>
      <c r="X9" s="1073">
        <f>IF('Final Calculation Sheet'!$X$6="","",'Final Calculation Sheet'!$X$6)</f>
        <v/>
      </c>
      <c r="Y9" s="1076">
        <f>IF('Final Calculation Sheet'!$Y$6="","",'Final Calculation Sheet'!$Y$6)</f>
        <v/>
      </c>
      <c r="Z9" s="1073">
        <f>IF('Final Calculation Sheet'!$Z$6="","",'Final Calculation Sheet'!$Z$6)</f>
        <v/>
      </c>
      <c r="AA9" s="1073">
        <f>IF('Final Calculation Sheet'!$AA$6="","",'Final Calculation Sheet'!$AA$6)</f>
        <v/>
      </c>
      <c r="AB9" s="1076">
        <f>IF('Final Calculation Sheet'!$AB$6="","",'Final Calculation Sheet'!$AB$6)</f>
        <v/>
      </c>
      <c r="AC9" s="1073">
        <f>IF('Final Calculation Sheet'!$AC$6="","",'Final Calculation Sheet'!$AC$6)</f>
        <v/>
      </c>
      <c r="AD9" s="1073">
        <f>IF('Final Calculation Sheet'!$AD$6="","",'Final Calculation Sheet'!$AD$6)</f>
        <v/>
      </c>
      <c r="AE9" s="1076">
        <f>IF('Final Calculation Sheet'!$AD$6="","",IF('Final Calculation Sheet'!$AD$6&lt;=0,"SETTLED","OUTSTANDING"))</f>
        <v/>
      </c>
      <c r="AF9" s="1076">
        <f>IF('Final Calculation Sheet'!$AE$6="","",'Final Calculation Sheet'!$AE$6)</f>
        <v/>
      </c>
      <c r="AG9" s="1073">
        <f>IF('Final Calculation Sheet'!$AF$6="","",'Final Calculation Sheet'!$AF$6)</f>
        <v/>
      </c>
      <c r="AH9" s="1076">
        <f>IF('Final Calculation Sheet'!$AG$6="","",'Final Calculation Sheet'!$AG$6)</f>
        <v/>
      </c>
      <c r="AI9" s="1073" t="n">
        <v>6</v>
      </c>
    </row>
    <row r="10" outlineLevel="1" ht="15" customHeight="1">
      <c r="A10" s="1080">
        <f>IF('Final Calculation Sheet'!$G$7="","",'Final Calculation Sheet'!$G$7)</f>
        <v/>
      </c>
      <c r="B10" s="1079">
        <f>IF('Final Calculation Sheet'!$F$7="","",'Final Calculation Sheet'!$F$7)</f>
        <v/>
      </c>
      <c r="C10" s="1080">
        <f>IF('Final Calculation Sheet'!$B$7="","",'Final Calculation Sheet'!$B$7)</f>
        <v/>
      </c>
      <c r="D10" s="1079">
        <f>IF('Final Calculation Sheet'!$D$7="","",'Final Calculation Sheet'!$D$7)</f>
        <v/>
      </c>
      <c r="E10" s="1081">
        <f>IF('Final Calculation Sheet'!$A$7="","",'Final Calculation Sheet'!$A$7)</f>
        <v/>
      </c>
      <c r="F10" s="1082">
        <f>IF('Final Calculation Sheet'!$E$7="","",'Final Calculation Sheet'!$E$7)</f>
        <v/>
      </c>
      <c r="G10" s="1079">
        <f>IF('Final Calculation Sheet'!$C$7="","",'Final Calculation Sheet'!$C$7)</f>
        <v/>
      </c>
      <c r="H10" s="1079">
        <f>IF('Final Calculation Sheet'!$H$7="","",'Final Calculation Sheet'!$H$7)</f>
        <v/>
      </c>
      <c r="I10" s="1079">
        <f>IF('Final Calculation Sheet'!$I$7="","",'Final Calculation Sheet'!$I$7)</f>
        <v/>
      </c>
      <c r="J10" s="1079">
        <f>IF('Final Calculation Sheet'!$J$7="","",'Final Calculation Sheet'!$J$7)</f>
        <v/>
      </c>
      <c r="K10" s="1079">
        <f>IF('Final Calculation Sheet'!$K$7="","",'Final Calculation Sheet'!$K$7)</f>
        <v/>
      </c>
      <c r="L10" s="1083">
        <f>IF('Final Calculation Sheet'!$L$7="","",'Final Calculation Sheet'!$L$7)</f>
        <v/>
      </c>
      <c r="M10" s="1083">
        <f>IF('Final Calculation Sheet'!$M$7="","",'Final Calculation Sheet'!$M$7)</f>
        <v/>
      </c>
      <c r="N10" s="1083">
        <f>IF('Final Calculation Sheet'!$N$7="","",'Final Calculation Sheet'!$N$7)</f>
        <v/>
      </c>
      <c r="O10" s="1083">
        <f>IF('Final Calculation Sheet'!$O$7="","",'Final Calculation Sheet'!$O$7)</f>
        <v/>
      </c>
      <c r="P10" s="1079">
        <f>IF('Final Calculation Sheet'!$P$7="","",'Final Calculation Sheet'!$P$7)</f>
        <v/>
      </c>
      <c r="Q10" s="1084">
        <f>IF('Final Calculation Sheet'!$Q$7="","",'Final Calculation Sheet'!$Q$7)</f>
        <v/>
      </c>
      <c r="R10" s="1079">
        <f>IF('Final Calculation Sheet'!$R$7="","",'Final Calculation Sheet'!$R$7)</f>
        <v/>
      </c>
      <c r="S10" s="1079">
        <f>IF('Final Calculation Sheet'!$S$7="","",'Final Calculation Sheet'!$S$7)</f>
        <v/>
      </c>
      <c r="T10" s="1079">
        <f>IF('Final Calculation Sheet'!$T$7="","",'Final Calculation Sheet'!$T$7)</f>
        <v/>
      </c>
      <c r="U10" s="1079">
        <f>IF('Final Calculation Sheet'!$U$7="","",'Final Calculation Sheet'!$U$7)</f>
        <v/>
      </c>
      <c r="V10" s="1082">
        <f>IF('Final Calculation Sheet'!$V$7="","",'Final Calculation Sheet'!$V$7)</f>
        <v/>
      </c>
      <c r="W10" s="1079">
        <f>IF('Final Calculation Sheet'!$W$7="","",'Final Calculation Sheet'!$W$7)</f>
        <v/>
      </c>
      <c r="X10" s="1079">
        <f>IF('Final Calculation Sheet'!$X$7="","",'Final Calculation Sheet'!$X$7)</f>
        <v/>
      </c>
      <c r="Y10" s="1082">
        <f>IF('Final Calculation Sheet'!$Y$7="","",'Final Calculation Sheet'!$Y$7)</f>
        <v/>
      </c>
      <c r="Z10" s="1079">
        <f>IF('Final Calculation Sheet'!$Z$7="","",'Final Calculation Sheet'!$Z$7)</f>
        <v/>
      </c>
      <c r="AA10" s="1079">
        <f>IF('Final Calculation Sheet'!$AA$7="","",'Final Calculation Sheet'!$AA$7)</f>
        <v/>
      </c>
      <c r="AB10" s="1082">
        <f>IF('Final Calculation Sheet'!$AB$7="","",'Final Calculation Sheet'!$AB$7)</f>
        <v/>
      </c>
      <c r="AC10" s="1079">
        <f>IF('Final Calculation Sheet'!$AC$7="","",'Final Calculation Sheet'!$AC$7)</f>
        <v/>
      </c>
      <c r="AD10" s="1079">
        <f>IF('Final Calculation Sheet'!$AD$7="","",'Final Calculation Sheet'!$AD$7)</f>
        <v/>
      </c>
      <c r="AE10" s="1082">
        <f>IF('Final Calculation Sheet'!$AD$7="","",IF('Final Calculation Sheet'!$AD$7&lt;=0,"SETTLED","OUTSTANDING"))</f>
        <v/>
      </c>
      <c r="AF10" s="1082">
        <f>IF('Final Calculation Sheet'!$AE$7="","",'Final Calculation Sheet'!$AE$7)</f>
        <v/>
      </c>
      <c r="AG10" s="1079">
        <f>IF('Final Calculation Sheet'!$AF$7="","",'Final Calculation Sheet'!$AF$7)</f>
        <v/>
      </c>
      <c r="AH10" s="1082">
        <f>IF('Final Calculation Sheet'!$AG$7="","",'Final Calculation Sheet'!$AG$7)</f>
        <v/>
      </c>
      <c r="AI10" s="1079" t="n">
        <v>7</v>
      </c>
    </row>
    <row r="11" ht="20" customHeight="1">
      <c r="A11" s="1095" t="inlineStr">
        <is>
          <t>▼  HIND TRADERS</t>
        </is>
      </c>
      <c r="B11" s="878" t="n"/>
      <c r="C11" s="1192" t="inlineStr">
        <is>
          <t>1 lot  —  click − to fold this buyer</t>
        </is>
      </c>
      <c r="D11" s="878" t="n"/>
      <c r="E11" s="1096">
        <f>SUBTOTAL(109,E12:E12)</f>
        <v/>
      </c>
      <c r="F11" s="878" t="n"/>
      <c r="G11" s="878" t="n"/>
      <c r="H11" s="1097">
        <f>SUBTOTAL(109,H12:H12)</f>
        <v/>
      </c>
      <c r="I11" s="1097">
        <f>SUBTOTAL(109,I12:I12)</f>
        <v/>
      </c>
      <c r="J11" s="1097">
        <f>SUBTOTAL(109,J12:J12)</f>
        <v/>
      </c>
      <c r="K11" s="1097">
        <f>SUBTOTAL(109,K12:K12)</f>
        <v/>
      </c>
      <c r="L11" s="1098">
        <f>SUBTOTAL(109,L12:L12)</f>
        <v/>
      </c>
      <c r="M11" s="1098">
        <f>SUBTOTAL(109,M12:M12)</f>
        <v/>
      </c>
      <c r="N11" s="1098">
        <f>SUBTOTAL(109,N12:N12)</f>
        <v/>
      </c>
      <c r="O11" s="1098">
        <f>SUBTOTAL(109,O12:O12)</f>
        <v/>
      </c>
      <c r="P11" s="1097">
        <f>SUBTOTAL(109,P12:P12)</f>
        <v/>
      </c>
      <c r="Q11" s="878" t="n"/>
      <c r="R11" s="1097">
        <f>SUBTOTAL(109,R12:R12)</f>
        <v/>
      </c>
      <c r="S11" s="1097">
        <f>SUBTOTAL(109,S12:S12)</f>
        <v/>
      </c>
      <c r="T11" s="1097">
        <f>SUBTOTAL(109,T12:T12)</f>
        <v/>
      </c>
      <c r="U11" s="1097">
        <f>SUBTOTAL(109,U12:U12)</f>
        <v/>
      </c>
      <c r="V11" s="878" t="n"/>
      <c r="W11" s="1097">
        <f>SUBTOTAL(109,W12:W12)</f>
        <v/>
      </c>
      <c r="X11" s="1097">
        <f>SUBTOTAL(109,X12:X12)</f>
        <v/>
      </c>
      <c r="Y11" s="878" t="n"/>
      <c r="Z11" s="1097">
        <f>SUBTOTAL(109,Z12:Z12)</f>
        <v/>
      </c>
      <c r="AA11" s="1097">
        <f>SUBTOTAL(109,AA12:AA12)</f>
        <v/>
      </c>
      <c r="AB11" s="878" t="n"/>
      <c r="AC11" s="1097">
        <f>SUBTOTAL(109,AC12:AC12)</f>
        <v/>
      </c>
      <c r="AD11" s="1097">
        <f>SUBTOTAL(109,AD12:AD12)</f>
        <v/>
      </c>
      <c r="AE11" s="878" t="n"/>
      <c r="AF11" s="878" t="n"/>
      <c r="AG11" s="878" t="n"/>
      <c r="AH11" s="878" t="n"/>
      <c r="AI11" s="878" t="n"/>
    </row>
    <row r="12" outlineLevel="1" ht="15" customHeight="1">
      <c r="A12" s="1090">
        <f>IF('Final Calculation Sheet'!$G$15="","",'Final Calculation Sheet'!$G$15)</f>
        <v/>
      </c>
      <c r="B12" s="1089">
        <f>IF('Final Calculation Sheet'!$F$15="","",'Final Calculation Sheet'!$F$15)</f>
        <v/>
      </c>
      <c r="C12" s="1090">
        <f>IF('Final Calculation Sheet'!$B$15="","",'Final Calculation Sheet'!$B$15)</f>
        <v/>
      </c>
      <c r="D12" s="1089">
        <f>IF('Final Calculation Sheet'!$D$15="","",'Final Calculation Sheet'!$D$15)</f>
        <v/>
      </c>
      <c r="E12" s="1091">
        <f>IF('Final Calculation Sheet'!$A$15="","",'Final Calculation Sheet'!$A$15)</f>
        <v/>
      </c>
      <c r="F12" s="1092">
        <f>IF('Final Calculation Sheet'!$E$15="","",'Final Calculation Sheet'!$E$15)</f>
        <v/>
      </c>
      <c r="G12" s="1089">
        <f>IF('Final Calculation Sheet'!$C$15="","",'Final Calculation Sheet'!$C$15)</f>
        <v/>
      </c>
      <c r="H12" s="1089">
        <f>IF('Final Calculation Sheet'!$H$15="","",'Final Calculation Sheet'!$H$15)</f>
        <v/>
      </c>
      <c r="I12" s="1089">
        <f>IF('Final Calculation Sheet'!$I$15="","",'Final Calculation Sheet'!$I$15)</f>
        <v/>
      </c>
      <c r="J12" s="1089">
        <f>IF('Final Calculation Sheet'!$J$15="","",'Final Calculation Sheet'!$J$15)</f>
        <v/>
      </c>
      <c r="K12" s="1089">
        <f>IF('Final Calculation Sheet'!$K$15="","",'Final Calculation Sheet'!$K$15)</f>
        <v/>
      </c>
      <c r="L12" s="1093">
        <f>IF('Final Calculation Sheet'!$L$15="","",'Final Calculation Sheet'!$L$15)</f>
        <v/>
      </c>
      <c r="M12" s="1093">
        <f>IF('Final Calculation Sheet'!$M$15="","",'Final Calculation Sheet'!$M$15)</f>
        <v/>
      </c>
      <c r="N12" s="1093">
        <f>IF('Final Calculation Sheet'!$N$15="","",'Final Calculation Sheet'!$N$15)</f>
        <v/>
      </c>
      <c r="O12" s="1093">
        <f>IF('Final Calculation Sheet'!$O$15="","",'Final Calculation Sheet'!$O$15)</f>
        <v/>
      </c>
      <c r="P12" s="1089">
        <f>IF('Final Calculation Sheet'!$P$15="","",'Final Calculation Sheet'!$P$15)</f>
        <v/>
      </c>
      <c r="Q12" s="1094">
        <f>IF('Final Calculation Sheet'!$Q$15="","",'Final Calculation Sheet'!$Q$15)</f>
        <v/>
      </c>
      <c r="R12" s="1089">
        <f>IF('Final Calculation Sheet'!$R$15="","",'Final Calculation Sheet'!$R$15)</f>
        <v/>
      </c>
      <c r="S12" s="1089">
        <f>IF('Final Calculation Sheet'!$S$15="","",'Final Calculation Sheet'!$S$15)</f>
        <v/>
      </c>
      <c r="T12" s="1089">
        <f>IF('Final Calculation Sheet'!$T$15="","",'Final Calculation Sheet'!$T$15)</f>
        <v/>
      </c>
      <c r="U12" s="1089">
        <f>IF('Final Calculation Sheet'!$U$15="","",'Final Calculation Sheet'!$U$15)</f>
        <v/>
      </c>
      <c r="V12" s="1092">
        <f>IF('Final Calculation Sheet'!$V$15="","",'Final Calculation Sheet'!$V$15)</f>
        <v/>
      </c>
      <c r="W12" s="1089">
        <f>IF('Final Calculation Sheet'!$W$15="","",'Final Calculation Sheet'!$W$15)</f>
        <v/>
      </c>
      <c r="X12" s="1089">
        <f>IF('Final Calculation Sheet'!$X$15="","",'Final Calculation Sheet'!$X$15)</f>
        <v/>
      </c>
      <c r="Y12" s="1092">
        <f>IF('Final Calculation Sheet'!$Y$15="","",'Final Calculation Sheet'!$Y$15)</f>
        <v/>
      </c>
      <c r="Z12" s="1089">
        <f>IF('Final Calculation Sheet'!$Z$15="","",'Final Calculation Sheet'!$Z$15)</f>
        <v/>
      </c>
      <c r="AA12" s="1089">
        <f>IF('Final Calculation Sheet'!$AA$15="","",'Final Calculation Sheet'!$AA$15)</f>
        <v/>
      </c>
      <c r="AB12" s="1092">
        <f>IF('Final Calculation Sheet'!$AB$15="","",'Final Calculation Sheet'!$AB$15)</f>
        <v/>
      </c>
      <c r="AC12" s="1089">
        <f>IF('Final Calculation Sheet'!$AC$15="","",'Final Calculation Sheet'!$AC$15)</f>
        <v/>
      </c>
      <c r="AD12" s="1089">
        <f>IF('Final Calculation Sheet'!$AD$15="","",'Final Calculation Sheet'!$AD$15)</f>
        <v/>
      </c>
      <c r="AE12" s="1092">
        <f>IF('Final Calculation Sheet'!$AD$15="","",IF('Final Calculation Sheet'!$AD$15&lt;=0,"SETTLED","OUTSTANDING"))</f>
        <v/>
      </c>
      <c r="AF12" s="1092">
        <f>IF('Final Calculation Sheet'!$AE$15="","",'Final Calculation Sheet'!$AE$15)</f>
        <v/>
      </c>
      <c r="AG12" s="1089">
        <f>IF('Final Calculation Sheet'!$AF$15="","",'Final Calculation Sheet'!$AF$15)</f>
        <v/>
      </c>
      <c r="AH12" s="1092">
        <f>IF('Final Calculation Sheet'!$AG$15="","",'Final Calculation Sheet'!$AG$15)</f>
        <v/>
      </c>
      <c r="AI12" s="1089" t="n">
        <v>15</v>
      </c>
    </row>
    <row r="13" ht="20" customHeight="1">
      <c r="A13" s="1105" t="inlineStr">
        <is>
          <t>▼  KASHYAP TRADING CO</t>
        </is>
      </c>
      <c r="B13" s="888" t="n"/>
      <c r="C13" s="1193" t="inlineStr">
        <is>
          <t>1 lot  —  click − to fold this buyer</t>
        </is>
      </c>
      <c r="D13" s="888" t="n"/>
      <c r="E13" s="1106">
        <f>SUBTOTAL(109,E14:E14)</f>
        <v/>
      </c>
      <c r="F13" s="888" t="n"/>
      <c r="G13" s="888" t="n"/>
      <c r="H13" s="1107">
        <f>SUBTOTAL(109,H14:H14)</f>
        <v/>
      </c>
      <c r="I13" s="1107">
        <f>SUBTOTAL(109,I14:I14)</f>
        <v/>
      </c>
      <c r="J13" s="1107">
        <f>SUBTOTAL(109,J14:J14)</f>
        <v/>
      </c>
      <c r="K13" s="1107">
        <f>SUBTOTAL(109,K14:K14)</f>
        <v/>
      </c>
      <c r="L13" s="1108">
        <f>SUBTOTAL(109,L14:L14)</f>
        <v/>
      </c>
      <c r="M13" s="1108">
        <f>SUBTOTAL(109,M14:M14)</f>
        <v/>
      </c>
      <c r="N13" s="1108">
        <f>SUBTOTAL(109,N14:N14)</f>
        <v/>
      </c>
      <c r="O13" s="1108">
        <f>SUBTOTAL(109,O14:O14)</f>
        <v/>
      </c>
      <c r="P13" s="1107">
        <f>SUBTOTAL(109,P14:P14)</f>
        <v/>
      </c>
      <c r="Q13" s="888" t="n"/>
      <c r="R13" s="1107">
        <f>SUBTOTAL(109,R14:R14)</f>
        <v/>
      </c>
      <c r="S13" s="1107">
        <f>SUBTOTAL(109,S14:S14)</f>
        <v/>
      </c>
      <c r="T13" s="1107">
        <f>SUBTOTAL(109,T14:T14)</f>
        <v/>
      </c>
      <c r="U13" s="1107">
        <f>SUBTOTAL(109,U14:U14)</f>
        <v/>
      </c>
      <c r="V13" s="888" t="n"/>
      <c r="W13" s="1107">
        <f>SUBTOTAL(109,W14:W14)</f>
        <v/>
      </c>
      <c r="X13" s="1107">
        <f>SUBTOTAL(109,X14:X14)</f>
        <v/>
      </c>
      <c r="Y13" s="888" t="n"/>
      <c r="Z13" s="1107">
        <f>SUBTOTAL(109,Z14:Z14)</f>
        <v/>
      </c>
      <c r="AA13" s="1107">
        <f>SUBTOTAL(109,AA14:AA14)</f>
        <v/>
      </c>
      <c r="AB13" s="888" t="n"/>
      <c r="AC13" s="1107">
        <f>SUBTOTAL(109,AC14:AC14)</f>
        <v/>
      </c>
      <c r="AD13" s="1107">
        <f>SUBTOTAL(109,AD14:AD14)</f>
        <v/>
      </c>
      <c r="AE13" s="888" t="n"/>
      <c r="AF13" s="888" t="n"/>
      <c r="AG13" s="888" t="n"/>
      <c r="AH13" s="888" t="n"/>
      <c r="AI13" s="888" t="n"/>
    </row>
    <row r="14" outlineLevel="1" ht="15" customHeight="1">
      <c r="A14" s="1100">
        <f>IF('Final Calculation Sheet'!$G$38="","",'Final Calculation Sheet'!$G$38)</f>
        <v/>
      </c>
      <c r="B14" s="1099">
        <f>IF('Final Calculation Sheet'!$F$38="","",'Final Calculation Sheet'!$F$38)</f>
        <v/>
      </c>
      <c r="C14" s="1100">
        <f>IF('Final Calculation Sheet'!$B$38="","",'Final Calculation Sheet'!$B$38)</f>
        <v/>
      </c>
      <c r="D14" s="1099">
        <f>IF('Final Calculation Sheet'!$D$38="","",'Final Calculation Sheet'!$D$38)</f>
        <v/>
      </c>
      <c r="E14" s="1101">
        <f>IF('Final Calculation Sheet'!$A$38="","",'Final Calculation Sheet'!$A$38)</f>
        <v/>
      </c>
      <c r="F14" s="1102">
        <f>IF('Final Calculation Sheet'!$E$38="","",'Final Calculation Sheet'!$E$38)</f>
        <v/>
      </c>
      <c r="G14" s="1099">
        <f>IF('Final Calculation Sheet'!$C$38="","",'Final Calculation Sheet'!$C$38)</f>
        <v/>
      </c>
      <c r="H14" s="1099">
        <f>IF('Final Calculation Sheet'!$H$38="","",'Final Calculation Sheet'!$H$38)</f>
        <v/>
      </c>
      <c r="I14" s="1099">
        <f>IF('Final Calculation Sheet'!$I$38="","",'Final Calculation Sheet'!$I$38)</f>
        <v/>
      </c>
      <c r="J14" s="1099">
        <f>IF('Final Calculation Sheet'!$J$38="","",'Final Calculation Sheet'!$J$38)</f>
        <v/>
      </c>
      <c r="K14" s="1099">
        <f>IF('Final Calculation Sheet'!$K$38="","",'Final Calculation Sheet'!$K$38)</f>
        <v/>
      </c>
      <c r="L14" s="1103">
        <f>IF('Final Calculation Sheet'!$L$38="","",'Final Calculation Sheet'!$L$38)</f>
        <v/>
      </c>
      <c r="M14" s="1103">
        <f>IF('Final Calculation Sheet'!$M$38="","",'Final Calculation Sheet'!$M$38)</f>
        <v/>
      </c>
      <c r="N14" s="1103">
        <f>IF('Final Calculation Sheet'!$N$38="","",'Final Calculation Sheet'!$N$38)</f>
        <v/>
      </c>
      <c r="O14" s="1103">
        <f>IF('Final Calculation Sheet'!$O$38="","",'Final Calculation Sheet'!$O$38)</f>
        <v/>
      </c>
      <c r="P14" s="1099">
        <f>IF('Final Calculation Sheet'!$P$38="","",'Final Calculation Sheet'!$P$38)</f>
        <v/>
      </c>
      <c r="Q14" s="1104">
        <f>IF('Final Calculation Sheet'!$Q$38="","",'Final Calculation Sheet'!$Q$38)</f>
        <v/>
      </c>
      <c r="R14" s="1099">
        <f>IF('Final Calculation Sheet'!$R$38="","",'Final Calculation Sheet'!$R$38)</f>
        <v/>
      </c>
      <c r="S14" s="1099">
        <f>IF('Final Calculation Sheet'!$S$38="","",'Final Calculation Sheet'!$S$38)</f>
        <v/>
      </c>
      <c r="T14" s="1099">
        <f>IF('Final Calculation Sheet'!$T$38="","",'Final Calculation Sheet'!$T$38)</f>
        <v/>
      </c>
      <c r="U14" s="1099">
        <f>IF('Final Calculation Sheet'!$U$38="","",'Final Calculation Sheet'!$U$38)</f>
        <v/>
      </c>
      <c r="V14" s="1102">
        <f>IF('Final Calculation Sheet'!$V$38="","",'Final Calculation Sheet'!$V$38)</f>
        <v/>
      </c>
      <c r="W14" s="1099">
        <f>IF('Final Calculation Sheet'!$W$38="","",'Final Calculation Sheet'!$W$38)</f>
        <v/>
      </c>
      <c r="X14" s="1099">
        <f>IF('Final Calculation Sheet'!$X$38="","",'Final Calculation Sheet'!$X$38)</f>
        <v/>
      </c>
      <c r="Y14" s="1102">
        <f>IF('Final Calculation Sheet'!$Y$38="","",'Final Calculation Sheet'!$Y$38)</f>
        <v/>
      </c>
      <c r="Z14" s="1099">
        <f>IF('Final Calculation Sheet'!$Z$38="","",'Final Calculation Sheet'!$Z$38)</f>
        <v/>
      </c>
      <c r="AA14" s="1099">
        <f>IF('Final Calculation Sheet'!$AA$38="","",'Final Calculation Sheet'!$AA$38)</f>
        <v/>
      </c>
      <c r="AB14" s="1102">
        <f>IF('Final Calculation Sheet'!$AB$38="","",'Final Calculation Sheet'!$AB$38)</f>
        <v/>
      </c>
      <c r="AC14" s="1099">
        <f>IF('Final Calculation Sheet'!$AC$38="","",'Final Calculation Sheet'!$AC$38)</f>
        <v/>
      </c>
      <c r="AD14" s="1099">
        <f>IF('Final Calculation Sheet'!$AD$38="","",'Final Calculation Sheet'!$AD$38)</f>
        <v/>
      </c>
      <c r="AE14" s="1102">
        <f>IF('Final Calculation Sheet'!$AD$38="","",IF('Final Calculation Sheet'!$AD$38&lt;=0,"SETTLED","OUTSTANDING"))</f>
        <v/>
      </c>
      <c r="AF14" s="1102">
        <f>IF('Final Calculation Sheet'!$AE$38="","",'Final Calculation Sheet'!$AE$38)</f>
        <v/>
      </c>
      <c r="AG14" s="1099">
        <f>IF('Final Calculation Sheet'!$AF$38="","",'Final Calculation Sheet'!$AF$38)</f>
        <v/>
      </c>
      <c r="AH14" s="1102">
        <f>IF('Final Calculation Sheet'!$AG$38="","",'Final Calculation Sheet'!$AG$38)</f>
        <v/>
      </c>
      <c r="AI14" s="1099" t="n">
        <v>38</v>
      </c>
    </row>
    <row r="15" ht="20" customHeight="1">
      <c r="A15" s="1115" t="inlineStr">
        <is>
          <t>▼  M I SCRAP TRADERS</t>
        </is>
      </c>
      <c r="B15" s="898" t="n"/>
      <c r="C15" s="1194" t="inlineStr">
        <is>
          <t>1 lot  —  click − to fold this buyer</t>
        </is>
      </c>
      <c r="D15" s="898" t="n"/>
      <c r="E15" s="1116">
        <f>SUBTOTAL(109,E16:E16)</f>
        <v/>
      </c>
      <c r="F15" s="898" t="n"/>
      <c r="G15" s="898" t="n"/>
      <c r="H15" s="1117">
        <f>SUBTOTAL(109,H16:H16)</f>
        <v/>
      </c>
      <c r="I15" s="1117">
        <f>SUBTOTAL(109,I16:I16)</f>
        <v/>
      </c>
      <c r="J15" s="1117">
        <f>SUBTOTAL(109,J16:J16)</f>
        <v/>
      </c>
      <c r="K15" s="1117">
        <f>SUBTOTAL(109,K16:K16)</f>
        <v/>
      </c>
      <c r="L15" s="1118">
        <f>SUBTOTAL(109,L16:L16)</f>
        <v/>
      </c>
      <c r="M15" s="1118">
        <f>SUBTOTAL(109,M16:M16)</f>
        <v/>
      </c>
      <c r="N15" s="1118">
        <f>SUBTOTAL(109,N16:N16)</f>
        <v/>
      </c>
      <c r="O15" s="1118">
        <f>SUBTOTAL(109,O16:O16)</f>
        <v/>
      </c>
      <c r="P15" s="1117">
        <f>SUBTOTAL(109,P16:P16)</f>
        <v/>
      </c>
      <c r="Q15" s="898" t="n"/>
      <c r="R15" s="1117">
        <f>SUBTOTAL(109,R16:R16)</f>
        <v/>
      </c>
      <c r="S15" s="1117">
        <f>SUBTOTAL(109,S16:S16)</f>
        <v/>
      </c>
      <c r="T15" s="1117">
        <f>SUBTOTAL(109,T16:T16)</f>
        <v/>
      </c>
      <c r="U15" s="1117">
        <f>SUBTOTAL(109,U16:U16)</f>
        <v/>
      </c>
      <c r="V15" s="898" t="n"/>
      <c r="W15" s="1117">
        <f>SUBTOTAL(109,W16:W16)</f>
        <v/>
      </c>
      <c r="X15" s="1117">
        <f>SUBTOTAL(109,X16:X16)</f>
        <v/>
      </c>
      <c r="Y15" s="898" t="n"/>
      <c r="Z15" s="1117">
        <f>SUBTOTAL(109,Z16:Z16)</f>
        <v/>
      </c>
      <c r="AA15" s="1117">
        <f>SUBTOTAL(109,AA16:AA16)</f>
        <v/>
      </c>
      <c r="AB15" s="898" t="n"/>
      <c r="AC15" s="1117">
        <f>SUBTOTAL(109,AC16:AC16)</f>
        <v/>
      </c>
      <c r="AD15" s="1117">
        <f>SUBTOTAL(109,AD16:AD16)</f>
        <v/>
      </c>
      <c r="AE15" s="898" t="n"/>
      <c r="AF15" s="898" t="n"/>
      <c r="AG15" s="898" t="n"/>
      <c r="AH15" s="898" t="n"/>
      <c r="AI15" s="898" t="n"/>
    </row>
    <row r="16" outlineLevel="1" ht="15" customHeight="1">
      <c r="A16" s="1110">
        <f>IF('Final Calculation Sheet'!$G$27="","",'Final Calculation Sheet'!$G$27)</f>
        <v/>
      </c>
      <c r="B16" s="1109">
        <f>IF('Final Calculation Sheet'!$F$27="","",'Final Calculation Sheet'!$F$27)</f>
        <v/>
      </c>
      <c r="C16" s="1110">
        <f>IF('Final Calculation Sheet'!$B$27="","",'Final Calculation Sheet'!$B$27)</f>
        <v/>
      </c>
      <c r="D16" s="1109">
        <f>IF('Final Calculation Sheet'!$D$27="","",'Final Calculation Sheet'!$D$27)</f>
        <v/>
      </c>
      <c r="E16" s="1111">
        <f>IF('Final Calculation Sheet'!$A$27="","",'Final Calculation Sheet'!$A$27)</f>
        <v/>
      </c>
      <c r="F16" s="1112">
        <f>IF('Final Calculation Sheet'!$E$27="","",'Final Calculation Sheet'!$E$27)</f>
        <v/>
      </c>
      <c r="G16" s="1109">
        <f>IF('Final Calculation Sheet'!$C$27="","",'Final Calculation Sheet'!$C$27)</f>
        <v/>
      </c>
      <c r="H16" s="1109">
        <f>IF('Final Calculation Sheet'!$H$27="","",'Final Calculation Sheet'!$H$27)</f>
        <v/>
      </c>
      <c r="I16" s="1109">
        <f>IF('Final Calculation Sheet'!$I$27="","",'Final Calculation Sheet'!$I$27)</f>
        <v/>
      </c>
      <c r="J16" s="1109">
        <f>IF('Final Calculation Sheet'!$J$27="","",'Final Calculation Sheet'!$J$27)</f>
        <v/>
      </c>
      <c r="K16" s="1109">
        <f>IF('Final Calculation Sheet'!$K$27="","",'Final Calculation Sheet'!$K$27)</f>
        <v/>
      </c>
      <c r="L16" s="1113">
        <f>IF('Final Calculation Sheet'!$L$27="","",'Final Calculation Sheet'!$L$27)</f>
        <v/>
      </c>
      <c r="M16" s="1113">
        <f>IF('Final Calculation Sheet'!$M$27="","",'Final Calculation Sheet'!$M$27)</f>
        <v/>
      </c>
      <c r="N16" s="1113">
        <f>IF('Final Calculation Sheet'!$N$27="","",'Final Calculation Sheet'!$N$27)</f>
        <v/>
      </c>
      <c r="O16" s="1113">
        <f>IF('Final Calculation Sheet'!$O$27="","",'Final Calculation Sheet'!$O$27)</f>
        <v/>
      </c>
      <c r="P16" s="1109">
        <f>IF('Final Calculation Sheet'!$P$27="","",'Final Calculation Sheet'!$P$27)</f>
        <v/>
      </c>
      <c r="Q16" s="1114">
        <f>IF('Final Calculation Sheet'!$Q$27="","",'Final Calculation Sheet'!$Q$27)</f>
        <v/>
      </c>
      <c r="R16" s="1109">
        <f>IF('Final Calculation Sheet'!$R$27="","",'Final Calculation Sheet'!$R$27)</f>
        <v/>
      </c>
      <c r="S16" s="1109">
        <f>IF('Final Calculation Sheet'!$S$27="","",'Final Calculation Sheet'!$S$27)</f>
        <v/>
      </c>
      <c r="T16" s="1109">
        <f>IF('Final Calculation Sheet'!$T$27="","",'Final Calculation Sheet'!$T$27)</f>
        <v/>
      </c>
      <c r="U16" s="1109">
        <f>IF('Final Calculation Sheet'!$U$27="","",'Final Calculation Sheet'!$U$27)</f>
        <v/>
      </c>
      <c r="V16" s="1112">
        <f>IF('Final Calculation Sheet'!$V$27="","",'Final Calculation Sheet'!$V$27)</f>
        <v/>
      </c>
      <c r="W16" s="1109">
        <f>IF('Final Calculation Sheet'!$W$27="","",'Final Calculation Sheet'!$W$27)</f>
        <v/>
      </c>
      <c r="X16" s="1109">
        <f>IF('Final Calculation Sheet'!$X$27="","",'Final Calculation Sheet'!$X$27)</f>
        <v/>
      </c>
      <c r="Y16" s="1112">
        <f>IF('Final Calculation Sheet'!$Y$27="","",'Final Calculation Sheet'!$Y$27)</f>
        <v/>
      </c>
      <c r="Z16" s="1109">
        <f>IF('Final Calculation Sheet'!$Z$27="","",'Final Calculation Sheet'!$Z$27)</f>
        <v/>
      </c>
      <c r="AA16" s="1109">
        <f>IF('Final Calculation Sheet'!$AA$27="","",'Final Calculation Sheet'!$AA$27)</f>
        <v/>
      </c>
      <c r="AB16" s="1112">
        <f>IF('Final Calculation Sheet'!$AB$27="","",'Final Calculation Sheet'!$AB$27)</f>
        <v/>
      </c>
      <c r="AC16" s="1109">
        <f>IF('Final Calculation Sheet'!$AC$27="","",'Final Calculation Sheet'!$AC$27)</f>
        <v/>
      </c>
      <c r="AD16" s="1109">
        <f>IF('Final Calculation Sheet'!$AD$27="","",'Final Calculation Sheet'!$AD$27)</f>
        <v/>
      </c>
      <c r="AE16" s="1112">
        <f>IF('Final Calculation Sheet'!$AD$27="","",IF('Final Calculation Sheet'!$AD$27&lt;=0,"SETTLED","OUTSTANDING"))</f>
        <v/>
      </c>
      <c r="AF16" s="1112">
        <f>IF('Final Calculation Sheet'!$AE$27="","",'Final Calculation Sheet'!$AE$27)</f>
        <v/>
      </c>
      <c r="AG16" s="1109">
        <f>IF('Final Calculation Sheet'!$AF$27="","",'Final Calculation Sheet'!$AF$27)</f>
        <v/>
      </c>
      <c r="AH16" s="1112">
        <f>IF('Final Calculation Sheet'!$AG$27="","",'Final Calculation Sheet'!$AG$27)</f>
        <v/>
      </c>
      <c r="AI16" s="1109" t="n">
        <v>27</v>
      </c>
    </row>
    <row r="17" ht="20" customHeight="1">
      <c r="A17" s="1131" t="inlineStr">
        <is>
          <t>▼  NATIONAL ENTERPRISES</t>
        </is>
      </c>
      <c r="B17" s="908" t="n"/>
      <c r="C17" s="1195" t="inlineStr">
        <is>
          <t>13 lots  —  click − to fold this buyer</t>
        </is>
      </c>
      <c r="D17" s="908" t="n"/>
      <c r="E17" s="1132">
        <f>SUBTOTAL(109,E18:E30)</f>
        <v/>
      </c>
      <c r="F17" s="908" t="n"/>
      <c r="G17" s="908" t="n"/>
      <c r="H17" s="1133">
        <f>SUBTOTAL(109,H18:H30)</f>
        <v/>
      </c>
      <c r="I17" s="1133">
        <f>SUBTOTAL(109,I18:I30)</f>
        <v/>
      </c>
      <c r="J17" s="1133">
        <f>SUBTOTAL(109,J18:J30)</f>
        <v/>
      </c>
      <c r="K17" s="1133">
        <f>SUBTOTAL(109,K18:K30)</f>
        <v/>
      </c>
      <c r="L17" s="1134">
        <f>SUBTOTAL(109,L18:L30)</f>
        <v/>
      </c>
      <c r="M17" s="1134">
        <f>SUBTOTAL(109,M18:M30)</f>
        <v/>
      </c>
      <c r="N17" s="1134">
        <f>SUBTOTAL(109,N18:N30)</f>
        <v/>
      </c>
      <c r="O17" s="1134">
        <f>SUBTOTAL(109,O18:O30)</f>
        <v/>
      </c>
      <c r="P17" s="1133">
        <f>SUBTOTAL(109,P18:P30)</f>
        <v/>
      </c>
      <c r="Q17" s="908" t="n"/>
      <c r="R17" s="1133">
        <f>SUBTOTAL(109,R18:R30)</f>
        <v/>
      </c>
      <c r="S17" s="1133">
        <f>SUBTOTAL(109,S18:S30)</f>
        <v/>
      </c>
      <c r="T17" s="1133">
        <f>SUBTOTAL(109,T18:T30)</f>
        <v/>
      </c>
      <c r="U17" s="1133">
        <f>SUBTOTAL(109,U18:U30)</f>
        <v/>
      </c>
      <c r="V17" s="908" t="n"/>
      <c r="W17" s="1133">
        <f>SUBTOTAL(109,W18:W30)</f>
        <v/>
      </c>
      <c r="X17" s="1133">
        <f>SUBTOTAL(109,X18:X30)</f>
        <v/>
      </c>
      <c r="Y17" s="908" t="n"/>
      <c r="Z17" s="1133">
        <f>SUBTOTAL(109,Z18:Z30)</f>
        <v/>
      </c>
      <c r="AA17" s="1133">
        <f>SUBTOTAL(109,AA18:AA30)</f>
        <v/>
      </c>
      <c r="AB17" s="908" t="n"/>
      <c r="AC17" s="1133">
        <f>SUBTOTAL(109,AC18:AC30)</f>
        <v/>
      </c>
      <c r="AD17" s="1133">
        <f>SUBTOTAL(109,AD18:AD30)</f>
        <v/>
      </c>
      <c r="AE17" s="908" t="n"/>
      <c r="AF17" s="908" t="n"/>
      <c r="AG17" s="908" t="n"/>
      <c r="AH17" s="908" t="n"/>
      <c r="AI17" s="908" t="n"/>
    </row>
    <row r="18" outlineLevel="1" ht="15" customHeight="1">
      <c r="A18" s="1120">
        <f>IF('Final Calculation Sheet'!$G$5="","",'Final Calculation Sheet'!$G$5)</f>
        <v/>
      </c>
      <c r="B18" s="1119">
        <f>IF('Final Calculation Sheet'!$F$5="","",'Final Calculation Sheet'!$F$5)</f>
        <v/>
      </c>
      <c r="C18" s="1120">
        <f>IF('Final Calculation Sheet'!$B$5="","",'Final Calculation Sheet'!$B$5)</f>
        <v/>
      </c>
      <c r="D18" s="1119">
        <f>IF('Final Calculation Sheet'!$D$5="","",'Final Calculation Sheet'!$D$5)</f>
        <v/>
      </c>
      <c r="E18" s="1121">
        <f>IF('Final Calculation Sheet'!$A$5="","",'Final Calculation Sheet'!$A$5)</f>
        <v/>
      </c>
      <c r="F18" s="1122">
        <f>IF('Final Calculation Sheet'!$E$5="","",'Final Calculation Sheet'!$E$5)</f>
        <v/>
      </c>
      <c r="G18" s="1119">
        <f>IF('Final Calculation Sheet'!$C$5="","",'Final Calculation Sheet'!$C$5)</f>
        <v/>
      </c>
      <c r="H18" s="1119">
        <f>IF('Final Calculation Sheet'!$H$5="","",'Final Calculation Sheet'!$H$5)</f>
        <v/>
      </c>
      <c r="I18" s="1119">
        <f>IF('Final Calculation Sheet'!$I$5="","",'Final Calculation Sheet'!$I$5)</f>
        <v/>
      </c>
      <c r="J18" s="1119">
        <f>IF('Final Calculation Sheet'!$J$5="","",'Final Calculation Sheet'!$J$5)</f>
        <v/>
      </c>
      <c r="K18" s="1119">
        <f>IF('Final Calculation Sheet'!$K$5="","",'Final Calculation Sheet'!$K$5)</f>
        <v/>
      </c>
      <c r="L18" s="1123">
        <f>IF('Final Calculation Sheet'!$L$5="","",'Final Calculation Sheet'!$L$5)</f>
        <v/>
      </c>
      <c r="M18" s="1123">
        <f>IF('Final Calculation Sheet'!$M$5="","",'Final Calculation Sheet'!$M$5)</f>
        <v/>
      </c>
      <c r="N18" s="1123">
        <f>IF('Final Calculation Sheet'!$N$5="","",'Final Calculation Sheet'!$N$5)</f>
        <v/>
      </c>
      <c r="O18" s="1123">
        <f>IF('Final Calculation Sheet'!$O$5="","",'Final Calculation Sheet'!$O$5)</f>
        <v/>
      </c>
      <c r="P18" s="1119">
        <f>IF('Final Calculation Sheet'!$P$5="","",'Final Calculation Sheet'!$P$5)</f>
        <v/>
      </c>
      <c r="Q18" s="1124">
        <f>IF('Final Calculation Sheet'!$Q$5="","",'Final Calculation Sheet'!$Q$5)</f>
        <v/>
      </c>
      <c r="R18" s="1119">
        <f>IF('Final Calculation Sheet'!$R$5="","",'Final Calculation Sheet'!$R$5)</f>
        <v/>
      </c>
      <c r="S18" s="1119">
        <f>IF('Final Calculation Sheet'!$S$5="","",'Final Calculation Sheet'!$S$5)</f>
        <v/>
      </c>
      <c r="T18" s="1119">
        <f>IF('Final Calculation Sheet'!$T$5="","",'Final Calculation Sheet'!$T$5)</f>
        <v/>
      </c>
      <c r="U18" s="1119">
        <f>IF('Final Calculation Sheet'!$U$5="","",'Final Calculation Sheet'!$U$5)</f>
        <v/>
      </c>
      <c r="V18" s="1122">
        <f>IF('Final Calculation Sheet'!$V$5="","",'Final Calculation Sheet'!$V$5)</f>
        <v/>
      </c>
      <c r="W18" s="1119">
        <f>IF('Final Calculation Sheet'!$W$5="","",'Final Calculation Sheet'!$W$5)</f>
        <v/>
      </c>
      <c r="X18" s="1119">
        <f>IF('Final Calculation Sheet'!$X$5="","",'Final Calculation Sheet'!$X$5)</f>
        <v/>
      </c>
      <c r="Y18" s="1122">
        <f>IF('Final Calculation Sheet'!$Y$5="","",'Final Calculation Sheet'!$Y$5)</f>
        <v/>
      </c>
      <c r="Z18" s="1119">
        <f>IF('Final Calculation Sheet'!$Z$5="","",'Final Calculation Sheet'!$Z$5)</f>
        <v/>
      </c>
      <c r="AA18" s="1119">
        <f>IF('Final Calculation Sheet'!$AA$5="","",'Final Calculation Sheet'!$AA$5)</f>
        <v/>
      </c>
      <c r="AB18" s="1122">
        <f>IF('Final Calculation Sheet'!$AB$5="","",'Final Calculation Sheet'!$AB$5)</f>
        <v/>
      </c>
      <c r="AC18" s="1119">
        <f>IF('Final Calculation Sheet'!$AC$5="","",'Final Calculation Sheet'!$AC$5)</f>
        <v/>
      </c>
      <c r="AD18" s="1119">
        <f>IF('Final Calculation Sheet'!$AD$5="","",'Final Calculation Sheet'!$AD$5)</f>
        <v/>
      </c>
      <c r="AE18" s="1122">
        <f>IF('Final Calculation Sheet'!$AD$5="","",IF('Final Calculation Sheet'!$AD$5&lt;=0,"SETTLED","OUTSTANDING"))</f>
        <v/>
      </c>
      <c r="AF18" s="1122">
        <f>IF('Final Calculation Sheet'!$AE$5="","",'Final Calculation Sheet'!$AE$5)</f>
        <v/>
      </c>
      <c r="AG18" s="1119">
        <f>IF('Final Calculation Sheet'!$AF$5="","",'Final Calculation Sheet'!$AF$5)</f>
        <v/>
      </c>
      <c r="AH18" s="1122">
        <f>IF('Final Calculation Sheet'!$AG$5="","",'Final Calculation Sheet'!$AG$5)</f>
        <v/>
      </c>
      <c r="AI18" s="1119" t="n">
        <v>5</v>
      </c>
    </row>
    <row r="19" outlineLevel="1" ht="15" customHeight="1">
      <c r="A19" s="1126">
        <f>IF('Final Calculation Sheet'!$G$10="","",'Final Calculation Sheet'!$G$10)</f>
        <v/>
      </c>
      <c r="B19" s="1125">
        <f>IF('Final Calculation Sheet'!$F$10="","",'Final Calculation Sheet'!$F$10)</f>
        <v/>
      </c>
      <c r="C19" s="1126">
        <f>IF('Final Calculation Sheet'!$B$10="","",'Final Calculation Sheet'!$B$10)</f>
        <v/>
      </c>
      <c r="D19" s="1125">
        <f>IF('Final Calculation Sheet'!$D$10="","",'Final Calculation Sheet'!$D$10)</f>
        <v/>
      </c>
      <c r="E19" s="1127">
        <f>IF('Final Calculation Sheet'!$A$10="","",'Final Calculation Sheet'!$A$10)</f>
        <v/>
      </c>
      <c r="F19" s="1128">
        <f>IF('Final Calculation Sheet'!$E$10="","",'Final Calculation Sheet'!$E$10)</f>
        <v/>
      </c>
      <c r="G19" s="1125">
        <f>IF('Final Calculation Sheet'!$C$10="","",'Final Calculation Sheet'!$C$10)</f>
        <v/>
      </c>
      <c r="H19" s="1125">
        <f>IF('Final Calculation Sheet'!$H$10="","",'Final Calculation Sheet'!$H$10)</f>
        <v/>
      </c>
      <c r="I19" s="1125">
        <f>IF('Final Calculation Sheet'!$I$10="","",'Final Calculation Sheet'!$I$10)</f>
        <v/>
      </c>
      <c r="J19" s="1125">
        <f>IF('Final Calculation Sheet'!$J$10="","",'Final Calculation Sheet'!$J$10)</f>
        <v/>
      </c>
      <c r="K19" s="1125">
        <f>IF('Final Calculation Sheet'!$K$10="","",'Final Calculation Sheet'!$K$10)</f>
        <v/>
      </c>
      <c r="L19" s="1129">
        <f>IF('Final Calculation Sheet'!$L$10="","",'Final Calculation Sheet'!$L$10)</f>
        <v/>
      </c>
      <c r="M19" s="1129">
        <f>IF('Final Calculation Sheet'!$M$10="","",'Final Calculation Sheet'!$M$10)</f>
        <v/>
      </c>
      <c r="N19" s="1129">
        <f>IF('Final Calculation Sheet'!$N$10="","",'Final Calculation Sheet'!$N$10)</f>
        <v/>
      </c>
      <c r="O19" s="1129">
        <f>IF('Final Calculation Sheet'!$O$10="","",'Final Calculation Sheet'!$O$10)</f>
        <v/>
      </c>
      <c r="P19" s="1125">
        <f>IF('Final Calculation Sheet'!$P$10="","",'Final Calculation Sheet'!$P$10)</f>
        <v/>
      </c>
      <c r="Q19" s="1130">
        <f>IF('Final Calculation Sheet'!$Q$10="","",'Final Calculation Sheet'!$Q$10)</f>
        <v/>
      </c>
      <c r="R19" s="1125">
        <f>IF('Final Calculation Sheet'!$R$10="","",'Final Calculation Sheet'!$R$10)</f>
        <v/>
      </c>
      <c r="S19" s="1125">
        <f>IF('Final Calculation Sheet'!$S$10="","",'Final Calculation Sheet'!$S$10)</f>
        <v/>
      </c>
      <c r="T19" s="1125">
        <f>IF('Final Calculation Sheet'!$T$10="","",'Final Calculation Sheet'!$T$10)</f>
        <v/>
      </c>
      <c r="U19" s="1125">
        <f>IF('Final Calculation Sheet'!$U$10="","",'Final Calculation Sheet'!$U$10)</f>
        <v/>
      </c>
      <c r="V19" s="1128">
        <f>IF('Final Calculation Sheet'!$V$10="","",'Final Calculation Sheet'!$V$10)</f>
        <v/>
      </c>
      <c r="W19" s="1125">
        <f>IF('Final Calculation Sheet'!$W$10="","",'Final Calculation Sheet'!$W$10)</f>
        <v/>
      </c>
      <c r="X19" s="1125">
        <f>IF('Final Calculation Sheet'!$X$10="","",'Final Calculation Sheet'!$X$10)</f>
        <v/>
      </c>
      <c r="Y19" s="1128">
        <f>IF('Final Calculation Sheet'!$Y$10="","",'Final Calculation Sheet'!$Y$10)</f>
        <v/>
      </c>
      <c r="Z19" s="1125">
        <f>IF('Final Calculation Sheet'!$Z$10="","",'Final Calculation Sheet'!$Z$10)</f>
        <v/>
      </c>
      <c r="AA19" s="1125">
        <f>IF('Final Calculation Sheet'!$AA$10="","",'Final Calculation Sheet'!$AA$10)</f>
        <v/>
      </c>
      <c r="AB19" s="1128">
        <f>IF('Final Calculation Sheet'!$AB$10="","",'Final Calculation Sheet'!$AB$10)</f>
        <v/>
      </c>
      <c r="AC19" s="1125">
        <f>IF('Final Calculation Sheet'!$AC$10="","",'Final Calculation Sheet'!$AC$10)</f>
        <v/>
      </c>
      <c r="AD19" s="1125">
        <f>IF('Final Calculation Sheet'!$AD$10="","",'Final Calculation Sheet'!$AD$10)</f>
        <v/>
      </c>
      <c r="AE19" s="1128">
        <f>IF('Final Calculation Sheet'!$AD$10="","",IF('Final Calculation Sheet'!$AD$10&lt;=0,"SETTLED","OUTSTANDING"))</f>
        <v/>
      </c>
      <c r="AF19" s="1128">
        <f>IF('Final Calculation Sheet'!$AE$10="","",'Final Calculation Sheet'!$AE$10)</f>
        <v/>
      </c>
      <c r="AG19" s="1125">
        <f>IF('Final Calculation Sheet'!$AF$10="","",'Final Calculation Sheet'!$AF$10)</f>
        <v/>
      </c>
      <c r="AH19" s="1128">
        <f>IF('Final Calculation Sheet'!$AG$10="","",'Final Calculation Sheet'!$AG$10)</f>
        <v/>
      </c>
      <c r="AI19" s="1125" t="n">
        <v>10</v>
      </c>
    </row>
    <row r="20" outlineLevel="1" ht="15" customHeight="1">
      <c r="A20" s="1120">
        <f>IF('Final Calculation Sheet'!$G$11="","",'Final Calculation Sheet'!$G$11)</f>
        <v/>
      </c>
      <c r="B20" s="1119">
        <f>IF('Final Calculation Sheet'!$F$11="","",'Final Calculation Sheet'!$F$11)</f>
        <v/>
      </c>
      <c r="C20" s="1120">
        <f>IF('Final Calculation Sheet'!$B$11="","",'Final Calculation Sheet'!$B$11)</f>
        <v/>
      </c>
      <c r="D20" s="1119">
        <f>IF('Final Calculation Sheet'!$D$11="","",'Final Calculation Sheet'!$D$11)</f>
        <v/>
      </c>
      <c r="E20" s="1121">
        <f>IF('Final Calculation Sheet'!$A$11="","",'Final Calculation Sheet'!$A$11)</f>
        <v/>
      </c>
      <c r="F20" s="1122">
        <f>IF('Final Calculation Sheet'!$E$11="","",'Final Calculation Sheet'!$E$11)</f>
        <v/>
      </c>
      <c r="G20" s="1119">
        <f>IF('Final Calculation Sheet'!$C$11="","",'Final Calculation Sheet'!$C$11)</f>
        <v/>
      </c>
      <c r="H20" s="1119">
        <f>IF('Final Calculation Sheet'!$H$11="","",'Final Calculation Sheet'!$H$11)</f>
        <v/>
      </c>
      <c r="I20" s="1119">
        <f>IF('Final Calculation Sheet'!$I$11="","",'Final Calculation Sheet'!$I$11)</f>
        <v/>
      </c>
      <c r="J20" s="1119">
        <f>IF('Final Calculation Sheet'!$J$11="","",'Final Calculation Sheet'!$J$11)</f>
        <v/>
      </c>
      <c r="K20" s="1119">
        <f>IF('Final Calculation Sheet'!$K$11="","",'Final Calculation Sheet'!$K$11)</f>
        <v/>
      </c>
      <c r="L20" s="1123">
        <f>IF('Final Calculation Sheet'!$L$11="","",'Final Calculation Sheet'!$L$11)</f>
        <v/>
      </c>
      <c r="M20" s="1123">
        <f>IF('Final Calculation Sheet'!$M$11="","",'Final Calculation Sheet'!$M$11)</f>
        <v/>
      </c>
      <c r="N20" s="1123">
        <f>IF('Final Calculation Sheet'!$N$11="","",'Final Calculation Sheet'!$N$11)</f>
        <v/>
      </c>
      <c r="O20" s="1123">
        <f>IF('Final Calculation Sheet'!$O$11="","",'Final Calculation Sheet'!$O$11)</f>
        <v/>
      </c>
      <c r="P20" s="1119">
        <f>IF('Final Calculation Sheet'!$P$11="","",'Final Calculation Sheet'!$P$11)</f>
        <v/>
      </c>
      <c r="Q20" s="1124">
        <f>IF('Final Calculation Sheet'!$Q$11="","",'Final Calculation Sheet'!$Q$11)</f>
        <v/>
      </c>
      <c r="R20" s="1119">
        <f>IF('Final Calculation Sheet'!$R$11="","",'Final Calculation Sheet'!$R$11)</f>
        <v/>
      </c>
      <c r="S20" s="1119">
        <f>IF('Final Calculation Sheet'!$S$11="","",'Final Calculation Sheet'!$S$11)</f>
        <v/>
      </c>
      <c r="T20" s="1119">
        <f>IF('Final Calculation Sheet'!$T$11="","",'Final Calculation Sheet'!$T$11)</f>
        <v/>
      </c>
      <c r="U20" s="1119">
        <f>IF('Final Calculation Sheet'!$U$11="","",'Final Calculation Sheet'!$U$11)</f>
        <v/>
      </c>
      <c r="V20" s="1122">
        <f>IF('Final Calculation Sheet'!$V$11="","",'Final Calculation Sheet'!$V$11)</f>
        <v/>
      </c>
      <c r="W20" s="1119">
        <f>IF('Final Calculation Sheet'!$W$11="","",'Final Calculation Sheet'!$W$11)</f>
        <v/>
      </c>
      <c r="X20" s="1119">
        <f>IF('Final Calculation Sheet'!$X$11="","",'Final Calculation Sheet'!$X$11)</f>
        <v/>
      </c>
      <c r="Y20" s="1122">
        <f>IF('Final Calculation Sheet'!$Y$11="","",'Final Calculation Sheet'!$Y$11)</f>
        <v/>
      </c>
      <c r="Z20" s="1119">
        <f>IF('Final Calculation Sheet'!$Z$11="","",'Final Calculation Sheet'!$Z$11)</f>
        <v/>
      </c>
      <c r="AA20" s="1119">
        <f>IF('Final Calculation Sheet'!$AA$11="","",'Final Calculation Sheet'!$AA$11)</f>
        <v/>
      </c>
      <c r="AB20" s="1122">
        <f>IF('Final Calculation Sheet'!$AB$11="","",'Final Calculation Sheet'!$AB$11)</f>
        <v/>
      </c>
      <c r="AC20" s="1119">
        <f>IF('Final Calculation Sheet'!$AC$11="","",'Final Calculation Sheet'!$AC$11)</f>
        <v/>
      </c>
      <c r="AD20" s="1119">
        <f>IF('Final Calculation Sheet'!$AD$11="","",'Final Calculation Sheet'!$AD$11)</f>
        <v/>
      </c>
      <c r="AE20" s="1122">
        <f>IF('Final Calculation Sheet'!$AD$11="","",IF('Final Calculation Sheet'!$AD$11&lt;=0,"SETTLED","OUTSTANDING"))</f>
        <v/>
      </c>
      <c r="AF20" s="1122">
        <f>IF('Final Calculation Sheet'!$AE$11="","",'Final Calculation Sheet'!$AE$11)</f>
        <v/>
      </c>
      <c r="AG20" s="1119">
        <f>IF('Final Calculation Sheet'!$AF$11="","",'Final Calculation Sheet'!$AF$11)</f>
        <v/>
      </c>
      <c r="AH20" s="1122">
        <f>IF('Final Calculation Sheet'!$AG$11="","",'Final Calculation Sheet'!$AG$11)</f>
        <v/>
      </c>
      <c r="AI20" s="1119" t="n">
        <v>11</v>
      </c>
    </row>
    <row r="21" outlineLevel="1" ht="15" customHeight="1">
      <c r="A21" s="1126">
        <f>IF('Final Calculation Sheet'!$G$12="","",'Final Calculation Sheet'!$G$12)</f>
        <v/>
      </c>
      <c r="B21" s="1125">
        <f>IF('Final Calculation Sheet'!$F$12="","",'Final Calculation Sheet'!$F$12)</f>
        <v/>
      </c>
      <c r="C21" s="1126">
        <f>IF('Final Calculation Sheet'!$B$12="","",'Final Calculation Sheet'!$B$12)</f>
        <v/>
      </c>
      <c r="D21" s="1125">
        <f>IF('Final Calculation Sheet'!$D$12="","",'Final Calculation Sheet'!$D$12)</f>
        <v/>
      </c>
      <c r="E21" s="1127">
        <f>IF('Final Calculation Sheet'!$A$12="","",'Final Calculation Sheet'!$A$12)</f>
        <v/>
      </c>
      <c r="F21" s="1128">
        <f>IF('Final Calculation Sheet'!$E$12="","",'Final Calculation Sheet'!$E$12)</f>
        <v/>
      </c>
      <c r="G21" s="1125">
        <f>IF('Final Calculation Sheet'!$C$12="","",'Final Calculation Sheet'!$C$12)</f>
        <v/>
      </c>
      <c r="H21" s="1125">
        <f>IF('Final Calculation Sheet'!$H$12="","",'Final Calculation Sheet'!$H$12)</f>
        <v/>
      </c>
      <c r="I21" s="1125">
        <f>IF('Final Calculation Sheet'!$I$12="","",'Final Calculation Sheet'!$I$12)</f>
        <v/>
      </c>
      <c r="J21" s="1125">
        <f>IF('Final Calculation Sheet'!$J$12="","",'Final Calculation Sheet'!$J$12)</f>
        <v/>
      </c>
      <c r="K21" s="1125">
        <f>IF('Final Calculation Sheet'!$K$12="","",'Final Calculation Sheet'!$K$12)</f>
        <v/>
      </c>
      <c r="L21" s="1129">
        <f>IF('Final Calculation Sheet'!$L$12="","",'Final Calculation Sheet'!$L$12)</f>
        <v/>
      </c>
      <c r="M21" s="1129">
        <f>IF('Final Calculation Sheet'!$M$12="","",'Final Calculation Sheet'!$M$12)</f>
        <v/>
      </c>
      <c r="N21" s="1129">
        <f>IF('Final Calculation Sheet'!$N$12="","",'Final Calculation Sheet'!$N$12)</f>
        <v/>
      </c>
      <c r="O21" s="1129">
        <f>IF('Final Calculation Sheet'!$O$12="","",'Final Calculation Sheet'!$O$12)</f>
        <v/>
      </c>
      <c r="P21" s="1125">
        <f>IF('Final Calculation Sheet'!$P$12="","",'Final Calculation Sheet'!$P$12)</f>
        <v/>
      </c>
      <c r="Q21" s="1130">
        <f>IF('Final Calculation Sheet'!$Q$12="","",'Final Calculation Sheet'!$Q$12)</f>
        <v/>
      </c>
      <c r="R21" s="1125">
        <f>IF('Final Calculation Sheet'!$R$12="","",'Final Calculation Sheet'!$R$12)</f>
        <v/>
      </c>
      <c r="S21" s="1125">
        <f>IF('Final Calculation Sheet'!$S$12="","",'Final Calculation Sheet'!$S$12)</f>
        <v/>
      </c>
      <c r="T21" s="1125">
        <f>IF('Final Calculation Sheet'!$T$12="","",'Final Calculation Sheet'!$T$12)</f>
        <v/>
      </c>
      <c r="U21" s="1125">
        <f>IF('Final Calculation Sheet'!$U$12="","",'Final Calculation Sheet'!$U$12)</f>
        <v/>
      </c>
      <c r="V21" s="1128">
        <f>IF('Final Calculation Sheet'!$V$12="","",'Final Calculation Sheet'!$V$12)</f>
        <v/>
      </c>
      <c r="W21" s="1125">
        <f>IF('Final Calculation Sheet'!$W$12="","",'Final Calculation Sheet'!$W$12)</f>
        <v/>
      </c>
      <c r="X21" s="1125">
        <f>IF('Final Calculation Sheet'!$X$12="","",'Final Calculation Sheet'!$X$12)</f>
        <v/>
      </c>
      <c r="Y21" s="1128">
        <f>IF('Final Calculation Sheet'!$Y$12="","",'Final Calculation Sheet'!$Y$12)</f>
        <v/>
      </c>
      <c r="Z21" s="1125">
        <f>IF('Final Calculation Sheet'!$Z$12="","",'Final Calculation Sheet'!$Z$12)</f>
        <v/>
      </c>
      <c r="AA21" s="1125">
        <f>IF('Final Calculation Sheet'!$AA$12="","",'Final Calculation Sheet'!$AA$12)</f>
        <v/>
      </c>
      <c r="AB21" s="1128">
        <f>IF('Final Calculation Sheet'!$AB$12="","",'Final Calculation Sheet'!$AB$12)</f>
        <v/>
      </c>
      <c r="AC21" s="1125">
        <f>IF('Final Calculation Sheet'!$AC$12="","",'Final Calculation Sheet'!$AC$12)</f>
        <v/>
      </c>
      <c r="AD21" s="1125">
        <f>IF('Final Calculation Sheet'!$AD$12="","",'Final Calculation Sheet'!$AD$12)</f>
        <v/>
      </c>
      <c r="AE21" s="1128">
        <f>IF('Final Calculation Sheet'!$AD$12="","",IF('Final Calculation Sheet'!$AD$12&lt;=0,"SETTLED","OUTSTANDING"))</f>
        <v/>
      </c>
      <c r="AF21" s="1128">
        <f>IF('Final Calculation Sheet'!$AE$12="","",'Final Calculation Sheet'!$AE$12)</f>
        <v/>
      </c>
      <c r="AG21" s="1125">
        <f>IF('Final Calculation Sheet'!$AF$12="","",'Final Calculation Sheet'!$AF$12)</f>
        <v/>
      </c>
      <c r="AH21" s="1128">
        <f>IF('Final Calculation Sheet'!$AG$12="","",'Final Calculation Sheet'!$AG$12)</f>
        <v/>
      </c>
      <c r="AI21" s="1125" t="n">
        <v>12</v>
      </c>
    </row>
    <row r="22" outlineLevel="1" ht="15" customHeight="1">
      <c r="A22" s="1120">
        <f>IF('Final Calculation Sheet'!$G$18="","",'Final Calculation Sheet'!$G$18)</f>
        <v/>
      </c>
      <c r="B22" s="1119">
        <f>IF('Final Calculation Sheet'!$F$18="","",'Final Calculation Sheet'!$F$18)</f>
        <v/>
      </c>
      <c r="C22" s="1120">
        <f>IF('Final Calculation Sheet'!$B$18="","",'Final Calculation Sheet'!$B$18)</f>
        <v/>
      </c>
      <c r="D22" s="1119">
        <f>IF('Final Calculation Sheet'!$D$18="","",'Final Calculation Sheet'!$D$18)</f>
        <v/>
      </c>
      <c r="E22" s="1121">
        <f>IF('Final Calculation Sheet'!$A$18="","",'Final Calculation Sheet'!$A$18)</f>
        <v/>
      </c>
      <c r="F22" s="1122">
        <f>IF('Final Calculation Sheet'!$E$18="","",'Final Calculation Sheet'!$E$18)</f>
        <v/>
      </c>
      <c r="G22" s="1119">
        <f>IF('Final Calculation Sheet'!$C$18="","",'Final Calculation Sheet'!$C$18)</f>
        <v/>
      </c>
      <c r="H22" s="1119">
        <f>IF('Final Calculation Sheet'!$H$18="","",'Final Calculation Sheet'!$H$18)</f>
        <v/>
      </c>
      <c r="I22" s="1119">
        <f>IF('Final Calculation Sheet'!$I$18="","",'Final Calculation Sheet'!$I$18)</f>
        <v/>
      </c>
      <c r="J22" s="1119">
        <f>IF('Final Calculation Sheet'!$J$18="","",'Final Calculation Sheet'!$J$18)</f>
        <v/>
      </c>
      <c r="K22" s="1119">
        <f>IF('Final Calculation Sheet'!$K$18="","",'Final Calculation Sheet'!$K$18)</f>
        <v/>
      </c>
      <c r="L22" s="1123">
        <f>IF('Final Calculation Sheet'!$L$18="","",'Final Calculation Sheet'!$L$18)</f>
        <v/>
      </c>
      <c r="M22" s="1123">
        <f>IF('Final Calculation Sheet'!$M$18="","",'Final Calculation Sheet'!$M$18)</f>
        <v/>
      </c>
      <c r="N22" s="1123">
        <f>IF('Final Calculation Sheet'!$N$18="","",'Final Calculation Sheet'!$N$18)</f>
        <v/>
      </c>
      <c r="O22" s="1123">
        <f>IF('Final Calculation Sheet'!$O$18="","",'Final Calculation Sheet'!$O$18)</f>
        <v/>
      </c>
      <c r="P22" s="1119">
        <f>IF('Final Calculation Sheet'!$P$18="","",'Final Calculation Sheet'!$P$18)</f>
        <v/>
      </c>
      <c r="Q22" s="1124">
        <f>IF('Final Calculation Sheet'!$Q$18="","",'Final Calculation Sheet'!$Q$18)</f>
        <v/>
      </c>
      <c r="R22" s="1119">
        <f>IF('Final Calculation Sheet'!$R$18="","",'Final Calculation Sheet'!$R$18)</f>
        <v/>
      </c>
      <c r="S22" s="1119">
        <f>IF('Final Calculation Sheet'!$S$18="","",'Final Calculation Sheet'!$S$18)</f>
        <v/>
      </c>
      <c r="T22" s="1119">
        <f>IF('Final Calculation Sheet'!$T$18="","",'Final Calculation Sheet'!$T$18)</f>
        <v/>
      </c>
      <c r="U22" s="1119">
        <f>IF('Final Calculation Sheet'!$U$18="","",'Final Calculation Sheet'!$U$18)</f>
        <v/>
      </c>
      <c r="V22" s="1122">
        <f>IF('Final Calculation Sheet'!$V$18="","",'Final Calculation Sheet'!$V$18)</f>
        <v/>
      </c>
      <c r="W22" s="1119">
        <f>IF('Final Calculation Sheet'!$W$18="","",'Final Calculation Sheet'!$W$18)</f>
        <v/>
      </c>
      <c r="X22" s="1119">
        <f>IF('Final Calculation Sheet'!$X$18="","",'Final Calculation Sheet'!$X$18)</f>
        <v/>
      </c>
      <c r="Y22" s="1122">
        <f>IF('Final Calculation Sheet'!$Y$18="","",'Final Calculation Sheet'!$Y$18)</f>
        <v/>
      </c>
      <c r="Z22" s="1119">
        <f>IF('Final Calculation Sheet'!$Z$18="","",'Final Calculation Sheet'!$Z$18)</f>
        <v/>
      </c>
      <c r="AA22" s="1119">
        <f>IF('Final Calculation Sheet'!$AA$18="","",'Final Calculation Sheet'!$AA$18)</f>
        <v/>
      </c>
      <c r="AB22" s="1122">
        <f>IF('Final Calculation Sheet'!$AB$18="","",'Final Calculation Sheet'!$AB$18)</f>
        <v/>
      </c>
      <c r="AC22" s="1119">
        <f>IF('Final Calculation Sheet'!$AC$18="","",'Final Calculation Sheet'!$AC$18)</f>
        <v/>
      </c>
      <c r="AD22" s="1119">
        <f>IF('Final Calculation Sheet'!$AD$18="","",'Final Calculation Sheet'!$AD$18)</f>
        <v/>
      </c>
      <c r="AE22" s="1122">
        <f>IF('Final Calculation Sheet'!$AD$18="","",IF('Final Calculation Sheet'!$AD$18&lt;=0,"SETTLED","OUTSTANDING"))</f>
        <v/>
      </c>
      <c r="AF22" s="1122">
        <f>IF('Final Calculation Sheet'!$AE$18="","",'Final Calculation Sheet'!$AE$18)</f>
        <v/>
      </c>
      <c r="AG22" s="1119">
        <f>IF('Final Calculation Sheet'!$AF$18="","",'Final Calculation Sheet'!$AF$18)</f>
        <v/>
      </c>
      <c r="AH22" s="1122">
        <f>IF('Final Calculation Sheet'!$AG$18="","",'Final Calculation Sheet'!$AG$18)</f>
        <v/>
      </c>
      <c r="AI22" s="1119" t="n">
        <v>18</v>
      </c>
    </row>
    <row r="23" outlineLevel="1" ht="15" customHeight="1">
      <c r="A23" s="1126">
        <f>IF('Final Calculation Sheet'!$G$19="","",'Final Calculation Sheet'!$G$19)</f>
        <v/>
      </c>
      <c r="B23" s="1125">
        <f>IF('Final Calculation Sheet'!$F$19="","",'Final Calculation Sheet'!$F$19)</f>
        <v/>
      </c>
      <c r="C23" s="1126">
        <f>IF('Final Calculation Sheet'!$B$19="","",'Final Calculation Sheet'!$B$19)</f>
        <v/>
      </c>
      <c r="D23" s="1125">
        <f>IF('Final Calculation Sheet'!$D$19="","",'Final Calculation Sheet'!$D$19)</f>
        <v/>
      </c>
      <c r="E23" s="1127">
        <f>IF('Final Calculation Sheet'!$A$19="","",'Final Calculation Sheet'!$A$19)</f>
        <v/>
      </c>
      <c r="F23" s="1128">
        <f>IF('Final Calculation Sheet'!$E$19="","",'Final Calculation Sheet'!$E$19)</f>
        <v/>
      </c>
      <c r="G23" s="1125">
        <f>IF('Final Calculation Sheet'!$C$19="","",'Final Calculation Sheet'!$C$19)</f>
        <v/>
      </c>
      <c r="H23" s="1125">
        <f>IF('Final Calculation Sheet'!$H$19="","",'Final Calculation Sheet'!$H$19)</f>
        <v/>
      </c>
      <c r="I23" s="1125">
        <f>IF('Final Calculation Sheet'!$I$19="","",'Final Calculation Sheet'!$I$19)</f>
        <v/>
      </c>
      <c r="J23" s="1125">
        <f>IF('Final Calculation Sheet'!$J$19="","",'Final Calculation Sheet'!$J$19)</f>
        <v/>
      </c>
      <c r="K23" s="1125">
        <f>IF('Final Calculation Sheet'!$K$19="","",'Final Calculation Sheet'!$K$19)</f>
        <v/>
      </c>
      <c r="L23" s="1129">
        <f>IF('Final Calculation Sheet'!$L$19="","",'Final Calculation Sheet'!$L$19)</f>
        <v/>
      </c>
      <c r="M23" s="1129">
        <f>IF('Final Calculation Sheet'!$M$19="","",'Final Calculation Sheet'!$M$19)</f>
        <v/>
      </c>
      <c r="N23" s="1129">
        <f>IF('Final Calculation Sheet'!$N$19="","",'Final Calculation Sheet'!$N$19)</f>
        <v/>
      </c>
      <c r="O23" s="1129">
        <f>IF('Final Calculation Sheet'!$O$19="","",'Final Calculation Sheet'!$O$19)</f>
        <v/>
      </c>
      <c r="P23" s="1125">
        <f>IF('Final Calculation Sheet'!$P$19="","",'Final Calculation Sheet'!$P$19)</f>
        <v/>
      </c>
      <c r="Q23" s="1130">
        <f>IF('Final Calculation Sheet'!$Q$19="","",'Final Calculation Sheet'!$Q$19)</f>
        <v/>
      </c>
      <c r="R23" s="1125">
        <f>IF('Final Calculation Sheet'!$R$19="","",'Final Calculation Sheet'!$R$19)</f>
        <v/>
      </c>
      <c r="S23" s="1125">
        <f>IF('Final Calculation Sheet'!$S$19="","",'Final Calculation Sheet'!$S$19)</f>
        <v/>
      </c>
      <c r="T23" s="1125">
        <f>IF('Final Calculation Sheet'!$T$19="","",'Final Calculation Sheet'!$T$19)</f>
        <v/>
      </c>
      <c r="U23" s="1125">
        <f>IF('Final Calculation Sheet'!$U$19="","",'Final Calculation Sheet'!$U$19)</f>
        <v/>
      </c>
      <c r="V23" s="1128">
        <f>IF('Final Calculation Sheet'!$V$19="","",'Final Calculation Sheet'!$V$19)</f>
        <v/>
      </c>
      <c r="W23" s="1125">
        <f>IF('Final Calculation Sheet'!$W$19="","",'Final Calculation Sheet'!$W$19)</f>
        <v/>
      </c>
      <c r="X23" s="1125">
        <f>IF('Final Calculation Sheet'!$X$19="","",'Final Calculation Sheet'!$X$19)</f>
        <v/>
      </c>
      <c r="Y23" s="1128">
        <f>IF('Final Calculation Sheet'!$Y$19="","",'Final Calculation Sheet'!$Y$19)</f>
        <v/>
      </c>
      <c r="Z23" s="1125">
        <f>IF('Final Calculation Sheet'!$Z$19="","",'Final Calculation Sheet'!$Z$19)</f>
        <v/>
      </c>
      <c r="AA23" s="1125">
        <f>IF('Final Calculation Sheet'!$AA$19="","",'Final Calculation Sheet'!$AA$19)</f>
        <v/>
      </c>
      <c r="AB23" s="1128">
        <f>IF('Final Calculation Sheet'!$AB$19="","",'Final Calculation Sheet'!$AB$19)</f>
        <v/>
      </c>
      <c r="AC23" s="1125">
        <f>IF('Final Calculation Sheet'!$AC$19="","",'Final Calculation Sheet'!$AC$19)</f>
        <v/>
      </c>
      <c r="AD23" s="1125">
        <f>IF('Final Calculation Sheet'!$AD$19="","",'Final Calculation Sheet'!$AD$19)</f>
        <v/>
      </c>
      <c r="AE23" s="1128">
        <f>IF('Final Calculation Sheet'!$AD$19="","",IF('Final Calculation Sheet'!$AD$19&lt;=0,"SETTLED","OUTSTANDING"))</f>
        <v/>
      </c>
      <c r="AF23" s="1128">
        <f>IF('Final Calculation Sheet'!$AE$19="","",'Final Calculation Sheet'!$AE$19)</f>
        <v/>
      </c>
      <c r="AG23" s="1125">
        <f>IF('Final Calculation Sheet'!$AF$19="","",'Final Calculation Sheet'!$AF$19)</f>
        <v/>
      </c>
      <c r="AH23" s="1128">
        <f>IF('Final Calculation Sheet'!$AG$19="","",'Final Calculation Sheet'!$AG$19)</f>
        <v/>
      </c>
      <c r="AI23" s="1125" t="n">
        <v>19</v>
      </c>
    </row>
    <row r="24" outlineLevel="1" ht="15" customHeight="1">
      <c r="A24" s="1120">
        <f>IF('Final Calculation Sheet'!$G$22="","",'Final Calculation Sheet'!$G$22)</f>
        <v/>
      </c>
      <c r="B24" s="1119">
        <f>IF('Final Calculation Sheet'!$F$22="","",'Final Calculation Sheet'!$F$22)</f>
        <v/>
      </c>
      <c r="C24" s="1120">
        <f>IF('Final Calculation Sheet'!$B$22="","",'Final Calculation Sheet'!$B$22)</f>
        <v/>
      </c>
      <c r="D24" s="1119">
        <f>IF('Final Calculation Sheet'!$D$22="","",'Final Calculation Sheet'!$D$22)</f>
        <v/>
      </c>
      <c r="E24" s="1121">
        <f>IF('Final Calculation Sheet'!$A$22="","",'Final Calculation Sheet'!$A$22)</f>
        <v/>
      </c>
      <c r="F24" s="1122">
        <f>IF('Final Calculation Sheet'!$E$22="","",'Final Calculation Sheet'!$E$22)</f>
        <v/>
      </c>
      <c r="G24" s="1119">
        <f>IF('Final Calculation Sheet'!$C$22="","",'Final Calculation Sheet'!$C$22)</f>
        <v/>
      </c>
      <c r="H24" s="1119">
        <f>IF('Final Calculation Sheet'!$H$22="","",'Final Calculation Sheet'!$H$22)</f>
        <v/>
      </c>
      <c r="I24" s="1119">
        <f>IF('Final Calculation Sheet'!$I$22="","",'Final Calculation Sheet'!$I$22)</f>
        <v/>
      </c>
      <c r="J24" s="1119">
        <f>IF('Final Calculation Sheet'!$J$22="","",'Final Calculation Sheet'!$J$22)</f>
        <v/>
      </c>
      <c r="K24" s="1119">
        <f>IF('Final Calculation Sheet'!$K$22="","",'Final Calculation Sheet'!$K$22)</f>
        <v/>
      </c>
      <c r="L24" s="1123">
        <f>IF('Final Calculation Sheet'!$L$22="","",'Final Calculation Sheet'!$L$22)</f>
        <v/>
      </c>
      <c r="M24" s="1123">
        <f>IF('Final Calculation Sheet'!$M$22="","",'Final Calculation Sheet'!$M$22)</f>
        <v/>
      </c>
      <c r="N24" s="1123">
        <f>IF('Final Calculation Sheet'!$N$22="","",'Final Calculation Sheet'!$N$22)</f>
        <v/>
      </c>
      <c r="O24" s="1123">
        <f>IF('Final Calculation Sheet'!$O$22="","",'Final Calculation Sheet'!$O$22)</f>
        <v/>
      </c>
      <c r="P24" s="1119">
        <f>IF('Final Calculation Sheet'!$P$22="","",'Final Calculation Sheet'!$P$22)</f>
        <v/>
      </c>
      <c r="Q24" s="1124">
        <f>IF('Final Calculation Sheet'!$Q$22="","",'Final Calculation Sheet'!$Q$22)</f>
        <v/>
      </c>
      <c r="R24" s="1119">
        <f>IF('Final Calculation Sheet'!$R$22="","",'Final Calculation Sheet'!$R$22)</f>
        <v/>
      </c>
      <c r="S24" s="1119">
        <f>IF('Final Calculation Sheet'!$S$22="","",'Final Calculation Sheet'!$S$22)</f>
        <v/>
      </c>
      <c r="T24" s="1119">
        <f>IF('Final Calculation Sheet'!$T$22="","",'Final Calculation Sheet'!$T$22)</f>
        <v/>
      </c>
      <c r="U24" s="1119">
        <f>IF('Final Calculation Sheet'!$U$22="","",'Final Calculation Sheet'!$U$22)</f>
        <v/>
      </c>
      <c r="V24" s="1122">
        <f>IF('Final Calculation Sheet'!$V$22="","",'Final Calculation Sheet'!$V$22)</f>
        <v/>
      </c>
      <c r="W24" s="1119">
        <f>IF('Final Calculation Sheet'!$W$22="","",'Final Calculation Sheet'!$W$22)</f>
        <v/>
      </c>
      <c r="X24" s="1119">
        <f>IF('Final Calculation Sheet'!$X$22="","",'Final Calculation Sheet'!$X$22)</f>
        <v/>
      </c>
      <c r="Y24" s="1122">
        <f>IF('Final Calculation Sheet'!$Y$22="","",'Final Calculation Sheet'!$Y$22)</f>
        <v/>
      </c>
      <c r="Z24" s="1119">
        <f>IF('Final Calculation Sheet'!$Z$22="","",'Final Calculation Sheet'!$Z$22)</f>
        <v/>
      </c>
      <c r="AA24" s="1119">
        <f>IF('Final Calculation Sheet'!$AA$22="","",'Final Calculation Sheet'!$AA$22)</f>
        <v/>
      </c>
      <c r="AB24" s="1122">
        <f>IF('Final Calculation Sheet'!$AB$22="","",'Final Calculation Sheet'!$AB$22)</f>
        <v/>
      </c>
      <c r="AC24" s="1119">
        <f>IF('Final Calculation Sheet'!$AC$22="","",'Final Calculation Sheet'!$AC$22)</f>
        <v/>
      </c>
      <c r="AD24" s="1119">
        <f>IF('Final Calculation Sheet'!$AD$22="","",'Final Calculation Sheet'!$AD$22)</f>
        <v/>
      </c>
      <c r="AE24" s="1122">
        <f>IF('Final Calculation Sheet'!$AD$22="","",IF('Final Calculation Sheet'!$AD$22&lt;=0,"SETTLED","OUTSTANDING"))</f>
        <v/>
      </c>
      <c r="AF24" s="1122">
        <f>IF('Final Calculation Sheet'!$AE$22="","",'Final Calculation Sheet'!$AE$22)</f>
        <v/>
      </c>
      <c r="AG24" s="1119">
        <f>IF('Final Calculation Sheet'!$AF$22="","",'Final Calculation Sheet'!$AF$22)</f>
        <v/>
      </c>
      <c r="AH24" s="1122">
        <f>IF('Final Calculation Sheet'!$AG$22="","",'Final Calculation Sheet'!$AG$22)</f>
        <v/>
      </c>
      <c r="AI24" s="1119" t="n">
        <v>22</v>
      </c>
    </row>
    <row r="25" outlineLevel="1" ht="15" customHeight="1">
      <c r="A25" s="1126">
        <f>IF('Final Calculation Sheet'!$G$24="","",'Final Calculation Sheet'!$G$24)</f>
        <v/>
      </c>
      <c r="B25" s="1125">
        <f>IF('Final Calculation Sheet'!$F$24="","",'Final Calculation Sheet'!$F$24)</f>
        <v/>
      </c>
      <c r="C25" s="1126">
        <f>IF('Final Calculation Sheet'!$B$24="","",'Final Calculation Sheet'!$B$24)</f>
        <v/>
      </c>
      <c r="D25" s="1125">
        <f>IF('Final Calculation Sheet'!$D$24="","",'Final Calculation Sheet'!$D$24)</f>
        <v/>
      </c>
      <c r="E25" s="1127">
        <f>IF('Final Calculation Sheet'!$A$24="","",'Final Calculation Sheet'!$A$24)</f>
        <v/>
      </c>
      <c r="F25" s="1128">
        <f>IF('Final Calculation Sheet'!$E$24="","",'Final Calculation Sheet'!$E$24)</f>
        <v/>
      </c>
      <c r="G25" s="1125">
        <f>IF('Final Calculation Sheet'!$C$24="","",'Final Calculation Sheet'!$C$24)</f>
        <v/>
      </c>
      <c r="H25" s="1125">
        <f>IF('Final Calculation Sheet'!$H$24="","",'Final Calculation Sheet'!$H$24)</f>
        <v/>
      </c>
      <c r="I25" s="1125">
        <f>IF('Final Calculation Sheet'!$I$24="","",'Final Calculation Sheet'!$I$24)</f>
        <v/>
      </c>
      <c r="J25" s="1125">
        <f>IF('Final Calculation Sheet'!$J$24="","",'Final Calculation Sheet'!$J$24)</f>
        <v/>
      </c>
      <c r="K25" s="1125">
        <f>IF('Final Calculation Sheet'!$K$24="","",'Final Calculation Sheet'!$K$24)</f>
        <v/>
      </c>
      <c r="L25" s="1129">
        <f>IF('Final Calculation Sheet'!$L$24="","",'Final Calculation Sheet'!$L$24)</f>
        <v/>
      </c>
      <c r="M25" s="1129">
        <f>IF('Final Calculation Sheet'!$M$24="","",'Final Calculation Sheet'!$M$24)</f>
        <v/>
      </c>
      <c r="N25" s="1129">
        <f>IF('Final Calculation Sheet'!$N$24="","",'Final Calculation Sheet'!$N$24)</f>
        <v/>
      </c>
      <c r="O25" s="1129">
        <f>IF('Final Calculation Sheet'!$O$24="","",'Final Calculation Sheet'!$O$24)</f>
        <v/>
      </c>
      <c r="P25" s="1125">
        <f>IF('Final Calculation Sheet'!$P$24="","",'Final Calculation Sheet'!$P$24)</f>
        <v/>
      </c>
      <c r="Q25" s="1130">
        <f>IF('Final Calculation Sheet'!$Q$24="","",'Final Calculation Sheet'!$Q$24)</f>
        <v/>
      </c>
      <c r="R25" s="1125">
        <f>IF('Final Calculation Sheet'!$R$24="","",'Final Calculation Sheet'!$R$24)</f>
        <v/>
      </c>
      <c r="S25" s="1125">
        <f>IF('Final Calculation Sheet'!$S$24="","",'Final Calculation Sheet'!$S$24)</f>
        <v/>
      </c>
      <c r="T25" s="1125">
        <f>IF('Final Calculation Sheet'!$T$24="","",'Final Calculation Sheet'!$T$24)</f>
        <v/>
      </c>
      <c r="U25" s="1125">
        <f>IF('Final Calculation Sheet'!$U$24="","",'Final Calculation Sheet'!$U$24)</f>
        <v/>
      </c>
      <c r="V25" s="1128">
        <f>IF('Final Calculation Sheet'!$V$24="","",'Final Calculation Sheet'!$V$24)</f>
        <v/>
      </c>
      <c r="W25" s="1125">
        <f>IF('Final Calculation Sheet'!$W$24="","",'Final Calculation Sheet'!$W$24)</f>
        <v/>
      </c>
      <c r="X25" s="1125">
        <f>IF('Final Calculation Sheet'!$X$24="","",'Final Calculation Sheet'!$X$24)</f>
        <v/>
      </c>
      <c r="Y25" s="1128">
        <f>IF('Final Calculation Sheet'!$Y$24="","",'Final Calculation Sheet'!$Y$24)</f>
        <v/>
      </c>
      <c r="Z25" s="1125">
        <f>IF('Final Calculation Sheet'!$Z$24="","",'Final Calculation Sheet'!$Z$24)</f>
        <v/>
      </c>
      <c r="AA25" s="1125">
        <f>IF('Final Calculation Sheet'!$AA$24="","",'Final Calculation Sheet'!$AA$24)</f>
        <v/>
      </c>
      <c r="AB25" s="1128">
        <f>IF('Final Calculation Sheet'!$AB$24="","",'Final Calculation Sheet'!$AB$24)</f>
        <v/>
      </c>
      <c r="AC25" s="1125">
        <f>IF('Final Calculation Sheet'!$AC$24="","",'Final Calculation Sheet'!$AC$24)</f>
        <v/>
      </c>
      <c r="AD25" s="1125">
        <f>IF('Final Calculation Sheet'!$AD$24="","",'Final Calculation Sheet'!$AD$24)</f>
        <v/>
      </c>
      <c r="AE25" s="1128">
        <f>IF('Final Calculation Sheet'!$AD$24="","",IF('Final Calculation Sheet'!$AD$24&lt;=0,"SETTLED","OUTSTANDING"))</f>
        <v/>
      </c>
      <c r="AF25" s="1128">
        <f>IF('Final Calculation Sheet'!$AE$24="","",'Final Calculation Sheet'!$AE$24)</f>
        <v/>
      </c>
      <c r="AG25" s="1125">
        <f>IF('Final Calculation Sheet'!$AF$24="","",'Final Calculation Sheet'!$AF$24)</f>
        <v/>
      </c>
      <c r="AH25" s="1128">
        <f>IF('Final Calculation Sheet'!$AG$24="","",'Final Calculation Sheet'!$AG$24)</f>
        <v/>
      </c>
      <c r="AI25" s="1125" t="n">
        <v>24</v>
      </c>
    </row>
    <row r="26" outlineLevel="1" ht="15" customHeight="1">
      <c r="A26" s="1120">
        <f>IF('Final Calculation Sheet'!$G$26="","",'Final Calculation Sheet'!$G$26)</f>
        <v/>
      </c>
      <c r="B26" s="1119">
        <f>IF('Final Calculation Sheet'!$F$26="","",'Final Calculation Sheet'!$F$26)</f>
        <v/>
      </c>
      <c r="C26" s="1120">
        <f>IF('Final Calculation Sheet'!$B$26="","",'Final Calculation Sheet'!$B$26)</f>
        <v/>
      </c>
      <c r="D26" s="1119">
        <f>IF('Final Calculation Sheet'!$D$26="","",'Final Calculation Sheet'!$D$26)</f>
        <v/>
      </c>
      <c r="E26" s="1121">
        <f>IF('Final Calculation Sheet'!$A$26="","",'Final Calculation Sheet'!$A$26)</f>
        <v/>
      </c>
      <c r="F26" s="1122">
        <f>IF('Final Calculation Sheet'!$E$26="","",'Final Calculation Sheet'!$E$26)</f>
        <v/>
      </c>
      <c r="G26" s="1119">
        <f>IF('Final Calculation Sheet'!$C$26="","",'Final Calculation Sheet'!$C$26)</f>
        <v/>
      </c>
      <c r="H26" s="1119">
        <f>IF('Final Calculation Sheet'!$H$26="","",'Final Calculation Sheet'!$H$26)</f>
        <v/>
      </c>
      <c r="I26" s="1119">
        <f>IF('Final Calculation Sheet'!$I$26="","",'Final Calculation Sheet'!$I$26)</f>
        <v/>
      </c>
      <c r="J26" s="1119">
        <f>IF('Final Calculation Sheet'!$J$26="","",'Final Calculation Sheet'!$J$26)</f>
        <v/>
      </c>
      <c r="K26" s="1119">
        <f>IF('Final Calculation Sheet'!$K$26="","",'Final Calculation Sheet'!$K$26)</f>
        <v/>
      </c>
      <c r="L26" s="1123">
        <f>IF('Final Calculation Sheet'!$L$26="","",'Final Calculation Sheet'!$L$26)</f>
        <v/>
      </c>
      <c r="M26" s="1123">
        <f>IF('Final Calculation Sheet'!$M$26="","",'Final Calculation Sheet'!$M$26)</f>
        <v/>
      </c>
      <c r="N26" s="1123">
        <f>IF('Final Calculation Sheet'!$N$26="","",'Final Calculation Sheet'!$N$26)</f>
        <v/>
      </c>
      <c r="O26" s="1123">
        <f>IF('Final Calculation Sheet'!$O$26="","",'Final Calculation Sheet'!$O$26)</f>
        <v/>
      </c>
      <c r="P26" s="1119">
        <f>IF('Final Calculation Sheet'!$P$26="","",'Final Calculation Sheet'!$P$26)</f>
        <v/>
      </c>
      <c r="Q26" s="1124">
        <f>IF('Final Calculation Sheet'!$Q$26="","",'Final Calculation Sheet'!$Q$26)</f>
        <v/>
      </c>
      <c r="R26" s="1119">
        <f>IF('Final Calculation Sheet'!$R$26="","",'Final Calculation Sheet'!$R$26)</f>
        <v/>
      </c>
      <c r="S26" s="1119">
        <f>IF('Final Calculation Sheet'!$S$26="","",'Final Calculation Sheet'!$S$26)</f>
        <v/>
      </c>
      <c r="T26" s="1119">
        <f>IF('Final Calculation Sheet'!$T$26="","",'Final Calculation Sheet'!$T$26)</f>
        <v/>
      </c>
      <c r="U26" s="1119">
        <f>IF('Final Calculation Sheet'!$U$26="","",'Final Calculation Sheet'!$U$26)</f>
        <v/>
      </c>
      <c r="V26" s="1122">
        <f>IF('Final Calculation Sheet'!$V$26="","",'Final Calculation Sheet'!$V$26)</f>
        <v/>
      </c>
      <c r="W26" s="1119">
        <f>IF('Final Calculation Sheet'!$W$26="","",'Final Calculation Sheet'!$W$26)</f>
        <v/>
      </c>
      <c r="X26" s="1119">
        <f>IF('Final Calculation Sheet'!$X$26="","",'Final Calculation Sheet'!$X$26)</f>
        <v/>
      </c>
      <c r="Y26" s="1122">
        <f>IF('Final Calculation Sheet'!$Y$26="","",'Final Calculation Sheet'!$Y$26)</f>
        <v/>
      </c>
      <c r="Z26" s="1119">
        <f>IF('Final Calculation Sheet'!$Z$26="","",'Final Calculation Sheet'!$Z$26)</f>
        <v/>
      </c>
      <c r="AA26" s="1119">
        <f>IF('Final Calculation Sheet'!$AA$26="","",'Final Calculation Sheet'!$AA$26)</f>
        <v/>
      </c>
      <c r="AB26" s="1122">
        <f>IF('Final Calculation Sheet'!$AB$26="","",'Final Calculation Sheet'!$AB$26)</f>
        <v/>
      </c>
      <c r="AC26" s="1119">
        <f>IF('Final Calculation Sheet'!$AC$26="","",'Final Calculation Sheet'!$AC$26)</f>
        <v/>
      </c>
      <c r="AD26" s="1119">
        <f>IF('Final Calculation Sheet'!$AD$26="","",'Final Calculation Sheet'!$AD$26)</f>
        <v/>
      </c>
      <c r="AE26" s="1122">
        <f>IF('Final Calculation Sheet'!$AD$26="","",IF('Final Calculation Sheet'!$AD$26&lt;=0,"SETTLED","OUTSTANDING"))</f>
        <v/>
      </c>
      <c r="AF26" s="1122">
        <f>IF('Final Calculation Sheet'!$AE$26="","",'Final Calculation Sheet'!$AE$26)</f>
        <v/>
      </c>
      <c r="AG26" s="1119">
        <f>IF('Final Calculation Sheet'!$AF$26="","",'Final Calculation Sheet'!$AF$26)</f>
        <v/>
      </c>
      <c r="AH26" s="1122">
        <f>IF('Final Calculation Sheet'!$AG$26="","",'Final Calculation Sheet'!$AG$26)</f>
        <v/>
      </c>
      <c r="AI26" s="1119" t="n">
        <v>26</v>
      </c>
    </row>
    <row r="27" outlineLevel="1" ht="15" customHeight="1">
      <c r="A27" s="1126">
        <f>IF('Final Calculation Sheet'!$G$30="","",'Final Calculation Sheet'!$G$30)</f>
        <v/>
      </c>
      <c r="B27" s="1125">
        <f>IF('Final Calculation Sheet'!$F$30="","",'Final Calculation Sheet'!$F$30)</f>
        <v/>
      </c>
      <c r="C27" s="1126">
        <f>IF('Final Calculation Sheet'!$B$30="","",'Final Calculation Sheet'!$B$30)</f>
        <v/>
      </c>
      <c r="D27" s="1125">
        <f>IF('Final Calculation Sheet'!$D$30="","",'Final Calculation Sheet'!$D$30)</f>
        <v/>
      </c>
      <c r="E27" s="1127">
        <f>IF('Final Calculation Sheet'!$A$30="","",'Final Calculation Sheet'!$A$30)</f>
        <v/>
      </c>
      <c r="F27" s="1128">
        <f>IF('Final Calculation Sheet'!$E$30="","",'Final Calculation Sheet'!$E$30)</f>
        <v/>
      </c>
      <c r="G27" s="1125">
        <f>IF('Final Calculation Sheet'!$C$30="","",'Final Calculation Sheet'!$C$30)</f>
        <v/>
      </c>
      <c r="H27" s="1125">
        <f>IF('Final Calculation Sheet'!$H$30="","",'Final Calculation Sheet'!$H$30)</f>
        <v/>
      </c>
      <c r="I27" s="1125">
        <f>IF('Final Calculation Sheet'!$I$30="","",'Final Calculation Sheet'!$I$30)</f>
        <v/>
      </c>
      <c r="J27" s="1125">
        <f>IF('Final Calculation Sheet'!$J$30="","",'Final Calculation Sheet'!$J$30)</f>
        <v/>
      </c>
      <c r="K27" s="1125">
        <f>IF('Final Calculation Sheet'!$K$30="","",'Final Calculation Sheet'!$K$30)</f>
        <v/>
      </c>
      <c r="L27" s="1129">
        <f>IF('Final Calculation Sheet'!$L$30="","",'Final Calculation Sheet'!$L$30)</f>
        <v/>
      </c>
      <c r="M27" s="1129">
        <f>IF('Final Calculation Sheet'!$M$30="","",'Final Calculation Sheet'!$M$30)</f>
        <v/>
      </c>
      <c r="N27" s="1129">
        <f>IF('Final Calculation Sheet'!$N$30="","",'Final Calculation Sheet'!$N$30)</f>
        <v/>
      </c>
      <c r="O27" s="1129">
        <f>IF('Final Calculation Sheet'!$O$30="","",'Final Calculation Sheet'!$O$30)</f>
        <v/>
      </c>
      <c r="P27" s="1125">
        <f>IF('Final Calculation Sheet'!$P$30="","",'Final Calculation Sheet'!$P$30)</f>
        <v/>
      </c>
      <c r="Q27" s="1130">
        <f>IF('Final Calculation Sheet'!$Q$30="","",'Final Calculation Sheet'!$Q$30)</f>
        <v/>
      </c>
      <c r="R27" s="1125">
        <f>IF('Final Calculation Sheet'!$R$30="","",'Final Calculation Sheet'!$R$30)</f>
        <v/>
      </c>
      <c r="S27" s="1125">
        <f>IF('Final Calculation Sheet'!$S$30="","",'Final Calculation Sheet'!$S$30)</f>
        <v/>
      </c>
      <c r="T27" s="1125">
        <f>IF('Final Calculation Sheet'!$T$30="","",'Final Calculation Sheet'!$T$30)</f>
        <v/>
      </c>
      <c r="U27" s="1125">
        <f>IF('Final Calculation Sheet'!$U$30="","",'Final Calculation Sheet'!$U$30)</f>
        <v/>
      </c>
      <c r="V27" s="1128">
        <f>IF('Final Calculation Sheet'!$V$30="","",'Final Calculation Sheet'!$V$30)</f>
        <v/>
      </c>
      <c r="W27" s="1125">
        <f>IF('Final Calculation Sheet'!$W$30="","",'Final Calculation Sheet'!$W$30)</f>
        <v/>
      </c>
      <c r="X27" s="1125">
        <f>IF('Final Calculation Sheet'!$X$30="","",'Final Calculation Sheet'!$X$30)</f>
        <v/>
      </c>
      <c r="Y27" s="1128">
        <f>IF('Final Calculation Sheet'!$Y$30="","",'Final Calculation Sheet'!$Y$30)</f>
        <v/>
      </c>
      <c r="Z27" s="1125">
        <f>IF('Final Calculation Sheet'!$Z$30="","",'Final Calculation Sheet'!$Z$30)</f>
        <v/>
      </c>
      <c r="AA27" s="1125">
        <f>IF('Final Calculation Sheet'!$AA$30="","",'Final Calculation Sheet'!$AA$30)</f>
        <v/>
      </c>
      <c r="AB27" s="1128">
        <f>IF('Final Calculation Sheet'!$AB$30="","",'Final Calculation Sheet'!$AB$30)</f>
        <v/>
      </c>
      <c r="AC27" s="1125">
        <f>IF('Final Calculation Sheet'!$AC$30="","",'Final Calculation Sheet'!$AC$30)</f>
        <v/>
      </c>
      <c r="AD27" s="1125">
        <f>IF('Final Calculation Sheet'!$AD$30="","",'Final Calculation Sheet'!$AD$30)</f>
        <v/>
      </c>
      <c r="AE27" s="1128">
        <f>IF('Final Calculation Sheet'!$AD$30="","",IF('Final Calculation Sheet'!$AD$30&lt;=0,"SETTLED","OUTSTANDING"))</f>
        <v/>
      </c>
      <c r="AF27" s="1128">
        <f>IF('Final Calculation Sheet'!$AE$30="","",'Final Calculation Sheet'!$AE$30)</f>
        <v/>
      </c>
      <c r="AG27" s="1125">
        <f>IF('Final Calculation Sheet'!$AF$30="","",'Final Calculation Sheet'!$AF$30)</f>
        <v/>
      </c>
      <c r="AH27" s="1128">
        <f>IF('Final Calculation Sheet'!$AG$30="","",'Final Calculation Sheet'!$AG$30)</f>
        <v/>
      </c>
      <c r="AI27" s="1125" t="n">
        <v>30</v>
      </c>
    </row>
    <row r="28" outlineLevel="1" ht="15" customHeight="1">
      <c r="A28" s="1120">
        <f>IF('Final Calculation Sheet'!$G$32="","",'Final Calculation Sheet'!$G$32)</f>
        <v/>
      </c>
      <c r="B28" s="1119">
        <f>IF('Final Calculation Sheet'!$F$32="","",'Final Calculation Sheet'!$F$32)</f>
        <v/>
      </c>
      <c r="C28" s="1120">
        <f>IF('Final Calculation Sheet'!$B$32="","",'Final Calculation Sheet'!$B$32)</f>
        <v/>
      </c>
      <c r="D28" s="1119">
        <f>IF('Final Calculation Sheet'!$D$32="","",'Final Calculation Sheet'!$D$32)</f>
        <v/>
      </c>
      <c r="E28" s="1121">
        <f>IF('Final Calculation Sheet'!$A$32="","",'Final Calculation Sheet'!$A$32)</f>
        <v/>
      </c>
      <c r="F28" s="1122">
        <f>IF('Final Calculation Sheet'!$E$32="","",'Final Calculation Sheet'!$E$32)</f>
        <v/>
      </c>
      <c r="G28" s="1119">
        <f>IF('Final Calculation Sheet'!$C$32="","",'Final Calculation Sheet'!$C$32)</f>
        <v/>
      </c>
      <c r="H28" s="1119">
        <f>IF('Final Calculation Sheet'!$H$32="","",'Final Calculation Sheet'!$H$32)</f>
        <v/>
      </c>
      <c r="I28" s="1119">
        <f>IF('Final Calculation Sheet'!$I$32="","",'Final Calculation Sheet'!$I$32)</f>
        <v/>
      </c>
      <c r="J28" s="1119">
        <f>IF('Final Calculation Sheet'!$J$32="","",'Final Calculation Sheet'!$J$32)</f>
        <v/>
      </c>
      <c r="K28" s="1119">
        <f>IF('Final Calculation Sheet'!$K$32="","",'Final Calculation Sheet'!$K$32)</f>
        <v/>
      </c>
      <c r="L28" s="1123">
        <f>IF('Final Calculation Sheet'!$L$32="","",'Final Calculation Sheet'!$L$32)</f>
        <v/>
      </c>
      <c r="M28" s="1123">
        <f>IF('Final Calculation Sheet'!$M$32="","",'Final Calculation Sheet'!$M$32)</f>
        <v/>
      </c>
      <c r="N28" s="1123">
        <f>IF('Final Calculation Sheet'!$N$32="","",'Final Calculation Sheet'!$N$32)</f>
        <v/>
      </c>
      <c r="O28" s="1123">
        <f>IF('Final Calculation Sheet'!$O$32="","",'Final Calculation Sheet'!$O$32)</f>
        <v/>
      </c>
      <c r="P28" s="1119">
        <f>IF('Final Calculation Sheet'!$P$32="","",'Final Calculation Sheet'!$P$32)</f>
        <v/>
      </c>
      <c r="Q28" s="1124">
        <f>IF('Final Calculation Sheet'!$Q$32="","",'Final Calculation Sheet'!$Q$32)</f>
        <v/>
      </c>
      <c r="R28" s="1119">
        <f>IF('Final Calculation Sheet'!$R$32="","",'Final Calculation Sheet'!$R$32)</f>
        <v/>
      </c>
      <c r="S28" s="1119">
        <f>IF('Final Calculation Sheet'!$S$32="","",'Final Calculation Sheet'!$S$32)</f>
        <v/>
      </c>
      <c r="T28" s="1119">
        <f>IF('Final Calculation Sheet'!$T$32="","",'Final Calculation Sheet'!$T$32)</f>
        <v/>
      </c>
      <c r="U28" s="1119">
        <f>IF('Final Calculation Sheet'!$U$32="","",'Final Calculation Sheet'!$U$32)</f>
        <v/>
      </c>
      <c r="V28" s="1122">
        <f>IF('Final Calculation Sheet'!$V$32="","",'Final Calculation Sheet'!$V$32)</f>
        <v/>
      </c>
      <c r="W28" s="1119">
        <f>IF('Final Calculation Sheet'!$W$32="","",'Final Calculation Sheet'!$W$32)</f>
        <v/>
      </c>
      <c r="X28" s="1119">
        <f>IF('Final Calculation Sheet'!$X$32="","",'Final Calculation Sheet'!$X$32)</f>
        <v/>
      </c>
      <c r="Y28" s="1122">
        <f>IF('Final Calculation Sheet'!$Y$32="","",'Final Calculation Sheet'!$Y$32)</f>
        <v/>
      </c>
      <c r="Z28" s="1119">
        <f>IF('Final Calculation Sheet'!$Z$32="","",'Final Calculation Sheet'!$Z$32)</f>
        <v/>
      </c>
      <c r="AA28" s="1119">
        <f>IF('Final Calculation Sheet'!$AA$32="","",'Final Calculation Sheet'!$AA$32)</f>
        <v/>
      </c>
      <c r="AB28" s="1122">
        <f>IF('Final Calculation Sheet'!$AB$32="","",'Final Calculation Sheet'!$AB$32)</f>
        <v/>
      </c>
      <c r="AC28" s="1119">
        <f>IF('Final Calculation Sheet'!$AC$32="","",'Final Calculation Sheet'!$AC$32)</f>
        <v/>
      </c>
      <c r="AD28" s="1119">
        <f>IF('Final Calculation Sheet'!$AD$32="","",'Final Calculation Sheet'!$AD$32)</f>
        <v/>
      </c>
      <c r="AE28" s="1122">
        <f>IF('Final Calculation Sheet'!$AD$32="","",IF('Final Calculation Sheet'!$AD$32&lt;=0,"SETTLED","OUTSTANDING"))</f>
        <v/>
      </c>
      <c r="AF28" s="1122">
        <f>IF('Final Calculation Sheet'!$AE$32="","",'Final Calculation Sheet'!$AE$32)</f>
        <v/>
      </c>
      <c r="AG28" s="1119">
        <f>IF('Final Calculation Sheet'!$AF$32="","",'Final Calculation Sheet'!$AF$32)</f>
        <v/>
      </c>
      <c r="AH28" s="1122">
        <f>IF('Final Calculation Sheet'!$AG$32="","",'Final Calculation Sheet'!$AG$32)</f>
        <v/>
      </c>
      <c r="AI28" s="1119" t="n">
        <v>32</v>
      </c>
    </row>
    <row r="29" outlineLevel="1" ht="15" customHeight="1">
      <c r="A29" s="1126">
        <f>IF('Final Calculation Sheet'!$G$33="","",'Final Calculation Sheet'!$G$33)</f>
        <v/>
      </c>
      <c r="B29" s="1125">
        <f>IF('Final Calculation Sheet'!$F$33="","",'Final Calculation Sheet'!$F$33)</f>
        <v/>
      </c>
      <c r="C29" s="1126">
        <f>IF('Final Calculation Sheet'!$B$33="","",'Final Calculation Sheet'!$B$33)</f>
        <v/>
      </c>
      <c r="D29" s="1125">
        <f>IF('Final Calculation Sheet'!$D$33="","",'Final Calculation Sheet'!$D$33)</f>
        <v/>
      </c>
      <c r="E29" s="1127">
        <f>IF('Final Calculation Sheet'!$A$33="","",'Final Calculation Sheet'!$A$33)</f>
        <v/>
      </c>
      <c r="F29" s="1128">
        <f>IF('Final Calculation Sheet'!$E$33="","",'Final Calculation Sheet'!$E$33)</f>
        <v/>
      </c>
      <c r="G29" s="1125">
        <f>IF('Final Calculation Sheet'!$C$33="","",'Final Calculation Sheet'!$C$33)</f>
        <v/>
      </c>
      <c r="H29" s="1125">
        <f>IF('Final Calculation Sheet'!$H$33="","",'Final Calculation Sheet'!$H$33)</f>
        <v/>
      </c>
      <c r="I29" s="1125">
        <f>IF('Final Calculation Sheet'!$I$33="","",'Final Calculation Sheet'!$I$33)</f>
        <v/>
      </c>
      <c r="J29" s="1125">
        <f>IF('Final Calculation Sheet'!$J$33="","",'Final Calculation Sheet'!$J$33)</f>
        <v/>
      </c>
      <c r="K29" s="1125">
        <f>IF('Final Calculation Sheet'!$K$33="","",'Final Calculation Sheet'!$K$33)</f>
        <v/>
      </c>
      <c r="L29" s="1129">
        <f>IF('Final Calculation Sheet'!$L$33="","",'Final Calculation Sheet'!$L$33)</f>
        <v/>
      </c>
      <c r="M29" s="1129">
        <f>IF('Final Calculation Sheet'!$M$33="","",'Final Calculation Sheet'!$M$33)</f>
        <v/>
      </c>
      <c r="N29" s="1129">
        <f>IF('Final Calculation Sheet'!$N$33="","",'Final Calculation Sheet'!$N$33)</f>
        <v/>
      </c>
      <c r="O29" s="1129">
        <f>IF('Final Calculation Sheet'!$O$33="","",'Final Calculation Sheet'!$O$33)</f>
        <v/>
      </c>
      <c r="P29" s="1125">
        <f>IF('Final Calculation Sheet'!$P$33="","",'Final Calculation Sheet'!$P$33)</f>
        <v/>
      </c>
      <c r="Q29" s="1130">
        <f>IF('Final Calculation Sheet'!$Q$33="","",'Final Calculation Sheet'!$Q$33)</f>
        <v/>
      </c>
      <c r="R29" s="1125">
        <f>IF('Final Calculation Sheet'!$R$33="","",'Final Calculation Sheet'!$R$33)</f>
        <v/>
      </c>
      <c r="S29" s="1125">
        <f>IF('Final Calculation Sheet'!$S$33="","",'Final Calculation Sheet'!$S$33)</f>
        <v/>
      </c>
      <c r="T29" s="1125">
        <f>IF('Final Calculation Sheet'!$T$33="","",'Final Calculation Sheet'!$T$33)</f>
        <v/>
      </c>
      <c r="U29" s="1125">
        <f>IF('Final Calculation Sheet'!$U$33="","",'Final Calculation Sheet'!$U$33)</f>
        <v/>
      </c>
      <c r="V29" s="1128">
        <f>IF('Final Calculation Sheet'!$V$33="","",'Final Calculation Sheet'!$V$33)</f>
        <v/>
      </c>
      <c r="W29" s="1125">
        <f>IF('Final Calculation Sheet'!$W$33="","",'Final Calculation Sheet'!$W$33)</f>
        <v/>
      </c>
      <c r="X29" s="1125">
        <f>IF('Final Calculation Sheet'!$X$33="","",'Final Calculation Sheet'!$X$33)</f>
        <v/>
      </c>
      <c r="Y29" s="1128">
        <f>IF('Final Calculation Sheet'!$Y$33="","",'Final Calculation Sheet'!$Y$33)</f>
        <v/>
      </c>
      <c r="Z29" s="1125">
        <f>IF('Final Calculation Sheet'!$Z$33="","",'Final Calculation Sheet'!$Z$33)</f>
        <v/>
      </c>
      <c r="AA29" s="1125">
        <f>IF('Final Calculation Sheet'!$AA$33="","",'Final Calculation Sheet'!$AA$33)</f>
        <v/>
      </c>
      <c r="AB29" s="1128">
        <f>IF('Final Calculation Sheet'!$AB$33="","",'Final Calculation Sheet'!$AB$33)</f>
        <v/>
      </c>
      <c r="AC29" s="1125">
        <f>IF('Final Calculation Sheet'!$AC$33="","",'Final Calculation Sheet'!$AC$33)</f>
        <v/>
      </c>
      <c r="AD29" s="1125">
        <f>IF('Final Calculation Sheet'!$AD$33="","",'Final Calculation Sheet'!$AD$33)</f>
        <v/>
      </c>
      <c r="AE29" s="1128">
        <f>IF('Final Calculation Sheet'!$AD$33="","",IF('Final Calculation Sheet'!$AD$33&lt;=0,"SETTLED","OUTSTANDING"))</f>
        <v/>
      </c>
      <c r="AF29" s="1128">
        <f>IF('Final Calculation Sheet'!$AE$33="","",'Final Calculation Sheet'!$AE$33)</f>
        <v/>
      </c>
      <c r="AG29" s="1125">
        <f>IF('Final Calculation Sheet'!$AF$33="","",'Final Calculation Sheet'!$AF$33)</f>
        <v/>
      </c>
      <c r="AH29" s="1128">
        <f>IF('Final Calculation Sheet'!$AG$33="","",'Final Calculation Sheet'!$AG$33)</f>
        <v/>
      </c>
      <c r="AI29" s="1125" t="n">
        <v>33</v>
      </c>
    </row>
    <row r="30" outlineLevel="1" ht="15" customHeight="1">
      <c r="A30" s="1120">
        <f>IF('Final Calculation Sheet'!$G$37="","",'Final Calculation Sheet'!$G$37)</f>
        <v/>
      </c>
      <c r="B30" s="1119">
        <f>IF('Final Calculation Sheet'!$F$37="","",'Final Calculation Sheet'!$F$37)</f>
        <v/>
      </c>
      <c r="C30" s="1120">
        <f>IF('Final Calculation Sheet'!$B$37="","",'Final Calculation Sheet'!$B$37)</f>
        <v/>
      </c>
      <c r="D30" s="1119">
        <f>IF('Final Calculation Sheet'!$D$37="","",'Final Calculation Sheet'!$D$37)</f>
        <v/>
      </c>
      <c r="E30" s="1121">
        <f>IF('Final Calculation Sheet'!$A$37="","",'Final Calculation Sheet'!$A$37)</f>
        <v/>
      </c>
      <c r="F30" s="1122">
        <f>IF('Final Calculation Sheet'!$E$37="","",'Final Calculation Sheet'!$E$37)</f>
        <v/>
      </c>
      <c r="G30" s="1119">
        <f>IF('Final Calculation Sheet'!$C$37="","",'Final Calculation Sheet'!$C$37)</f>
        <v/>
      </c>
      <c r="H30" s="1119">
        <f>IF('Final Calculation Sheet'!$H$37="","",'Final Calculation Sheet'!$H$37)</f>
        <v/>
      </c>
      <c r="I30" s="1119">
        <f>IF('Final Calculation Sheet'!$I$37="","",'Final Calculation Sheet'!$I$37)</f>
        <v/>
      </c>
      <c r="J30" s="1119">
        <f>IF('Final Calculation Sheet'!$J$37="","",'Final Calculation Sheet'!$J$37)</f>
        <v/>
      </c>
      <c r="K30" s="1119">
        <f>IF('Final Calculation Sheet'!$K$37="","",'Final Calculation Sheet'!$K$37)</f>
        <v/>
      </c>
      <c r="L30" s="1123">
        <f>IF('Final Calculation Sheet'!$L$37="","",'Final Calculation Sheet'!$L$37)</f>
        <v/>
      </c>
      <c r="M30" s="1123">
        <f>IF('Final Calculation Sheet'!$M$37="","",'Final Calculation Sheet'!$M$37)</f>
        <v/>
      </c>
      <c r="N30" s="1123">
        <f>IF('Final Calculation Sheet'!$N$37="","",'Final Calculation Sheet'!$N$37)</f>
        <v/>
      </c>
      <c r="O30" s="1123">
        <f>IF('Final Calculation Sheet'!$O$37="","",'Final Calculation Sheet'!$O$37)</f>
        <v/>
      </c>
      <c r="P30" s="1119">
        <f>IF('Final Calculation Sheet'!$P$37="","",'Final Calculation Sheet'!$P$37)</f>
        <v/>
      </c>
      <c r="Q30" s="1124">
        <f>IF('Final Calculation Sheet'!$Q$37="","",'Final Calculation Sheet'!$Q$37)</f>
        <v/>
      </c>
      <c r="R30" s="1119">
        <f>IF('Final Calculation Sheet'!$R$37="","",'Final Calculation Sheet'!$R$37)</f>
        <v/>
      </c>
      <c r="S30" s="1119">
        <f>IF('Final Calculation Sheet'!$S$37="","",'Final Calculation Sheet'!$S$37)</f>
        <v/>
      </c>
      <c r="T30" s="1119">
        <f>IF('Final Calculation Sheet'!$T$37="","",'Final Calculation Sheet'!$T$37)</f>
        <v/>
      </c>
      <c r="U30" s="1119">
        <f>IF('Final Calculation Sheet'!$U$37="","",'Final Calculation Sheet'!$U$37)</f>
        <v/>
      </c>
      <c r="V30" s="1122">
        <f>IF('Final Calculation Sheet'!$V$37="","",'Final Calculation Sheet'!$V$37)</f>
        <v/>
      </c>
      <c r="W30" s="1119">
        <f>IF('Final Calculation Sheet'!$W$37="","",'Final Calculation Sheet'!$W$37)</f>
        <v/>
      </c>
      <c r="X30" s="1119">
        <f>IF('Final Calculation Sheet'!$X$37="","",'Final Calculation Sheet'!$X$37)</f>
        <v/>
      </c>
      <c r="Y30" s="1122">
        <f>IF('Final Calculation Sheet'!$Y$37="","",'Final Calculation Sheet'!$Y$37)</f>
        <v/>
      </c>
      <c r="Z30" s="1119">
        <f>IF('Final Calculation Sheet'!$Z$37="","",'Final Calculation Sheet'!$Z$37)</f>
        <v/>
      </c>
      <c r="AA30" s="1119">
        <f>IF('Final Calculation Sheet'!$AA$37="","",'Final Calculation Sheet'!$AA$37)</f>
        <v/>
      </c>
      <c r="AB30" s="1122">
        <f>IF('Final Calculation Sheet'!$AB$37="","",'Final Calculation Sheet'!$AB$37)</f>
        <v/>
      </c>
      <c r="AC30" s="1119">
        <f>IF('Final Calculation Sheet'!$AC$37="","",'Final Calculation Sheet'!$AC$37)</f>
        <v/>
      </c>
      <c r="AD30" s="1119">
        <f>IF('Final Calculation Sheet'!$AD$37="","",'Final Calculation Sheet'!$AD$37)</f>
        <v/>
      </c>
      <c r="AE30" s="1122">
        <f>IF('Final Calculation Sheet'!$AD$37="","",IF('Final Calculation Sheet'!$AD$37&lt;=0,"SETTLED","OUTSTANDING"))</f>
        <v/>
      </c>
      <c r="AF30" s="1122">
        <f>IF('Final Calculation Sheet'!$AE$37="","",'Final Calculation Sheet'!$AE$37)</f>
        <v/>
      </c>
      <c r="AG30" s="1119">
        <f>IF('Final Calculation Sheet'!$AF$37="","",'Final Calculation Sheet'!$AF$37)</f>
        <v/>
      </c>
      <c r="AH30" s="1122">
        <f>IF('Final Calculation Sheet'!$AG$37="","",'Final Calculation Sheet'!$AG$37)</f>
        <v/>
      </c>
      <c r="AI30" s="1119" t="n">
        <v>37</v>
      </c>
    </row>
    <row r="31" ht="20" customHeight="1">
      <c r="A31" s="1141" t="inlineStr">
        <is>
          <t>▼  NATIONAL SCRAP AND BUILDING MATERIAL SUPPLIER</t>
        </is>
      </c>
      <c r="B31" s="919" t="n"/>
      <c r="C31" s="1196" t="inlineStr">
        <is>
          <t>1 lot  —  click − to fold this buyer</t>
        </is>
      </c>
      <c r="D31" s="919" t="n"/>
      <c r="E31" s="1142">
        <f>SUBTOTAL(109,E32:E32)</f>
        <v/>
      </c>
      <c r="F31" s="919" t="n"/>
      <c r="G31" s="919" t="n"/>
      <c r="H31" s="1143">
        <f>SUBTOTAL(109,H32:H32)</f>
        <v/>
      </c>
      <c r="I31" s="1143">
        <f>SUBTOTAL(109,I32:I32)</f>
        <v/>
      </c>
      <c r="J31" s="1143">
        <f>SUBTOTAL(109,J32:J32)</f>
        <v/>
      </c>
      <c r="K31" s="1143">
        <f>SUBTOTAL(109,K32:K32)</f>
        <v/>
      </c>
      <c r="L31" s="1144">
        <f>SUBTOTAL(109,L32:L32)</f>
        <v/>
      </c>
      <c r="M31" s="1144">
        <f>SUBTOTAL(109,M32:M32)</f>
        <v/>
      </c>
      <c r="N31" s="1144">
        <f>SUBTOTAL(109,N32:N32)</f>
        <v/>
      </c>
      <c r="O31" s="1144">
        <f>SUBTOTAL(109,O32:O32)</f>
        <v/>
      </c>
      <c r="P31" s="1143">
        <f>SUBTOTAL(109,P32:P32)</f>
        <v/>
      </c>
      <c r="Q31" s="919" t="n"/>
      <c r="R31" s="1143">
        <f>SUBTOTAL(109,R32:R32)</f>
        <v/>
      </c>
      <c r="S31" s="1143">
        <f>SUBTOTAL(109,S32:S32)</f>
        <v/>
      </c>
      <c r="T31" s="1143">
        <f>SUBTOTAL(109,T32:T32)</f>
        <v/>
      </c>
      <c r="U31" s="1143">
        <f>SUBTOTAL(109,U32:U32)</f>
        <v/>
      </c>
      <c r="V31" s="919" t="n"/>
      <c r="W31" s="1143">
        <f>SUBTOTAL(109,W32:W32)</f>
        <v/>
      </c>
      <c r="X31" s="1143">
        <f>SUBTOTAL(109,X32:X32)</f>
        <v/>
      </c>
      <c r="Y31" s="919" t="n"/>
      <c r="Z31" s="1143">
        <f>SUBTOTAL(109,Z32:Z32)</f>
        <v/>
      </c>
      <c r="AA31" s="1143">
        <f>SUBTOTAL(109,AA32:AA32)</f>
        <v/>
      </c>
      <c r="AB31" s="919" t="n"/>
      <c r="AC31" s="1143">
        <f>SUBTOTAL(109,AC32:AC32)</f>
        <v/>
      </c>
      <c r="AD31" s="1143">
        <f>SUBTOTAL(109,AD32:AD32)</f>
        <v/>
      </c>
      <c r="AE31" s="919" t="n"/>
      <c r="AF31" s="919" t="n"/>
      <c r="AG31" s="919" t="n"/>
      <c r="AH31" s="919" t="n"/>
      <c r="AI31" s="919" t="n"/>
    </row>
    <row r="32" outlineLevel="1" ht="15" customHeight="1">
      <c r="A32" s="1136">
        <f>IF('Final Calculation Sheet'!$G$21="","",'Final Calculation Sheet'!$G$21)</f>
        <v/>
      </c>
      <c r="B32" s="1135">
        <f>IF('Final Calculation Sheet'!$F$21="","",'Final Calculation Sheet'!$F$21)</f>
        <v/>
      </c>
      <c r="C32" s="1136">
        <f>IF('Final Calculation Sheet'!$B$21="","",'Final Calculation Sheet'!$B$21)</f>
        <v/>
      </c>
      <c r="D32" s="1135">
        <f>IF('Final Calculation Sheet'!$D$21="","",'Final Calculation Sheet'!$D$21)</f>
        <v/>
      </c>
      <c r="E32" s="1137">
        <f>IF('Final Calculation Sheet'!$A$21="","",'Final Calculation Sheet'!$A$21)</f>
        <v/>
      </c>
      <c r="F32" s="1138">
        <f>IF('Final Calculation Sheet'!$E$21="","",'Final Calculation Sheet'!$E$21)</f>
        <v/>
      </c>
      <c r="G32" s="1135">
        <f>IF('Final Calculation Sheet'!$C$21="","",'Final Calculation Sheet'!$C$21)</f>
        <v/>
      </c>
      <c r="H32" s="1135">
        <f>IF('Final Calculation Sheet'!$H$21="","",'Final Calculation Sheet'!$H$21)</f>
        <v/>
      </c>
      <c r="I32" s="1135">
        <f>IF('Final Calculation Sheet'!$I$21="","",'Final Calculation Sheet'!$I$21)</f>
        <v/>
      </c>
      <c r="J32" s="1135">
        <f>IF('Final Calculation Sheet'!$J$21="","",'Final Calculation Sheet'!$J$21)</f>
        <v/>
      </c>
      <c r="K32" s="1135">
        <f>IF('Final Calculation Sheet'!$K$21="","",'Final Calculation Sheet'!$K$21)</f>
        <v/>
      </c>
      <c r="L32" s="1139">
        <f>IF('Final Calculation Sheet'!$L$21="","",'Final Calculation Sheet'!$L$21)</f>
        <v/>
      </c>
      <c r="M32" s="1139">
        <f>IF('Final Calculation Sheet'!$M$21="","",'Final Calculation Sheet'!$M$21)</f>
        <v/>
      </c>
      <c r="N32" s="1139">
        <f>IF('Final Calculation Sheet'!$N$21="","",'Final Calculation Sheet'!$N$21)</f>
        <v/>
      </c>
      <c r="O32" s="1139">
        <f>IF('Final Calculation Sheet'!$O$21="","",'Final Calculation Sheet'!$O$21)</f>
        <v/>
      </c>
      <c r="P32" s="1135">
        <f>IF('Final Calculation Sheet'!$P$21="","",'Final Calculation Sheet'!$P$21)</f>
        <v/>
      </c>
      <c r="Q32" s="1140">
        <f>IF('Final Calculation Sheet'!$Q$21="","",'Final Calculation Sheet'!$Q$21)</f>
        <v/>
      </c>
      <c r="R32" s="1135">
        <f>IF('Final Calculation Sheet'!$R$21="","",'Final Calculation Sheet'!$R$21)</f>
        <v/>
      </c>
      <c r="S32" s="1135">
        <f>IF('Final Calculation Sheet'!$S$21="","",'Final Calculation Sheet'!$S$21)</f>
        <v/>
      </c>
      <c r="T32" s="1135">
        <f>IF('Final Calculation Sheet'!$T$21="","",'Final Calculation Sheet'!$T$21)</f>
        <v/>
      </c>
      <c r="U32" s="1135">
        <f>IF('Final Calculation Sheet'!$U$21="","",'Final Calculation Sheet'!$U$21)</f>
        <v/>
      </c>
      <c r="V32" s="1138">
        <f>IF('Final Calculation Sheet'!$V$21="","",'Final Calculation Sheet'!$V$21)</f>
        <v/>
      </c>
      <c r="W32" s="1135">
        <f>IF('Final Calculation Sheet'!$W$21="","",'Final Calculation Sheet'!$W$21)</f>
        <v/>
      </c>
      <c r="X32" s="1135">
        <f>IF('Final Calculation Sheet'!$X$21="","",'Final Calculation Sheet'!$X$21)</f>
        <v/>
      </c>
      <c r="Y32" s="1138">
        <f>IF('Final Calculation Sheet'!$Y$21="","",'Final Calculation Sheet'!$Y$21)</f>
        <v/>
      </c>
      <c r="Z32" s="1135">
        <f>IF('Final Calculation Sheet'!$Z$21="","",'Final Calculation Sheet'!$Z$21)</f>
        <v/>
      </c>
      <c r="AA32" s="1135">
        <f>IF('Final Calculation Sheet'!$AA$21="","",'Final Calculation Sheet'!$AA$21)</f>
        <v/>
      </c>
      <c r="AB32" s="1138">
        <f>IF('Final Calculation Sheet'!$AB$21="","",'Final Calculation Sheet'!$AB$21)</f>
        <v/>
      </c>
      <c r="AC32" s="1135">
        <f>IF('Final Calculation Sheet'!$AC$21="","",'Final Calculation Sheet'!$AC$21)</f>
        <v/>
      </c>
      <c r="AD32" s="1135">
        <f>IF('Final Calculation Sheet'!$AD$21="","",'Final Calculation Sheet'!$AD$21)</f>
        <v/>
      </c>
      <c r="AE32" s="1138">
        <f>IF('Final Calculation Sheet'!$AD$21="","",IF('Final Calculation Sheet'!$AD$21&lt;=0,"SETTLED","OUTSTANDING"))</f>
        <v/>
      </c>
      <c r="AF32" s="1138">
        <f>IF('Final Calculation Sheet'!$AE$21="","",'Final Calculation Sheet'!$AE$21)</f>
        <v/>
      </c>
      <c r="AG32" s="1135">
        <f>IF('Final Calculation Sheet'!$AF$21="","",'Final Calculation Sheet'!$AF$21)</f>
        <v/>
      </c>
      <c r="AH32" s="1138">
        <f>IF('Final Calculation Sheet'!$AG$21="","",'Final Calculation Sheet'!$AG$21)</f>
        <v/>
      </c>
      <c r="AI32" s="1135" t="n">
        <v>21</v>
      </c>
    </row>
    <row r="33" ht="20" customHeight="1">
      <c r="A33" s="1157" t="inlineStr">
        <is>
          <t>▼  OMKAR STEELS</t>
        </is>
      </c>
      <c r="B33" s="930" t="n"/>
      <c r="C33" s="1197" t="inlineStr">
        <is>
          <t>2 lots  —  click − to fold this buyer</t>
        </is>
      </c>
      <c r="D33" s="930" t="n"/>
      <c r="E33" s="1158">
        <f>SUBTOTAL(109,E34:E35)</f>
        <v/>
      </c>
      <c r="F33" s="930" t="n"/>
      <c r="G33" s="930" t="n"/>
      <c r="H33" s="1159">
        <f>SUBTOTAL(109,H34:H35)</f>
        <v/>
      </c>
      <c r="I33" s="1159">
        <f>SUBTOTAL(109,I34:I35)</f>
        <v/>
      </c>
      <c r="J33" s="1159">
        <f>SUBTOTAL(109,J34:J35)</f>
        <v/>
      </c>
      <c r="K33" s="1159">
        <f>SUBTOTAL(109,K34:K35)</f>
        <v/>
      </c>
      <c r="L33" s="1160">
        <f>SUBTOTAL(109,L34:L35)</f>
        <v/>
      </c>
      <c r="M33" s="1160">
        <f>SUBTOTAL(109,M34:M35)</f>
        <v/>
      </c>
      <c r="N33" s="1160">
        <f>SUBTOTAL(109,N34:N35)</f>
        <v/>
      </c>
      <c r="O33" s="1160">
        <f>SUBTOTAL(109,O34:O35)</f>
        <v/>
      </c>
      <c r="P33" s="1159">
        <f>SUBTOTAL(109,P34:P35)</f>
        <v/>
      </c>
      <c r="Q33" s="930" t="n"/>
      <c r="R33" s="1159">
        <f>SUBTOTAL(109,R34:R35)</f>
        <v/>
      </c>
      <c r="S33" s="1159">
        <f>SUBTOTAL(109,S34:S35)</f>
        <v/>
      </c>
      <c r="T33" s="1159">
        <f>SUBTOTAL(109,T34:T35)</f>
        <v/>
      </c>
      <c r="U33" s="1159">
        <f>SUBTOTAL(109,U34:U35)</f>
        <v/>
      </c>
      <c r="V33" s="930" t="n"/>
      <c r="W33" s="1159">
        <f>SUBTOTAL(109,W34:W35)</f>
        <v/>
      </c>
      <c r="X33" s="1159">
        <f>SUBTOTAL(109,X34:X35)</f>
        <v/>
      </c>
      <c r="Y33" s="930" t="n"/>
      <c r="Z33" s="1159">
        <f>SUBTOTAL(109,Z34:Z35)</f>
        <v/>
      </c>
      <c r="AA33" s="1159">
        <f>SUBTOTAL(109,AA34:AA35)</f>
        <v/>
      </c>
      <c r="AB33" s="930" t="n"/>
      <c r="AC33" s="1159">
        <f>SUBTOTAL(109,AC34:AC35)</f>
        <v/>
      </c>
      <c r="AD33" s="1159">
        <f>SUBTOTAL(109,AD34:AD35)</f>
        <v/>
      </c>
      <c r="AE33" s="930" t="n"/>
      <c r="AF33" s="930" t="n"/>
      <c r="AG33" s="930" t="n"/>
      <c r="AH33" s="930" t="n"/>
      <c r="AI33" s="930" t="n"/>
    </row>
    <row r="34" outlineLevel="1" ht="15" customHeight="1">
      <c r="A34" s="1146">
        <f>IF('Final Calculation Sheet'!$G$8="","",'Final Calculation Sheet'!$G$8)</f>
        <v/>
      </c>
      <c r="B34" s="1145">
        <f>IF('Final Calculation Sheet'!$F$8="","",'Final Calculation Sheet'!$F$8)</f>
        <v/>
      </c>
      <c r="C34" s="1146">
        <f>IF('Final Calculation Sheet'!$B$8="","",'Final Calculation Sheet'!$B$8)</f>
        <v/>
      </c>
      <c r="D34" s="1145">
        <f>IF('Final Calculation Sheet'!$D$8="","",'Final Calculation Sheet'!$D$8)</f>
        <v/>
      </c>
      <c r="E34" s="1147">
        <f>IF('Final Calculation Sheet'!$A$8="","",'Final Calculation Sheet'!$A$8)</f>
        <v/>
      </c>
      <c r="F34" s="1148">
        <f>IF('Final Calculation Sheet'!$E$8="","",'Final Calculation Sheet'!$E$8)</f>
        <v/>
      </c>
      <c r="G34" s="1145">
        <f>IF('Final Calculation Sheet'!$C$8="","",'Final Calculation Sheet'!$C$8)</f>
        <v/>
      </c>
      <c r="H34" s="1145">
        <f>IF('Final Calculation Sheet'!$H$8="","",'Final Calculation Sheet'!$H$8)</f>
        <v/>
      </c>
      <c r="I34" s="1145">
        <f>IF('Final Calculation Sheet'!$I$8="","",'Final Calculation Sheet'!$I$8)</f>
        <v/>
      </c>
      <c r="J34" s="1145">
        <f>IF('Final Calculation Sheet'!$J$8="","",'Final Calculation Sheet'!$J$8)</f>
        <v/>
      </c>
      <c r="K34" s="1145">
        <f>IF('Final Calculation Sheet'!$K$8="","",'Final Calculation Sheet'!$K$8)</f>
        <v/>
      </c>
      <c r="L34" s="1149">
        <f>IF('Final Calculation Sheet'!$L$8="","",'Final Calculation Sheet'!$L$8)</f>
        <v/>
      </c>
      <c r="M34" s="1149">
        <f>IF('Final Calculation Sheet'!$M$8="","",'Final Calculation Sheet'!$M$8)</f>
        <v/>
      </c>
      <c r="N34" s="1149">
        <f>IF('Final Calculation Sheet'!$N$8="","",'Final Calculation Sheet'!$N$8)</f>
        <v/>
      </c>
      <c r="O34" s="1149">
        <f>IF('Final Calculation Sheet'!$O$8="","",'Final Calculation Sheet'!$O$8)</f>
        <v/>
      </c>
      <c r="P34" s="1145">
        <f>IF('Final Calculation Sheet'!$P$8="","",'Final Calculation Sheet'!$P$8)</f>
        <v/>
      </c>
      <c r="Q34" s="1150">
        <f>IF('Final Calculation Sheet'!$Q$8="","",'Final Calculation Sheet'!$Q$8)</f>
        <v/>
      </c>
      <c r="R34" s="1145">
        <f>IF('Final Calculation Sheet'!$R$8="","",'Final Calculation Sheet'!$R$8)</f>
        <v/>
      </c>
      <c r="S34" s="1145">
        <f>IF('Final Calculation Sheet'!$S$8="","",'Final Calculation Sheet'!$S$8)</f>
        <v/>
      </c>
      <c r="T34" s="1145">
        <f>IF('Final Calculation Sheet'!$T$8="","",'Final Calculation Sheet'!$T$8)</f>
        <v/>
      </c>
      <c r="U34" s="1145">
        <f>IF('Final Calculation Sheet'!$U$8="","",'Final Calculation Sheet'!$U$8)</f>
        <v/>
      </c>
      <c r="V34" s="1148">
        <f>IF('Final Calculation Sheet'!$V$8="","",'Final Calculation Sheet'!$V$8)</f>
        <v/>
      </c>
      <c r="W34" s="1145">
        <f>IF('Final Calculation Sheet'!$W$8="","",'Final Calculation Sheet'!$W$8)</f>
        <v/>
      </c>
      <c r="X34" s="1145">
        <f>IF('Final Calculation Sheet'!$X$8="","",'Final Calculation Sheet'!$X$8)</f>
        <v/>
      </c>
      <c r="Y34" s="1148">
        <f>IF('Final Calculation Sheet'!$Y$8="","",'Final Calculation Sheet'!$Y$8)</f>
        <v/>
      </c>
      <c r="Z34" s="1145">
        <f>IF('Final Calculation Sheet'!$Z$8="","",'Final Calculation Sheet'!$Z$8)</f>
        <v/>
      </c>
      <c r="AA34" s="1145">
        <f>IF('Final Calculation Sheet'!$AA$8="","",'Final Calculation Sheet'!$AA$8)</f>
        <v/>
      </c>
      <c r="AB34" s="1148">
        <f>IF('Final Calculation Sheet'!$AB$8="","",'Final Calculation Sheet'!$AB$8)</f>
        <v/>
      </c>
      <c r="AC34" s="1145">
        <f>IF('Final Calculation Sheet'!$AC$8="","",'Final Calculation Sheet'!$AC$8)</f>
        <v/>
      </c>
      <c r="AD34" s="1145">
        <f>IF('Final Calculation Sheet'!$AD$8="","",'Final Calculation Sheet'!$AD$8)</f>
        <v/>
      </c>
      <c r="AE34" s="1148">
        <f>IF('Final Calculation Sheet'!$AD$8="","",IF('Final Calculation Sheet'!$AD$8&lt;=0,"SETTLED","OUTSTANDING"))</f>
        <v/>
      </c>
      <c r="AF34" s="1148">
        <f>IF('Final Calculation Sheet'!$AE$8="","",'Final Calculation Sheet'!$AE$8)</f>
        <v/>
      </c>
      <c r="AG34" s="1145">
        <f>IF('Final Calculation Sheet'!$AF$8="","",'Final Calculation Sheet'!$AF$8)</f>
        <v/>
      </c>
      <c r="AH34" s="1148">
        <f>IF('Final Calculation Sheet'!$AG$8="","",'Final Calculation Sheet'!$AG$8)</f>
        <v/>
      </c>
      <c r="AI34" s="1145" t="n">
        <v>8</v>
      </c>
    </row>
    <row r="35" outlineLevel="1" ht="15" customHeight="1">
      <c r="A35" s="1152">
        <f>IF('Final Calculation Sheet'!$G$20="","",'Final Calculation Sheet'!$G$20)</f>
        <v/>
      </c>
      <c r="B35" s="1151">
        <f>IF('Final Calculation Sheet'!$F$20="","",'Final Calculation Sheet'!$F$20)</f>
        <v/>
      </c>
      <c r="C35" s="1152">
        <f>IF('Final Calculation Sheet'!$B$20="","",'Final Calculation Sheet'!$B$20)</f>
        <v/>
      </c>
      <c r="D35" s="1151">
        <f>IF('Final Calculation Sheet'!$D$20="","",'Final Calculation Sheet'!$D$20)</f>
        <v/>
      </c>
      <c r="E35" s="1153">
        <f>IF('Final Calculation Sheet'!$A$20="","",'Final Calculation Sheet'!$A$20)</f>
        <v/>
      </c>
      <c r="F35" s="1154">
        <f>IF('Final Calculation Sheet'!$E$20="","",'Final Calculation Sheet'!$E$20)</f>
        <v/>
      </c>
      <c r="G35" s="1151">
        <f>IF('Final Calculation Sheet'!$C$20="","",'Final Calculation Sheet'!$C$20)</f>
        <v/>
      </c>
      <c r="H35" s="1151">
        <f>IF('Final Calculation Sheet'!$H$20="","",'Final Calculation Sheet'!$H$20)</f>
        <v/>
      </c>
      <c r="I35" s="1151">
        <f>IF('Final Calculation Sheet'!$I$20="","",'Final Calculation Sheet'!$I$20)</f>
        <v/>
      </c>
      <c r="J35" s="1151">
        <f>IF('Final Calculation Sheet'!$J$20="","",'Final Calculation Sheet'!$J$20)</f>
        <v/>
      </c>
      <c r="K35" s="1151">
        <f>IF('Final Calculation Sheet'!$K$20="","",'Final Calculation Sheet'!$K$20)</f>
        <v/>
      </c>
      <c r="L35" s="1155">
        <f>IF('Final Calculation Sheet'!$L$20="","",'Final Calculation Sheet'!$L$20)</f>
        <v/>
      </c>
      <c r="M35" s="1155">
        <f>IF('Final Calculation Sheet'!$M$20="","",'Final Calculation Sheet'!$M$20)</f>
        <v/>
      </c>
      <c r="N35" s="1155">
        <f>IF('Final Calculation Sheet'!$N$20="","",'Final Calculation Sheet'!$N$20)</f>
        <v/>
      </c>
      <c r="O35" s="1155">
        <f>IF('Final Calculation Sheet'!$O$20="","",'Final Calculation Sheet'!$O$20)</f>
        <v/>
      </c>
      <c r="P35" s="1151">
        <f>IF('Final Calculation Sheet'!$P$20="","",'Final Calculation Sheet'!$P$20)</f>
        <v/>
      </c>
      <c r="Q35" s="1156">
        <f>IF('Final Calculation Sheet'!$Q$20="","",'Final Calculation Sheet'!$Q$20)</f>
        <v/>
      </c>
      <c r="R35" s="1151">
        <f>IF('Final Calculation Sheet'!$R$20="","",'Final Calculation Sheet'!$R$20)</f>
        <v/>
      </c>
      <c r="S35" s="1151">
        <f>IF('Final Calculation Sheet'!$S$20="","",'Final Calculation Sheet'!$S$20)</f>
        <v/>
      </c>
      <c r="T35" s="1151">
        <f>IF('Final Calculation Sheet'!$T$20="","",'Final Calculation Sheet'!$T$20)</f>
        <v/>
      </c>
      <c r="U35" s="1151">
        <f>IF('Final Calculation Sheet'!$U$20="","",'Final Calculation Sheet'!$U$20)</f>
        <v/>
      </c>
      <c r="V35" s="1154">
        <f>IF('Final Calculation Sheet'!$V$20="","",'Final Calculation Sheet'!$V$20)</f>
        <v/>
      </c>
      <c r="W35" s="1151">
        <f>IF('Final Calculation Sheet'!$W$20="","",'Final Calculation Sheet'!$W$20)</f>
        <v/>
      </c>
      <c r="X35" s="1151">
        <f>IF('Final Calculation Sheet'!$X$20="","",'Final Calculation Sheet'!$X$20)</f>
        <v/>
      </c>
      <c r="Y35" s="1154">
        <f>IF('Final Calculation Sheet'!$Y$20="","",'Final Calculation Sheet'!$Y$20)</f>
        <v/>
      </c>
      <c r="Z35" s="1151">
        <f>IF('Final Calculation Sheet'!$Z$20="","",'Final Calculation Sheet'!$Z$20)</f>
        <v/>
      </c>
      <c r="AA35" s="1151">
        <f>IF('Final Calculation Sheet'!$AA$20="","",'Final Calculation Sheet'!$AA$20)</f>
        <v/>
      </c>
      <c r="AB35" s="1154">
        <f>IF('Final Calculation Sheet'!$AB$20="","",'Final Calculation Sheet'!$AB$20)</f>
        <v/>
      </c>
      <c r="AC35" s="1151">
        <f>IF('Final Calculation Sheet'!$AC$20="","",'Final Calculation Sheet'!$AC$20)</f>
        <v/>
      </c>
      <c r="AD35" s="1151">
        <f>IF('Final Calculation Sheet'!$AD$20="","",'Final Calculation Sheet'!$AD$20)</f>
        <v/>
      </c>
      <c r="AE35" s="1154">
        <f>IF('Final Calculation Sheet'!$AD$20="","",IF('Final Calculation Sheet'!$AD$20&lt;=0,"SETTLED","OUTSTANDING"))</f>
        <v/>
      </c>
      <c r="AF35" s="1154">
        <f>IF('Final Calculation Sheet'!$AE$20="","",'Final Calculation Sheet'!$AE$20)</f>
        <v/>
      </c>
      <c r="AG35" s="1151">
        <f>IF('Final Calculation Sheet'!$AF$20="","",'Final Calculation Sheet'!$AF$20)</f>
        <v/>
      </c>
      <c r="AH35" s="1154">
        <f>IF('Final Calculation Sheet'!$AG$20="","",'Final Calculation Sheet'!$AG$20)</f>
        <v/>
      </c>
      <c r="AI35" s="1151" t="n">
        <v>20</v>
      </c>
    </row>
    <row r="36" ht="20" customHeight="1">
      <c r="A36" s="1069" t="inlineStr">
        <is>
          <t>▼  S M ENTERPRISES</t>
        </is>
      </c>
      <c r="B36" s="857" t="n"/>
      <c r="C36" s="1190" t="inlineStr">
        <is>
          <t>2 lots  —  click − to fold this buyer</t>
        </is>
      </c>
      <c r="D36" s="857" t="n"/>
      <c r="E36" s="1070">
        <f>SUBTOTAL(109,E37:E38)</f>
        <v/>
      </c>
      <c r="F36" s="857" t="n"/>
      <c r="G36" s="857" t="n"/>
      <c r="H36" s="1071">
        <f>SUBTOTAL(109,H37:H38)</f>
        <v/>
      </c>
      <c r="I36" s="1071">
        <f>SUBTOTAL(109,I37:I38)</f>
        <v/>
      </c>
      <c r="J36" s="1071">
        <f>SUBTOTAL(109,J37:J38)</f>
        <v/>
      </c>
      <c r="K36" s="1071">
        <f>SUBTOTAL(109,K37:K38)</f>
        <v/>
      </c>
      <c r="L36" s="1072">
        <f>SUBTOTAL(109,L37:L38)</f>
        <v/>
      </c>
      <c r="M36" s="1072">
        <f>SUBTOTAL(109,M37:M38)</f>
        <v/>
      </c>
      <c r="N36" s="1072">
        <f>SUBTOTAL(109,N37:N38)</f>
        <v/>
      </c>
      <c r="O36" s="1072">
        <f>SUBTOTAL(109,O37:O38)</f>
        <v/>
      </c>
      <c r="P36" s="1071">
        <f>SUBTOTAL(109,P37:P38)</f>
        <v/>
      </c>
      <c r="Q36" s="857" t="n"/>
      <c r="R36" s="1071">
        <f>SUBTOTAL(109,R37:R38)</f>
        <v/>
      </c>
      <c r="S36" s="1071">
        <f>SUBTOTAL(109,S37:S38)</f>
        <v/>
      </c>
      <c r="T36" s="1071">
        <f>SUBTOTAL(109,T37:T38)</f>
        <v/>
      </c>
      <c r="U36" s="1071">
        <f>SUBTOTAL(109,U37:U38)</f>
        <v/>
      </c>
      <c r="V36" s="857" t="n"/>
      <c r="W36" s="1071">
        <f>SUBTOTAL(109,W37:W38)</f>
        <v/>
      </c>
      <c r="X36" s="1071">
        <f>SUBTOTAL(109,X37:X38)</f>
        <v/>
      </c>
      <c r="Y36" s="857" t="n"/>
      <c r="Z36" s="1071">
        <f>SUBTOTAL(109,Z37:Z38)</f>
        <v/>
      </c>
      <c r="AA36" s="1071">
        <f>SUBTOTAL(109,AA37:AA38)</f>
        <v/>
      </c>
      <c r="AB36" s="857" t="n"/>
      <c r="AC36" s="1071">
        <f>SUBTOTAL(109,AC37:AC38)</f>
        <v/>
      </c>
      <c r="AD36" s="1071">
        <f>SUBTOTAL(109,AD37:AD38)</f>
        <v/>
      </c>
      <c r="AE36" s="857" t="n"/>
      <c r="AF36" s="857" t="n"/>
      <c r="AG36" s="857" t="n"/>
      <c r="AH36" s="857" t="n"/>
      <c r="AI36" s="857" t="n"/>
    </row>
    <row r="37" outlineLevel="1" ht="15" customHeight="1">
      <c r="A37" s="1064">
        <f>IF('Final Calculation Sheet'!$G$39="","",'Final Calculation Sheet'!$G$39)</f>
        <v/>
      </c>
      <c r="B37" s="1063">
        <f>IF('Final Calculation Sheet'!$F$39="","",'Final Calculation Sheet'!$F$39)</f>
        <v/>
      </c>
      <c r="C37" s="1064">
        <f>IF('Final Calculation Sheet'!$B$39="","",'Final Calculation Sheet'!$B$39)</f>
        <v/>
      </c>
      <c r="D37" s="1063">
        <f>IF('Final Calculation Sheet'!$D$39="","",'Final Calculation Sheet'!$D$39)</f>
        <v/>
      </c>
      <c r="E37" s="1065">
        <f>IF('Final Calculation Sheet'!$A$39="","",'Final Calculation Sheet'!$A$39)</f>
        <v/>
      </c>
      <c r="F37" s="1066">
        <f>IF('Final Calculation Sheet'!$E$39="","",'Final Calculation Sheet'!$E$39)</f>
        <v/>
      </c>
      <c r="G37" s="1063">
        <f>IF('Final Calculation Sheet'!$C$39="","",'Final Calculation Sheet'!$C$39)</f>
        <v/>
      </c>
      <c r="H37" s="1063">
        <f>IF('Final Calculation Sheet'!$H$39="","",'Final Calculation Sheet'!$H$39)</f>
        <v/>
      </c>
      <c r="I37" s="1063">
        <f>IF('Final Calculation Sheet'!$I$39="","",'Final Calculation Sheet'!$I$39)</f>
        <v/>
      </c>
      <c r="J37" s="1063">
        <f>IF('Final Calculation Sheet'!$J$39="","",'Final Calculation Sheet'!$J$39)</f>
        <v/>
      </c>
      <c r="K37" s="1063">
        <f>IF('Final Calculation Sheet'!$K$39="","",'Final Calculation Sheet'!$K$39)</f>
        <v/>
      </c>
      <c r="L37" s="1067">
        <f>IF('Final Calculation Sheet'!$L$39="","",'Final Calculation Sheet'!$L$39)</f>
        <v/>
      </c>
      <c r="M37" s="1067">
        <f>IF('Final Calculation Sheet'!$M$39="","",'Final Calculation Sheet'!$M$39)</f>
        <v/>
      </c>
      <c r="N37" s="1067">
        <f>IF('Final Calculation Sheet'!$N$39="","",'Final Calculation Sheet'!$N$39)</f>
        <v/>
      </c>
      <c r="O37" s="1067">
        <f>IF('Final Calculation Sheet'!$O$39="","",'Final Calculation Sheet'!$O$39)</f>
        <v/>
      </c>
      <c r="P37" s="1063">
        <f>IF('Final Calculation Sheet'!$P$39="","",'Final Calculation Sheet'!$P$39)</f>
        <v/>
      </c>
      <c r="Q37" s="1068">
        <f>IF('Final Calculation Sheet'!$Q$39="","",'Final Calculation Sheet'!$Q$39)</f>
        <v/>
      </c>
      <c r="R37" s="1063">
        <f>IF('Final Calculation Sheet'!$R$39="","",'Final Calculation Sheet'!$R$39)</f>
        <v/>
      </c>
      <c r="S37" s="1063">
        <f>IF('Final Calculation Sheet'!$S$39="","",'Final Calculation Sheet'!$S$39)</f>
        <v/>
      </c>
      <c r="T37" s="1063">
        <f>IF('Final Calculation Sheet'!$T$39="","",'Final Calculation Sheet'!$T$39)</f>
        <v/>
      </c>
      <c r="U37" s="1063">
        <f>IF('Final Calculation Sheet'!$U$39="","",'Final Calculation Sheet'!$U$39)</f>
        <v/>
      </c>
      <c r="V37" s="1066">
        <f>IF('Final Calculation Sheet'!$V$39="","",'Final Calculation Sheet'!$V$39)</f>
        <v/>
      </c>
      <c r="W37" s="1063">
        <f>IF('Final Calculation Sheet'!$W$39="","",'Final Calculation Sheet'!$W$39)</f>
        <v/>
      </c>
      <c r="X37" s="1063">
        <f>IF('Final Calculation Sheet'!$X$39="","",'Final Calculation Sheet'!$X$39)</f>
        <v/>
      </c>
      <c r="Y37" s="1066">
        <f>IF('Final Calculation Sheet'!$Y$39="","",'Final Calculation Sheet'!$Y$39)</f>
        <v/>
      </c>
      <c r="Z37" s="1063">
        <f>IF('Final Calculation Sheet'!$Z$39="","",'Final Calculation Sheet'!$Z$39)</f>
        <v/>
      </c>
      <c r="AA37" s="1063">
        <f>IF('Final Calculation Sheet'!$AA$39="","",'Final Calculation Sheet'!$AA$39)</f>
        <v/>
      </c>
      <c r="AB37" s="1066">
        <f>IF('Final Calculation Sheet'!$AB$39="","",'Final Calculation Sheet'!$AB$39)</f>
        <v/>
      </c>
      <c r="AC37" s="1063">
        <f>IF('Final Calculation Sheet'!$AC$39="","",'Final Calculation Sheet'!$AC$39)</f>
        <v/>
      </c>
      <c r="AD37" s="1063">
        <f>IF('Final Calculation Sheet'!$AD$39="","",'Final Calculation Sheet'!$AD$39)</f>
        <v/>
      </c>
      <c r="AE37" s="1066">
        <f>IF('Final Calculation Sheet'!$AD$39="","",IF('Final Calculation Sheet'!$AD$39&lt;=0,"SETTLED","OUTSTANDING"))</f>
        <v/>
      </c>
      <c r="AF37" s="1066">
        <f>IF('Final Calculation Sheet'!$AE$39="","",'Final Calculation Sheet'!$AE$39)</f>
        <v/>
      </c>
      <c r="AG37" s="1063">
        <f>IF('Final Calculation Sheet'!$AF$39="","",'Final Calculation Sheet'!$AF$39)</f>
        <v/>
      </c>
      <c r="AH37" s="1066">
        <f>IF('Final Calculation Sheet'!$AG$39="","",'Final Calculation Sheet'!$AG$39)</f>
        <v/>
      </c>
      <c r="AI37" s="1063" t="n">
        <v>39</v>
      </c>
    </row>
    <row r="38" outlineLevel="1" ht="15" customHeight="1">
      <c r="A38" s="1162">
        <f>IF('Final Calculation Sheet'!$G$40="","",'Final Calculation Sheet'!$G$40)</f>
        <v/>
      </c>
      <c r="B38" s="1161">
        <f>IF('Final Calculation Sheet'!$F$40="","",'Final Calculation Sheet'!$F$40)</f>
        <v/>
      </c>
      <c r="C38" s="1162">
        <f>IF('Final Calculation Sheet'!$B$40="","",'Final Calculation Sheet'!$B$40)</f>
        <v/>
      </c>
      <c r="D38" s="1161">
        <f>IF('Final Calculation Sheet'!$D$40="","",'Final Calculation Sheet'!$D$40)</f>
        <v/>
      </c>
      <c r="E38" s="1163">
        <f>IF('Final Calculation Sheet'!$A$40="","",'Final Calculation Sheet'!$A$40)</f>
        <v/>
      </c>
      <c r="F38" s="1164">
        <f>IF('Final Calculation Sheet'!$E$40="","",'Final Calculation Sheet'!$E$40)</f>
        <v/>
      </c>
      <c r="G38" s="1161">
        <f>IF('Final Calculation Sheet'!$C$40="","",'Final Calculation Sheet'!$C$40)</f>
        <v/>
      </c>
      <c r="H38" s="1161">
        <f>IF('Final Calculation Sheet'!$H$40="","",'Final Calculation Sheet'!$H$40)</f>
        <v/>
      </c>
      <c r="I38" s="1161">
        <f>IF('Final Calculation Sheet'!$I$40="","",'Final Calculation Sheet'!$I$40)</f>
        <v/>
      </c>
      <c r="J38" s="1161">
        <f>IF('Final Calculation Sheet'!$J$40="","",'Final Calculation Sheet'!$J$40)</f>
        <v/>
      </c>
      <c r="K38" s="1161">
        <f>IF('Final Calculation Sheet'!$K$40="","",'Final Calculation Sheet'!$K$40)</f>
        <v/>
      </c>
      <c r="L38" s="1165">
        <f>IF('Final Calculation Sheet'!$L$40="","",'Final Calculation Sheet'!$L$40)</f>
        <v/>
      </c>
      <c r="M38" s="1165">
        <f>IF('Final Calculation Sheet'!$M$40="","",'Final Calculation Sheet'!$M$40)</f>
        <v/>
      </c>
      <c r="N38" s="1165">
        <f>IF('Final Calculation Sheet'!$N$40="","",'Final Calculation Sheet'!$N$40)</f>
        <v/>
      </c>
      <c r="O38" s="1165">
        <f>IF('Final Calculation Sheet'!$O$40="","",'Final Calculation Sheet'!$O$40)</f>
        <v/>
      </c>
      <c r="P38" s="1161">
        <f>IF('Final Calculation Sheet'!$P$40="","",'Final Calculation Sheet'!$P$40)</f>
        <v/>
      </c>
      <c r="Q38" s="1166">
        <f>IF('Final Calculation Sheet'!$Q$40="","",'Final Calculation Sheet'!$Q$40)</f>
        <v/>
      </c>
      <c r="R38" s="1161">
        <f>IF('Final Calculation Sheet'!$R$40="","",'Final Calculation Sheet'!$R$40)</f>
        <v/>
      </c>
      <c r="S38" s="1161">
        <f>IF('Final Calculation Sheet'!$S$40="","",'Final Calculation Sheet'!$S$40)</f>
        <v/>
      </c>
      <c r="T38" s="1161">
        <f>IF('Final Calculation Sheet'!$T$40="","",'Final Calculation Sheet'!$T$40)</f>
        <v/>
      </c>
      <c r="U38" s="1161">
        <f>IF('Final Calculation Sheet'!$U$40="","",'Final Calculation Sheet'!$U$40)</f>
        <v/>
      </c>
      <c r="V38" s="1164">
        <f>IF('Final Calculation Sheet'!$V$40="","",'Final Calculation Sheet'!$V$40)</f>
        <v/>
      </c>
      <c r="W38" s="1161">
        <f>IF('Final Calculation Sheet'!$W$40="","",'Final Calculation Sheet'!$W$40)</f>
        <v/>
      </c>
      <c r="X38" s="1161">
        <f>IF('Final Calculation Sheet'!$X$40="","",'Final Calculation Sheet'!$X$40)</f>
        <v/>
      </c>
      <c r="Y38" s="1164">
        <f>IF('Final Calculation Sheet'!$Y$40="","",'Final Calculation Sheet'!$Y$40)</f>
        <v/>
      </c>
      <c r="Z38" s="1161">
        <f>IF('Final Calculation Sheet'!$Z$40="","",'Final Calculation Sheet'!$Z$40)</f>
        <v/>
      </c>
      <c r="AA38" s="1161">
        <f>IF('Final Calculation Sheet'!$AA$40="","",'Final Calculation Sheet'!$AA$40)</f>
        <v/>
      </c>
      <c r="AB38" s="1164">
        <f>IF('Final Calculation Sheet'!$AB$40="","",'Final Calculation Sheet'!$AB$40)</f>
        <v/>
      </c>
      <c r="AC38" s="1161">
        <f>IF('Final Calculation Sheet'!$AC$40="","",'Final Calculation Sheet'!$AC$40)</f>
        <v/>
      </c>
      <c r="AD38" s="1161">
        <f>IF('Final Calculation Sheet'!$AD$40="","",'Final Calculation Sheet'!$AD$40)</f>
        <v/>
      </c>
      <c r="AE38" s="1164">
        <f>IF('Final Calculation Sheet'!$AD$40="","",IF('Final Calculation Sheet'!$AD$40&lt;=0,"SETTLED","OUTSTANDING"))</f>
        <v/>
      </c>
      <c r="AF38" s="1164">
        <f>IF('Final Calculation Sheet'!$AE$40="","",'Final Calculation Sheet'!$AE$40)</f>
        <v/>
      </c>
      <c r="AG38" s="1161">
        <f>IF('Final Calculation Sheet'!$AF$40="","",'Final Calculation Sheet'!$AF$40)</f>
        <v/>
      </c>
      <c r="AH38" s="1164">
        <f>IF('Final Calculation Sheet'!$AG$40="","",'Final Calculation Sheet'!$AG$40)</f>
        <v/>
      </c>
      <c r="AI38" s="1161" t="n">
        <v>40</v>
      </c>
    </row>
    <row r="39" ht="20" customHeight="1">
      <c r="A39" s="1085" t="inlineStr">
        <is>
          <t>▼  SAHARA ENTERPRISES</t>
        </is>
      </c>
      <c r="B39" s="868" t="n"/>
      <c r="C39" s="1191" t="inlineStr">
        <is>
          <t>1 lot  —  click − to fold this buyer</t>
        </is>
      </c>
      <c r="D39" s="868" t="n"/>
      <c r="E39" s="1086">
        <f>SUBTOTAL(109,E40:E40)</f>
        <v/>
      </c>
      <c r="F39" s="868" t="n"/>
      <c r="G39" s="868" t="n"/>
      <c r="H39" s="1087">
        <f>SUBTOTAL(109,H40:H40)</f>
        <v/>
      </c>
      <c r="I39" s="1087">
        <f>SUBTOTAL(109,I40:I40)</f>
        <v/>
      </c>
      <c r="J39" s="1087">
        <f>SUBTOTAL(109,J40:J40)</f>
        <v/>
      </c>
      <c r="K39" s="1087">
        <f>SUBTOTAL(109,K40:K40)</f>
        <v/>
      </c>
      <c r="L39" s="1088">
        <f>SUBTOTAL(109,L40:L40)</f>
        <v/>
      </c>
      <c r="M39" s="1088">
        <f>SUBTOTAL(109,M40:M40)</f>
        <v/>
      </c>
      <c r="N39" s="1088">
        <f>SUBTOTAL(109,N40:N40)</f>
        <v/>
      </c>
      <c r="O39" s="1088">
        <f>SUBTOTAL(109,O40:O40)</f>
        <v/>
      </c>
      <c r="P39" s="1087">
        <f>SUBTOTAL(109,P40:P40)</f>
        <v/>
      </c>
      <c r="Q39" s="868" t="n"/>
      <c r="R39" s="1087">
        <f>SUBTOTAL(109,R40:R40)</f>
        <v/>
      </c>
      <c r="S39" s="1087">
        <f>SUBTOTAL(109,S40:S40)</f>
        <v/>
      </c>
      <c r="T39" s="1087">
        <f>SUBTOTAL(109,T40:T40)</f>
        <v/>
      </c>
      <c r="U39" s="1087">
        <f>SUBTOTAL(109,U40:U40)</f>
        <v/>
      </c>
      <c r="V39" s="868" t="n"/>
      <c r="W39" s="1087">
        <f>SUBTOTAL(109,W40:W40)</f>
        <v/>
      </c>
      <c r="X39" s="1087">
        <f>SUBTOTAL(109,X40:X40)</f>
        <v/>
      </c>
      <c r="Y39" s="868" t="n"/>
      <c r="Z39" s="1087">
        <f>SUBTOTAL(109,Z40:Z40)</f>
        <v/>
      </c>
      <c r="AA39" s="1087">
        <f>SUBTOTAL(109,AA40:AA40)</f>
        <v/>
      </c>
      <c r="AB39" s="868" t="n"/>
      <c r="AC39" s="1087">
        <f>SUBTOTAL(109,AC40:AC40)</f>
        <v/>
      </c>
      <c r="AD39" s="1087">
        <f>SUBTOTAL(109,AD40:AD40)</f>
        <v/>
      </c>
      <c r="AE39" s="868" t="n"/>
      <c r="AF39" s="868" t="n"/>
      <c r="AG39" s="868" t="n"/>
      <c r="AH39" s="868" t="n"/>
      <c r="AI39" s="868" t="n"/>
    </row>
    <row r="40" outlineLevel="1" ht="15" customHeight="1">
      <c r="A40" s="1074">
        <f>IF('Final Calculation Sheet'!$G$31="","",'Final Calculation Sheet'!$G$31)</f>
        <v/>
      </c>
      <c r="B40" s="1073">
        <f>IF('Final Calculation Sheet'!$F$31="","",'Final Calculation Sheet'!$F$31)</f>
        <v/>
      </c>
      <c r="C40" s="1074">
        <f>IF('Final Calculation Sheet'!$B$31="","",'Final Calculation Sheet'!$B$31)</f>
        <v/>
      </c>
      <c r="D40" s="1073">
        <f>IF('Final Calculation Sheet'!$D$31="","",'Final Calculation Sheet'!$D$31)</f>
        <v/>
      </c>
      <c r="E40" s="1075">
        <f>IF('Final Calculation Sheet'!$A$31="","",'Final Calculation Sheet'!$A$31)</f>
        <v/>
      </c>
      <c r="F40" s="1076">
        <f>IF('Final Calculation Sheet'!$E$31="","",'Final Calculation Sheet'!$E$31)</f>
        <v/>
      </c>
      <c r="G40" s="1073">
        <f>IF('Final Calculation Sheet'!$C$31="","",'Final Calculation Sheet'!$C$31)</f>
        <v/>
      </c>
      <c r="H40" s="1073">
        <f>IF('Final Calculation Sheet'!$H$31="","",'Final Calculation Sheet'!$H$31)</f>
        <v/>
      </c>
      <c r="I40" s="1073">
        <f>IF('Final Calculation Sheet'!$I$31="","",'Final Calculation Sheet'!$I$31)</f>
        <v/>
      </c>
      <c r="J40" s="1073">
        <f>IF('Final Calculation Sheet'!$J$31="","",'Final Calculation Sheet'!$J$31)</f>
        <v/>
      </c>
      <c r="K40" s="1073">
        <f>IF('Final Calculation Sheet'!$K$31="","",'Final Calculation Sheet'!$K$31)</f>
        <v/>
      </c>
      <c r="L40" s="1077">
        <f>IF('Final Calculation Sheet'!$L$31="","",'Final Calculation Sheet'!$L$31)</f>
        <v/>
      </c>
      <c r="M40" s="1077">
        <f>IF('Final Calculation Sheet'!$M$31="","",'Final Calculation Sheet'!$M$31)</f>
        <v/>
      </c>
      <c r="N40" s="1077">
        <f>IF('Final Calculation Sheet'!$N$31="","",'Final Calculation Sheet'!$N$31)</f>
        <v/>
      </c>
      <c r="O40" s="1077">
        <f>IF('Final Calculation Sheet'!$O$31="","",'Final Calculation Sheet'!$O$31)</f>
        <v/>
      </c>
      <c r="P40" s="1073">
        <f>IF('Final Calculation Sheet'!$P$31="","",'Final Calculation Sheet'!$P$31)</f>
        <v/>
      </c>
      <c r="Q40" s="1078">
        <f>IF('Final Calculation Sheet'!$Q$31="","",'Final Calculation Sheet'!$Q$31)</f>
        <v/>
      </c>
      <c r="R40" s="1073">
        <f>IF('Final Calculation Sheet'!$R$31="","",'Final Calculation Sheet'!$R$31)</f>
        <v/>
      </c>
      <c r="S40" s="1073">
        <f>IF('Final Calculation Sheet'!$S$31="","",'Final Calculation Sheet'!$S$31)</f>
        <v/>
      </c>
      <c r="T40" s="1073">
        <f>IF('Final Calculation Sheet'!$T$31="","",'Final Calculation Sheet'!$T$31)</f>
        <v/>
      </c>
      <c r="U40" s="1073">
        <f>IF('Final Calculation Sheet'!$U$31="","",'Final Calculation Sheet'!$U$31)</f>
        <v/>
      </c>
      <c r="V40" s="1076">
        <f>IF('Final Calculation Sheet'!$V$31="","",'Final Calculation Sheet'!$V$31)</f>
        <v/>
      </c>
      <c r="W40" s="1073">
        <f>IF('Final Calculation Sheet'!$W$31="","",'Final Calculation Sheet'!$W$31)</f>
        <v/>
      </c>
      <c r="X40" s="1073">
        <f>IF('Final Calculation Sheet'!$X$31="","",'Final Calculation Sheet'!$X$31)</f>
        <v/>
      </c>
      <c r="Y40" s="1076">
        <f>IF('Final Calculation Sheet'!$Y$31="","",'Final Calculation Sheet'!$Y$31)</f>
        <v/>
      </c>
      <c r="Z40" s="1073">
        <f>IF('Final Calculation Sheet'!$Z$31="","",'Final Calculation Sheet'!$Z$31)</f>
        <v/>
      </c>
      <c r="AA40" s="1073">
        <f>IF('Final Calculation Sheet'!$AA$31="","",'Final Calculation Sheet'!$AA$31)</f>
        <v/>
      </c>
      <c r="AB40" s="1076">
        <f>IF('Final Calculation Sheet'!$AB$31="","",'Final Calculation Sheet'!$AB$31)</f>
        <v/>
      </c>
      <c r="AC40" s="1073">
        <f>IF('Final Calculation Sheet'!$AC$31="","",'Final Calculation Sheet'!$AC$31)</f>
        <v/>
      </c>
      <c r="AD40" s="1073">
        <f>IF('Final Calculation Sheet'!$AD$31="","",'Final Calculation Sheet'!$AD$31)</f>
        <v/>
      </c>
      <c r="AE40" s="1076">
        <f>IF('Final Calculation Sheet'!$AD$31="","",IF('Final Calculation Sheet'!$AD$31&lt;=0,"SETTLED","OUTSTANDING"))</f>
        <v/>
      </c>
      <c r="AF40" s="1076">
        <f>IF('Final Calculation Sheet'!$AE$31="","",'Final Calculation Sheet'!$AE$31)</f>
        <v/>
      </c>
      <c r="AG40" s="1073">
        <f>IF('Final Calculation Sheet'!$AF$31="","",'Final Calculation Sheet'!$AF$31)</f>
        <v/>
      </c>
      <c r="AH40" s="1076">
        <f>IF('Final Calculation Sheet'!$AG$31="","",'Final Calculation Sheet'!$AG$31)</f>
        <v/>
      </c>
      <c r="AI40" s="1073" t="n">
        <v>31</v>
      </c>
    </row>
    <row r="41" ht="20" customHeight="1">
      <c r="A41" s="1095" t="inlineStr">
        <is>
          <t>▼  SHAR JAHAN TRADERS</t>
        </is>
      </c>
      <c r="B41" s="878" t="n"/>
      <c r="C41" s="1192" t="inlineStr">
        <is>
          <t>2 lots  —  click − to fold this buyer</t>
        </is>
      </c>
      <c r="D41" s="878" t="n"/>
      <c r="E41" s="1096">
        <f>SUBTOTAL(109,E42:E43)</f>
        <v/>
      </c>
      <c r="F41" s="878" t="n"/>
      <c r="G41" s="878" t="n"/>
      <c r="H41" s="1097">
        <f>SUBTOTAL(109,H42:H43)</f>
        <v/>
      </c>
      <c r="I41" s="1097">
        <f>SUBTOTAL(109,I42:I43)</f>
        <v/>
      </c>
      <c r="J41" s="1097">
        <f>SUBTOTAL(109,J42:J43)</f>
        <v/>
      </c>
      <c r="K41" s="1097">
        <f>SUBTOTAL(109,K42:K43)</f>
        <v/>
      </c>
      <c r="L41" s="1098">
        <f>SUBTOTAL(109,L42:L43)</f>
        <v/>
      </c>
      <c r="M41" s="1098">
        <f>SUBTOTAL(109,M42:M43)</f>
        <v/>
      </c>
      <c r="N41" s="1098">
        <f>SUBTOTAL(109,N42:N43)</f>
        <v/>
      </c>
      <c r="O41" s="1098">
        <f>SUBTOTAL(109,O42:O43)</f>
        <v/>
      </c>
      <c r="P41" s="1097">
        <f>SUBTOTAL(109,P42:P43)</f>
        <v/>
      </c>
      <c r="Q41" s="878" t="n"/>
      <c r="R41" s="1097">
        <f>SUBTOTAL(109,R42:R43)</f>
        <v/>
      </c>
      <c r="S41" s="1097">
        <f>SUBTOTAL(109,S42:S43)</f>
        <v/>
      </c>
      <c r="T41" s="1097">
        <f>SUBTOTAL(109,T42:T43)</f>
        <v/>
      </c>
      <c r="U41" s="1097">
        <f>SUBTOTAL(109,U42:U43)</f>
        <v/>
      </c>
      <c r="V41" s="878" t="n"/>
      <c r="W41" s="1097">
        <f>SUBTOTAL(109,W42:W43)</f>
        <v/>
      </c>
      <c r="X41" s="1097">
        <f>SUBTOTAL(109,X42:X43)</f>
        <v/>
      </c>
      <c r="Y41" s="878" t="n"/>
      <c r="Z41" s="1097">
        <f>SUBTOTAL(109,Z42:Z43)</f>
        <v/>
      </c>
      <c r="AA41" s="1097">
        <f>SUBTOTAL(109,AA42:AA43)</f>
        <v/>
      </c>
      <c r="AB41" s="878" t="n"/>
      <c r="AC41" s="1097">
        <f>SUBTOTAL(109,AC42:AC43)</f>
        <v/>
      </c>
      <c r="AD41" s="1097">
        <f>SUBTOTAL(109,AD42:AD43)</f>
        <v/>
      </c>
      <c r="AE41" s="878" t="n"/>
      <c r="AF41" s="878" t="n"/>
      <c r="AG41" s="878" t="n"/>
      <c r="AH41" s="878" t="n"/>
      <c r="AI41" s="878" t="n"/>
    </row>
    <row r="42" outlineLevel="1" ht="15" customHeight="1">
      <c r="A42" s="1090">
        <f>IF('Final Calculation Sheet'!$G$9="","",'Final Calculation Sheet'!$G$9)</f>
        <v/>
      </c>
      <c r="B42" s="1089">
        <f>IF('Final Calculation Sheet'!$F$9="","",'Final Calculation Sheet'!$F$9)</f>
        <v/>
      </c>
      <c r="C42" s="1090">
        <f>IF('Final Calculation Sheet'!$B$9="","",'Final Calculation Sheet'!$B$9)</f>
        <v/>
      </c>
      <c r="D42" s="1089">
        <f>IF('Final Calculation Sheet'!$D$9="","",'Final Calculation Sheet'!$D$9)</f>
        <v/>
      </c>
      <c r="E42" s="1091">
        <f>IF('Final Calculation Sheet'!$A$9="","",'Final Calculation Sheet'!$A$9)</f>
        <v/>
      </c>
      <c r="F42" s="1092">
        <f>IF('Final Calculation Sheet'!$E$9="","",'Final Calculation Sheet'!$E$9)</f>
        <v/>
      </c>
      <c r="G42" s="1089">
        <f>IF('Final Calculation Sheet'!$C$9="","",'Final Calculation Sheet'!$C$9)</f>
        <v/>
      </c>
      <c r="H42" s="1089">
        <f>IF('Final Calculation Sheet'!$H$9="","",'Final Calculation Sheet'!$H$9)</f>
        <v/>
      </c>
      <c r="I42" s="1089">
        <f>IF('Final Calculation Sheet'!$I$9="","",'Final Calculation Sheet'!$I$9)</f>
        <v/>
      </c>
      <c r="J42" s="1089">
        <f>IF('Final Calculation Sheet'!$J$9="","",'Final Calculation Sheet'!$J$9)</f>
        <v/>
      </c>
      <c r="K42" s="1089">
        <f>IF('Final Calculation Sheet'!$K$9="","",'Final Calculation Sheet'!$K$9)</f>
        <v/>
      </c>
      <c r="L42" s="1093">
        <f>IF('Final Calculation Sheet'!$L$9="","",'Final Calculation Sheet'!$L$9)</f>
        <v/>
      </c>
      <c r="M42" s="1093">
        <f>IF('Final Calculation Sheet'!$M$9="","",'Final Calculation Sheet'!$M$9)</f>
        <v/>
      </c>
      <c r="N42" s="1093">
        <f>IF('Final Calculation Sheet'!$N$9="","",'Final Calculation Sheet'!$N$9)</f>
        <v/>
      </c>
      <c r="O42" s="1093">
        <f>IF('Final Calculation Sheet'!$O$9="","",'Final Calculation Sheet'!$O$9)</f>
        <v/>
      </c>
      <c r="P42" s="1089">
        <f>IF('Final Calculation Sheet'!$P$9="","",'Final Calculation Sheet'!$P$9)</f>
        <v/>
      </c>
      <c r="Q42" s="1094">
        <f>IF('Final Calculation Sheet'!$Q$9="","",'Final Calculation Sheet'!$Q$9)</f>
        <v/>
      </c>
      <c r="R42" s="1089">
        <f>IF('Final Calculation Sheet'!$R$9="","",'Final Calculation Sheet'!$R$9)</f>
        <v/>
      </c>
      <c r="S42" s="1089">
        <f>IF('Final Calculation Sheet'!$S$9="","",'Final Calculation Sheet'!$S$9)</f>
        <v/>
      </c>
      <c r="T42" s="1089">
        <f>IF('Final Calculation Sheet'!$T$9="","",'Final Calculation Sheet'!$T$9)</f>
        <v/>
      </c>
      <c r="U42" s="1089">
        <f>IF('Final Calculation Sheet'!$U$9="","",'Final Calculation Sheet'!$U$9)</f>
        <v/>
      </c>
      <c r="V42" s="1092">
        <f>IF('Final Calculation Sheet'!$V$9="","",'Final Calculation Sheet'!$V$9)</f>
        <v/>
      </c>
      <c r="W42" s="1089">
        <f>IF('Final Calculation Sheet'!$W$9="","",'Final Calculation Sheet'!$W$9)</f>
        <v/>
      </c>
      <c r="X42" s="1089">
        <f>IF('Final Calculation Sheet'!$X$9="","",'Final Calculation Sheet'!$X$9)</f>
        <v/>
      </c>
      <c r="Y42" s="1092">
        <f>IF('Final Calculation Sheet'!$Y$9="","",'Final Calculation Sheet'!$Y$9)</f>
        <v/>
      </c>
      <c r="Z42" s="1089">
        <f>IF('Final Calculation Sheet'!$Z$9="","",'Final Calculation Sheet'!$Z$9)</f>
        <v/>
      </c>
      <c r="AA42" s="1089">
        <f>IF('Final Calculation Sheet'!$AA$9="","",'Final Calculation Sheet'!$AA$9)</f>
        <v/>
      </c>
      <c r="AB42" s="1092">
        <f>IF('Final Calculation Sheet'!$AB$9="","",'Final Calculation Sheet'!$AB$9)</f>
        <v/>
      </c>
      <c r="AC42" s="1089">
        <f>IF('Final Calculation Sheet'!$AC$9="","",'Final Calculation Sheet'!$AC$9)</f>
        <v/>
      </c>
      <c r="AD42" s="1089">
        <f>IF('Final Calculation Sheet'!$AD$9="","",'Final Calculation Sheet'!$AD$9)</f>
        <v/>
      </c>
      <c r="AE42" s="1092">
        <f>IF('Final Calculation Sheet'!$AD$9="","",IF('Final Calculation Sheet'!$AD$9&lt;=0,"SETTLED","OUTSTANDING"))</f>
        <v/>
      </c>
      <c r="AF42" s="1092">
        <f>IF('Final Calculation Sheet'!$AE$9="","",'Final Calculation Sheet'!$AE$9)</f>
        <v/>
      </c>
      <c r="AG42" s="1089">
        <f>IF('Final Calculation Sheet'!$AF$9="","",'Final Calculation Sheet'!$AF$9)</f>
        <v/>
      </c>
      <c r="AH42" s="1092">
        <f>IF('Final Calculation Sheet'!$AG$9="","",'Final Calculation Sheet'!$AG$9)</f>
        <v/>
      </c>
      <c r="AI42" s="1089" t="n">
        <v>9</v>
      </c>
    </row>
    <row r="43" outlineLevel="1" ht="15" customHeight="1">
      <c r="A43" s="1168">
        <f>IF('Final Calculation Sheet'!$G$14="","",'Final Calculation Sheet'!$G$14)</f>
        <v/>
      </c>
      <c r="B43" s="1167">
        <f>IF('Final Calculation Sheet'!$F$14="","",'Final Calculation Sheet'!$F$14)</f>
        <v/>
      </c>
      <c r="C43" s="1168">
        <f>IF('Final Calculation Sheet'!$B$14="","",'Final Calculation Sheet'!$B$14)</f>
        <v/>
      </c>
      <c r="D43" s="1167">
        <f>IF('Final Calculation Sheet'!$D$14="","",'Final Calculation Sheet'!$D$14)</f>
        <v/>
      </c>
      <c r="E43" s="1169">
        <f>IF('Final Calculation Sheet'!$A$14="","",'Final Calculation Sheet'!$A$14)</f>
        <v/>
      </c>
      <c r="F43" s="1170">
        <f>IF('Final Calculation Sheet'!$E$14="","",'Final Calculation Sheet'!$E$14)</f>
        <v/>
      </c>
      <c r="G43" s="1167">
        <f>IF('Final Calculation Sheet'!$C$14="","",'Final Calculation Sheet'!$C$14)</f>
        <v/>
      </c>
      <c r="H43" s="1167">
        <f>IF('Final Calculation Sheet'!$H$14="","",'Final Calculation Sheet'!$H$14)</f>
        <v/>
      </c>
      <c r="I43" s="1167">
        <f>IF('Final Calculation Sheet'!$I$14="","",'Final Calculation Sheet'!$I$14)</f>
        <v/>
      </c>
      <c r="J43" s="1167">
        <f>IF('Final Calculation Sheet'!$J$14="","",'Final Calculation Sheet'!$J$14)</f>
        <v/>
      </c>
      <c r="K43" s="1167">
        <f>IF('Final Calculation Sheet'!$K$14="","",'Final Calculation Sheet'!$K$14)</f>
        <v/>
      </c>
      <c r="L43" s="1171">
        <f>IF('Final Calculation Sheet'!$L$14="","",'Final Calculation Sheet'!$L$14)</f>
        <v/>
      </c>
      <c r="M43" s="1171">
        <f>IF('Final Calculation Sheet'!$M$14="","",'Final Calculation Sheet'!$M$14)</f>
        <v/>
      </c>
      <c r="N43" s="1171">
        <f>IF('Final Calculation Sheet'!$N$14="","",'Final Calculation Sheet'!$N$14)</f>
        <v/>
      </c>
      <c r="O43" s="1171">
        <f>IF('Final Calculation Sheet'!$O$14="","",'Final Calculation Sheet'!$O$14)</f>
        <v/>
      </c>
      <c r="P43" s="1167">
        <f>IF('Final Calculation Sheet'!$P$14="","",'Final Calculation Sheet'!$P$14)</f>
        <v/>
      </c>
      <c r="Q43" s="1172">
        <f>IF('Final Calculation Sheet'!$Q$14="","",'Final Calculation Sheet'!$Q$14)</f>
        <v/>
      </c>
      <c r="R43" s="1167">
        <f>IF('Final Calculation Sheet'!$R$14="","",'Final Calculation Sheet'!$R$14)</f>
        <v/>
      </c>
      <c r="S43" s="1167">
        <f>IF('Final Calculation Sheet'!$S$14="","",'Final Calculation Sheet'!$S$14)</f>
        <v/>
      </c>
      <c r="T43" s="1167">
        <f>IF('Final Calculation Sheet'!$T$14="","",'Final Calculation Sheet'!$T$14)</f>
        <v/>
      </c>
      <c r="U43" s="1167">
        <f>IF('Final Calculation Sheet'!$U$14="","",'Final Calculation Sheet'!$U$14)</f>
        <v/>
      </c>
      <c r="V43" s="1170">
        <f>IF('Final Calculation Sheet'!$V$14="","",'Final Calculation Sheet'!$V$14)</f>
        <v/>
      </c>
      <c r="W43" s="1167">
        <f>IF('Final Calculation Sheet'!$W$14="","",'Final Calculation Sheet'!$W$14)</f>
        <v/>
      </c>
      <c r="X43" s="1167">
        <f>IF('Final Calculation Sheet'!$X$14="","",'Final Calculation Sheet'!$X$14)</f>
        <v/>
      </c>
      <c r="Y43" s="1170">
        <f>IF('Final Calculation Sheet'!$Y$14="","",'Final Calculation Sheet'!$Y$14)</f>
        <v/>
      </c>
      <c r="Z43" s="1167">
        <f>IF('Final Calculation Sheet'!$Z$14="","",'Final Calculation Sheet'!$Z$14)</f>
        <v/>
      </c>
      <c r="AA43" s="1167">
        <f>IF('Final Calculation Sheet'!$AA$14="","",'Final Calculation Sheet'!$AA$14)</f>
        <v/>
      </c>
      <c r="AB43" s="1170">
        <f>IF('Final Calculation Sheet'!$AB$14="","",'Final Calculation Sheet'!$AB$14)</f>
        <v/>
      </c>
      <c r="AC43" s="1167">
        <f>IF('Final Calculation Sheet'!$AC$14="","",'Final Calculation Sheet'!$AC$14)</f>
        <v/>
      </c>
      <c r="AD43" s="1167">
        <f>IF('Final Calculation Sheet'!$AD$14="","",'Final Calculation Sheet'!$AD$14)</f>
        <v/>
      </c>
      <c r="AE43" s="1170">
        <f>IF('Final Calculation Sheet'!$AD$14="","",IF('Final Calculation Sheet'!$AD$14&lt;=0,"SETTLED","OUTSTANDING"))</f>
        <v/>
      </c>
      <c r="AF43" s="1170">
        <f>IF('Final Calculation Sheet'!$AE$14="","",'Final Calculation Sheet'!$AE$14)</f>
        <v/>
      </c>
      <c r="AG43" s="1167">
        <f>IF('Final Calculation Sheet'!$AF$14="","",'Final Calculation Sheet'!$AF$14)</f>
        <v/>
      </c>
      <c r="AH43" s="1170">
        <f>IF('Final Calculation Sheet'!$AG$14="","",'Final Calculation Sheet'!$AG$14)</f>
        <v/>
      </c>
      <c r="AI43" s="1167" t="n">
        <v>14</v>
      </c>
    </row>
    <row r="44" ht="20" customHeight="1">
      <c r="A44" s="1105" t="inlineStr">
        <is>
          <t>▼  STERLING ENTERPRISES</t>
        </is>
      </c>
      <c r="B44" s="888" t="n"/>
      <c r="C44" s="1193" t="inlineStr">
        <is>
          <t>7 lots  —  click − to fold this buyer</t>
        </is>
      </c>
      <c r="D44" s="888" t="n"/>
      <c r="E44" s="1106">
        <f>SUBTOTAL(109,E45:E51)</f>
        <v/>
      </c>
      <c r="F44" s="888" t="n"/>
      <c r="G44" s="888" t="n"/>
      <c r="H44" s="1107">
        <f>SUBTOTAL(109,H45:H51)</f>
        <v/>
      </c>
      <c r="I44" s="1107">
        <f>SUBTOTAL(109,I45:I51)</f>
        <v/>
      </c>
      <c r="J44" s="1107">
        <f>SUBTOTAL(109,J45:J51)</f>
        <v/>
      </c>
      <c r="K44" s="1107">
        <f>SUBTOTAL(109,K45:K51)</f>
        <v/>
      </c>
      <c r="L44" s="1108">
        <f>SUBTOTAL(109,L45:L51)</f>
        <v/>
      </c>
      <c r="M44" s="1108">
        <f>SUBTOTAL(109,M45:M51)</f>
        <v/>
      </c>
      <c r="N44" s="1108">
        <f>SUBTOTAL(109,N45:N51)</f>
        <v/>
      </c>
      <c r="O44" s="1108">
        <f>SUBTOTAL(109,O45:O51)</f>
        <v/>
      </c>
      <c r="P44" s="1107">
        <f>SUBTOTAL(109,P45:P51)</f>
        <v/>
      </c>
      <c r="Q44" s="888" t="n"/>
      <c r="R44" s="1107">
        <f>SUBTOTAL(109,R45:R51)</f>
        <v/>
      </c>
      <c r="S44" s="1107">
        <f>SUBTOTAL(109,S45:S51)</f>
        <v/>
      </c>
      <c r="T44" s="1107">
        <f>SUBTOTAL(109,T45:T51)</f>
        <v/>
      </c>
      <c r="U44" s="1107">
        <f>SUBTOTAL(109,U45:U51)</f>
        <v/>
      </c>
      <c r="V44" s="888" t="n"/>
      <c r="W44" s="1107">
        <f>SUBTOTAL(109,W45:W51)</f>
        <v/>
      </c>
      <c r="X44" s="1107">
        <f>SUBTOTAL(109,X45:X51)</f>
        <v/>
      </c>
      <c r="Y44" s="888" t="n"/>
      <c r="Z44" s="1107">
        <f>SUBTOTAL(109,Z45:Z51)</f>
        <v/>
      </c>
      <c r="AA44" s="1107">
        <f>SUBTOTAL(109,AA45:AA51)</f>
        <v/>
      </c>
      <c r="AB44" s="888" t="n"/>
      <c r="AC44" s="1107">
        <f>SUBTOTAL(109,AC45:AC51)</f>
        <v/>
      </c>
      <c r="AD44" s="1107">
        <f>SUBTOTAL(109,AD45:AD51)</f>
        <v/>
      </c>
      <c r="AE44" s="888" t="n"/>
      <c r="AF44" s="888" t="n"/>
      <c r="AG44" s="888" t="n"/>
      <c r="AH44" s="888" t="n"/>
      <c r="AI44" s="888" t="n"/>
    </row>
    <row r="45" outlineLevel="1" ht="15" customHeight="1">
      <c r="A45" s="1100">
        <f>IF('Final Calculation Sheet'!$G$13="","",'Final Calculation Sheet'!$G$13)</f>
        <v/>
      </c>
      <c r="B45" s="1099">
        <f>IF('Final Calculation Sheet'!$F$13="","",'Final Calculation Sheet'!$F$13)</f>
        <v/>
      </c>
      <c r="C45" s="1100">
        <f>IF('Final Calculation Sheet'!$B$13="","",'Final Calculation Sheet'!$B$13)</f>
        <v/>
      </c>
      <c r="D45" s="1099">
        <f>IF('Final Calculation Sheet'!$D$13="","",'Final Calculation Sheet'!$D$13)</f>
        <v/>
      </c>
      <c r="E45" s="1101">
        <f>IF('Final Calculation Sheet'!$A$13="","",'Final Calculation Sheet'!$A$13)</f>
        <v/>
      </c>
      <c r="F45" s="1102">
        <f>IF('Final Calculation Sheet'!$E$13="","",'Final Calculation Sheet'!$E$13)</f>
        <v/>
      </c>
      <c r="G45" s="1099">
        <f>IF('Final Calculation Sheet'!$C$13="","",'Final Calculation Sheet'!$C$13)</f>
        <v/>
      </c>
      <c r="H45" s="1099">
        <f>IF('Final Calculation Sheet'!$H$13="","",'Final Calculation Sheet'!$H$13)</f>
        <v/>
      </c>
      <c r="I45" s="1099">
        <f>IF('Final Calculation Sheet'!$I$13="","",'Final Calculation Sheet'!$I$13)</f>
        <v/>
      </c>
      <c r="J45" s="1099">
        <f>IF('Final Calculation Sheet'!$J$13="","",'Final Calculation Sheet'!$J$13)</f>
        <v/>
      </c>
      <c r="K45" s="1099">
        <f>IF('Final Calculation Sheet'!$K$13="","",'Final Calculation Sheet'!$K$13)</f>
        <v/>
      </c>
      <c r="L45" s="1103">
        <f>IF('Final Calculation Sheet'!$L$13="","",'Final Calculation Sheet'!$L$13)</f>
        <v/>
      </c>
      <c r="M45" s="1103">
        <f>IF('Final Calculation Sheet'!$M$13="","",'Final Calculation Sheet'!$M$13)</f>
        <v/>
      </c>
      <c r="N45" s="1103">
        <f>IF('Final Calculation Sheet'!$N$13="","",'Final Calculation Sheet'!$N$13)</f>
        <v/>
      </c>
      <c r="O45" s="1103">
        <f>IF('Final Calculation Sheet'!$O$13="","",'Final Calculation Sheet'!$O$13)</f>
        <v/>
      </c>
      <c r="P45" s="1099">
        <f>IF('Final Calculation Sheet'!$P$13="","",'Final Calculation Sheet'!$P$13)</f>
        <v/>
      </c>
      <c r="Q45" s="1104">
        <f>IF('Final Calculation Sheet'!$Q$13="","",'Final Calculation Sheet'!$Q$13)</f>
        <v/>
      </c>
      <c r="R45" s="1099">
        <f>IF('Final Calculation Sheet'!$R$13="","",'Final Calculation Sheet'!$R$13)</f>
        <v/>
      </c>
      <c r="S45" s="1099">
        <f>IF('Final Calculation Sheet'!$S$13="","",'Final Calculation Sheet'!$S$13)</f>
        <v/>
      </c>
      <c r="T45" s="1099">
        <f>IF('Final Calculation Sheet'!$T$13="","",'Final Calculation Sheet'!$T$13)</f>
        <v/>
      </c>
      <c r="U45" s="1099">
        <f>IF('Final Calculation Sheet'!$U$13="","",'Final Calculation Sheet'!$U$13)</f>
        <v/>
      </c>
      <c r="V45" s="1102">
        <f>IF('Final Calculation Sheet'!$V$13="","",'Final Calculation Sheet'!$V$13)</f>
        <v/>
      </c>
      <c r="W45" s="1099">
        <f>IF('Final Calculation Sheet'!$W$13="","",'Final Calculation Sheet'!$W$13)</f>
        <v/>
      </c>
      <c r="X45" s="1099">
        <f>IF('Final Calculation Sheet'!$X$13="","",'Final Calculation Sheet'!$X$13)</f>
        <v/>
      </c>
      <c r="Y45" s="1102">
        <f>IF('Final Calculation Sheet'!$Y$13="","",'Final Calculation Sheet'!$Y$13)</f>
        <v/>
      </c>
      <c r="Z45" s="1099">
        <f>IF('Final Calculation Sheet'!$Z$13="","",'Final Calculation Sheet'!$Z$13)</f>
        <v/>
      </c>
      <c r="AA45" s="1099">
        <f>IF('Final Calculation Sheet'!$AA$13="","",'Final Calculation Sheet'!$AA$13)</f>
        <v/>
      </c>
      <c r="AB45" s="1102">
        <f>IF('Final Calculation Sheet'!$AB$13="","",'Final Calculation Sheet'!$AB$13)</f>
        <v/>
      </c>
      <c r="AC45" s="1099">
        <f>IF('Final Calculation Sheet'!$AC$13="","",'Final Calculation Sheet'!$AC$13)</f>
        <v/>
      </c>
      <c r="AD45" s="1099">
        <f>IF('Final Calculation Sheet'!$AD$13="","",'Final Calculation Sheet'!$AD$13)</f>
        <v/>
      </c>
      <c r="AE45" s="1102">
        <f>IF('Final Calculation Sheet'!$AD$13="","",IF('Final Calculation Sheet'!$AD$13&lt;=0,"SETTLED","OUTSTANDING"))</f>
        <v/>
      </c>
      <c r="AF45" s="1102">
        <f>IF('Final Calculation Sheet'!$AE$13="","",'Final Calculation Sheet'!$AE$13)</f>
        <v/>
      </c>
      <c r="AG45" s="1099">
        <f>IF('Final Calculation Sheet'!$AF$13="","",'Final Calculation Sheet'!$AF$13)</f>
        <v/>
      </c>
      <c r="AH45" s="1102">
        <f>IF('Final Calculation Sheet'!$AG$13="","",'Final Calculation Sheet'!$AG$13)</f>
        <v/>
      </c>
      <c r="AI45" s="1099" t="n">
        <v>13</v>
      </c>
    </row>
    <row r="46" outlineLevel="1" ht="15" customHeight="1">
      <c r="A46" s="1174">
        <f>IF('Final Calculation Sheet'!$G$16="","",'Final Calculation Sheet'!$G$16)</f>
        <v/>
      </c>
      <c r="B46" s="1173">
        <f>IF('Final Calculation Sheet'!$F$16="","",'Final Calculation Sheet'!$F$16)</f>
        <v/>
      </c>
      <c r="C46" s="1174">
        <f>IF('Final Calculation Sheet'!$B$16="","",'Final Calculation Sheet'!$B$16)</f>
        <v/>
      </c>
      <c r="D46" s="1173">
        <f>IF('Final Calculation Sheet'!$D$16="","",'Final Calculation Sheet'!$D$16)</f>
        <v/>
      </c>
      <c r="E46" s="1175">
        <f>IF('Final Calculation Sheet'!$A$16="","",'Final Calculation Sheet'!$A$16)</f>
        <v/>
      </c>
      <c r="F46" s="1176">
        <f>IF('Final Calculation Sheet'!$E$16="","",'Final Calculation Sheet'!$E$16)</f>
        <v/>
      </c>
      <c r="G46" s="1173">
        <f>IF('Final Calculation Sheet'!$C$16="","",'Final Calculation Sheet'!$C$16)</f>
        <v/>
      </c>
      <c r="H46" s="1173">
        <f>IF('Final Calculation Sheet'!$H$16="","",'Final Calculation Sheet'!$H$16)</f>
        <v/>
      </c>
      <c r="I46" s="1173">
        <f>IF('Final Calculation Sheet'!$I$16="","",'Final Calculation Sheet'!$I$16)</f>
        <v/>
      </c>
      <c r="J46" s="1173">
        <f>IF('Final Calculation Sheet'!$J$16="","",'Final Calculation Sheet'!$J$16)</f>
        <v/>
      </c>
      <c r="K46" s="1173">
        <f>IF('Final Calculation Sheet'!$K$16="","",'Final Calculation Sheet'!$K$16)</f>
        <v/>
      </c>
      <c r="L46" s="1177">
        <f>IF('Final Calculation Sheet'!$L$16="","",'Final Calculation Sheet'!$L$16)</f>
        <v/>
      </c>
      <c r="M46" s="1177">
        <f>IF('Final Calculation Sheet'!$M$16="","",'Final Calculation Sheet'!$M$16)</f>
        <v/>
      </c>
      <c r="N46" s="1177">
        <f>IF('Final Calculation Sheet'!$N$16="","",'Final Calculation Sheet'!$N$16)</f>
        <v/>
      </c>
      <c r="O46" s="1177">
        <f>IF('Final Calculation Sheet'!$O$16="","",'Final Calculation Sheet'!$O$16)</f>
        <v/>
      </c>
      <c r="P46" s="1173">
        <f>IF('Final Calculation Sheet'!$P$16="","",'Final Calculation Sheet'!$P$16)</f>
        <v/>
      </c>
      <c r="Q46" s="1178">
        <f>IF('Final Calculation Sheet'!$Q$16="","",'Final Calculation Sheet'!$Q$16)</f>
        <v/>
      </c>
      <c r="R46" s="1173">
        <f>IF('Final Calculation Sheet'!$R$16="","",'Final Calculation Sheet'!$R$16)</f>
        <v/>
      </c>
      <c r="S46" s="1173">
        <f>IF('Final Calculation Sheet'!$S$16="","",'Final Calculation Sheet'!$S$16)</f>
        <v/>
      </c>
      <c r="T46" s="1173">
        <f>IF('Final Calculation Sheet'!$T$16="","",'Final Calculation Sheet'!$T$16)</f>
        <v/>
      </c>
      <c r="U46" s="1173">
        <f>IF('Final Calculation Sheet'!$U$16="","",'Final Calculation Sheet'!$U$16)</f>
        <v/>
      </c>
      <c r="V46" s="1176">
        <f>IF('Final Calculation Sheet'!$V$16="","",'Final Calculation Sheet'!$V$16)</f>
        <v/>
      </c>
      <c r="W46" s="1173">
        <f>IF('Final Calculation Sheet'!$W$16="","",'Final Calculation Sheet'!$W$16)</f>
        <v/>
      </c>
      <c r="X46" s="1173">
        <f>IF('Final Calculation Sheet'!$X$16="","",'Final Calculation Sheet'!$X$16)</f>
        <v/>
      </c>
      <c r="Y46" s="1176">
        <f>IF('Final Calculation Sheet'!$Y$16="","",'Final Calculation Sheet'!$Y$16)</f>
        <v/>
      </c>
      <c r="Z46" s="1173">
        <f>IF('Final Calculation Sheet'!$Z$16="","",'Final Calculation Sheet'!$Z$16)</f>
        <v/>
      </c>
      <c r="AA46" s="1173">
        <f>IF('Final Calculation Sheet'!$AA$16="","",'Final Calculation Sheet'!$AA$16)</f>
        <v/>
      </c>
      <c r="AB46" s="1176">
        <f>IF('Final Calculation Sheet'!$AB$16="","",'Final Calculation Sheet'!$AB$16)</f>
        <v/>
      </c>
      <c r="AC46" s="1173">
        <f>IF('Final Calculation Sheet'!$AC$16="","",'Final Calculation Sheet'!$AC$16)</f>
        <v/>
      </c>
      <c r="AD46" s="1173">
        <f>IF('Final Calculation Sheet'!$AD$16="","",'Final Calculation Sheet'!$AD$16)</f>
        <v/>
      </c>
      <c r="AE46" s="1176">
        <f>IF('Final Calculation Sheet'!$AD$16="","",IF('Final Calculation Sheet'!$AD$16&lt;=0,"SETTLED","OUTSTANDING"))</f>
        <v/>
      </c>
      <c r="AF46" s="1176">
        <f>IF('Final Calculation Sheet'!$AE$16="","",'Final Calculation Sheet'!$AE$16)</f>
        <v/>
      </c>
      <c r="AG46" s="1173">
        <f>IF('Final Calculation Sheet'!$AF$16="","",'Final Calculation Sheet'!$AF$16)</f>
        <v/>
      </c>
      <c r="AH46" s="1176">
        <f>IF('Final Calculation Sheet'!$AG$16="","",'Final Calculation Sheet'!$AG$16)</f>
        <v/>
      </c>
      <c r="AI46" s="1173" t="n">
        <v>16</v>
      </c>
    </row>
    <row r="47" outlineLevel="1" ht="15" customHeight="1">
      <c r="A47" s="1100">
        <f>IF('Final Calculation Sheet'!$G$17="","",'Final Calculation Sheet'!$G$17)</f>
        <v/>
      </c>
      <c r="B47" s="1099">
        <f>IF('Final Calculation Sheet'!$F$17="","",'Final Calculation Sheet'!$F$17)</f>
        <v/>
      </c>
      <c r="C47" s="1100">
        <f>IF('Final Calculation Sheet'!$B$17="","",'Final Calculation Sheet'!$B$17)</f>
        <v/>
      </c>
      <c r="D47" s="1099">
        <f>IF('Final Calculation Sheet'!$D$17="","",'Final Calculation Sheet'!$D$17)</f>
        <v/>
      </c>
      <c r="E47" s="1101">
        <f>IF('Final Calculation Sheet'!$A$17="","",'Final Calculation Sheet'!$A$17)</f>
        <v/>
      </c>
      <c r="F47" s="1102">
        <f>IF('Final Calculation Sheet'!$E$17="","",'Final Calculation Sheet'!$E$17)</f>
        <v/>
      </c>
      <c r="G47" s="1099">
        <f>IF('Final Calculation Sheet'!$C$17="","",'Final Calculation Sheet'!$C$17)</f>
        <v/>
      </c>
      <c r="H47" s="1099">
        <f>IF('Final Calculation Sheet'!$H$17="","",'Final Calculation Sheet'!$H$17)</f>
        <v/>
      </c>
      <c r="I47" s="1099">
        <f>IF('Final Calculation Sheet'!$I$17="","",'Final Calculation Sheet'!$I$17)</f>
        <v/>
      </c>
      <c r="J47" s="1099">
        <f>IF('Final Calculation Sheet'!$J$17="","",'Final Calculation Sheet'!$J$17)</f>
        <v/>
      </c>
      <c r="K47" s="1099">
        <f>IF('Final Calculation Sheet'!$K$17="","",'Final Calculation Sheet'!$K$17)</f>
        <v/>
      </c>
      <c r="L47" s="1103">
        <f>IF('Final Calculation Sheet'!$L$17="","",'Final Calculation Sheet'!$L$17)</f>
        <v/>
      </c>
      <c r="M47" s="1103">
        <f>IF('Final Calculation Sheet'!$M$17="","",'Final Calculation Sheet'!$M$17)</f>
        <v/>
      </c>
      <c r="N47" s="1103">
        <f>IF('Final Calculation Sheet'!$N$17="","",'Final Calculation Sheet'!$N$17)</f>
        <v/>
      </c>
      <c r="O47" s="1103">
        <f>IF('Final Calculation Sheet'!$O$17="","",'Final Calculation Sheet'!$O$17)</f>
        <v/>
      </c>
      <c r="P47" s="1099">
        <f>IF('Final Calculation Sheet'!$P$17="","",'Final Calculation Sheet'!$P$17)</f>
        <v/>
      </c>
      <c r="Q47" s="1104">
        <f>IF('Final Calculation Sheet'!$Q$17="","",'Final Calculation Sheet'!$Q$17)</f>
        <v/>
      </c>
      <c r="R47" s="1099">
        <f>IF('Final Calculation Sheet'!$R$17="","",'Final Calculation Sheet'!$R$17)</f>
        <v/>
      </c>
      <c r="S47" s="1099">
        <f>IF('Final Calculation Sheet'!$S$17="","",'Final Calculation Sheet'!$S$17)</f>
        <v/>
      </c>
      <c r="T47" s="1099">
        <f>IF('Final Calculation Sheet'!$T$17="","",'Final Calculation Sheet'!$T$17)</f>
        <v/>
      </c>
      <c r="U47" s="1099">
        <f>IF('Final Calculation Sheet'!$U$17="","",'Final Calculation Sheet'!$U$17)</f>
        <v/>
      </c>
      <c r="V47" s="1102">
        <f>IF('Final Calculation Sheet'!$V$17="","",'Final Calculation Sheet'!$V$17)</f>
        <v/>
      </c>
      <c r="W47" s="1099">
        <f>IF('Final Calculation Sheet'!$W$17="","",'Final Calculation Sheet'!$W$17)</f>
        <v/>
      </c>
      <c r="X47" s="1099">
        <f>IF('Final Calculation Sheet'!$X$17="","",'Final Calculation Sheet'!$X$17)</f>
        <v/>
      </c>
      <c r="Y47" s="1102">
        <f>IF('Final Calculation Sheet'!$Y$17="","",'Final Calculation Sheet'!$Y$17)</f>
        <v/>
      </c>
      <c r="Z47" s="1099">
        <f>IF('Final Calculation Sheet'!$Z$17="","",'Final Calculation Sheet'!$Z$17)</f>
        <v/>
      </c>
      <c r="AA47" s="1099">
        <f>IF('Final Calculation Sheet'!$AA$17="","",'Final Calculation Sheet'!$AA$17)</f>
        <v/>
      </c>
      <c r="AB47" s="1102">
        <f>IF('Final Calculation Sheet'!$AB$17="","",'Final Calculation Sheet'!$AB$17)</f>
        <v/>
      </c>
      <c r="AC47" s="1099">
        <f>IF('Final Calculation Sheet'!$AC$17="","",'Final Calculation Sheet'!$AC$17)</f>
        <v/>
      </c>
      <c r="AD47" s="1099">
        <f>IF('Final Calculation Sheet'!$AD$17="","",'Final Calculation Sheet'!$AD$17)</f>
        <v/>
      </c>
      <c r="AE47" s="1102">
        <f>IF('Final Calculation Sheet'!$AD$17="","",IF('Final Calculation Sheet'!$AD$17&lt;=0,"SETTLED","OUTSTANDING"))</f>
        <v/>
      </c>
      <c r="AF47" s="1102">
        <f>IF('Final Calculation Sheet'!$AE$17="","",'Final Calculation Sheet'!$AE$17)</f>
        <v/>
      </c>
      <c r="AG47" s="1099">
        <f>IF('Final Calculation Sheet'!$AF$17="","",'Final Calculation Sheet'!$AF$17)</f>
        <v/>
      </c>
      <c r="AH47" s="1102">
        <f>IF('Final Calculation Sheet'!$AG$17="","",'Final Calculation Sheet'!$AG$17)</f>
        <v/>
      </c>
      <c r="AI47" s="1099" t="n">
        <v>17</v>
      </c>
    </row>
    <row r="48" outlineLevel="1" ht="15" customHeight="1">
      <c r="A48" s="1174">
        <f>IF('Final Calculation Sheet'!$G$23="","",'Final Calculation Sheet'!$G$23)</f>
        <v/>
      </c>
      <c r="B48" s="1173">
        <f>IF('Final Calculation Sheet'!$F$23="","",'Final Calculation Sheet'!$F$23)</f>
        <v/>
      </c>
      <c r="C48" s="1174">
        <f>IF('Final Calculation Sheet'!$B$23="","",'Final Calculation Sheet'!$B$23)</f>
        <v/>
      </c>
      <c r="D48" s="1173">
        <f>IF('Final Calculation Sheet'!$D$23="","",'Final Calculation Sheet'!$D$23)</f>
        <v/>
      </c>
      <c r="E48" s="1175">
        <f>IF('Final Calculation Sheet'!$A$23="","",'Final Calculation Sheet'!$A$23)</f>
        <v/>
      </c>
      <c r="F48" s="1176">
        <f>IF('Final Calculation Sheet'!$E$23="","",'Final Calculation Sheet'!$E$23)</f>
        <v/>
      </c>
      <c r="G48" s="1173">
        <f>IF('Final Calculation Sheet'!$C$23="","",'Final Calculation Sheet'!$C$23)</f>
        <v/>
      </c>
      <c r="H48" s="1173">
        <f>IF('Final Calculation Sheet'!$H$23="","",'Final Calculation Sheet'!$H$23)</f>
        <v/>
      </c>
      <c r="I48" s="1173">
        <f>IF('Final Calculation Sheet'!$I$23="","",'Final Calculation Sheet'!$I$23)</f>
        <v/>
      </c>
      <c r="J48" s="1173">
        <f>IF('Final Calculation Sheet'!$J$23="","",'Final Calculation Sheet'!$J$23)</f>
        <v/>
      </c>
      <c r="K48" s="1173">
        <f>IF('Final Calculation Sheet'!$K$23="","",'Final Calculation Sheet'!$K$23)</f>
        <v/>
      </c>
      <c r="L48" s="1177">
        <f>IF('Final Calculation Sheet'!$L$23="","",'Final Calculation Sheet'!$L$23)</f>
        <v/>
      </c>
      <c r="M48" s="1177">
        <f>IF('Final Calculation Sheet'!$M$23="","",'Final Calculation Sheet'!$M$23)</f>
        <v/>
      </c>
      <c r="N48" s="1177">
        <f>IF('Final Calculation Sheet'!$N$23="","",'Final Calculation Sheet'!$N$23)</f>
        <v/>
      </c>
      <c r="O48" s="1177">
        <f>IF('Final Calculation Sheet'!$O$23="","",'Final Calculation Sheet'!$O$23)</f>
        <v/>
      </c>
      <c r="P48" s="1173">
        <f>IF('Final Calculation Sheet'!$P$23="","",'Final Calculation Sheet'!$P$23)</f>
        <v/>
      </c>
      <c r="Q48" s="1178">
        <f>IF('Final Calculation Sheet'!$Q$23="","",'Final Calculation Sheet'!$Q$23)</f>
        <v/>
      </c>
      <c r="R48" s="1173">
        <f>IF('Final Calculation Sheet'!$R$23="","",'Final Calculation Sheet'!$R$23)</f>
        <v/>
      </c>
      <c r="S48" s="1173">
        <f>IF('Final Calculation Sheet'!$S$23="","",'Final Calculation Sheet'!$S$23)</f>
        <v/>
      </c>
      <c r="T48" s="1173">
        <f>IF('Final Calculation Sheet'!$T$23="","",'Final Calculation Sheet'!$T$23)</f>
        <v/>
      </c>
      <c r="U48" s="1173">
        <f>IF('Final Calculation Sheet'!$U$23="","",'Final Calculation Sheet'!$U$23)</f>
        <v/>
      </c>
      <c r="V48" s="1176">
        <f>IF('Final Calculation Sheet'!$V$23="","",'Final Calculation Sheet'!$V$23)</f>
        <v/>
      </c>
      <c r="W48" s="1173">
        <f>IF('Final Calculation Sheet'!$W$23="","",'Final Calculation Sheet'!$W$23)</f>
        <v/>
      </c>
      <c r="X48" s="1173">
        <f>IF('Final Calculation Sheet'!$X$23="","",'Final Calculation Sheet'!$X$23)</f>
        <v/>
      </c>
      <c r="Y48" s="1176">
        <f>IF('Final Calculation Sheet'!$Y$23="","",'Final Calculation Sheet'!$Y$23)</f>
        <v/>
      </c>
      <c r="Z48" s="1173">
        <f>IF('Final Calculation Sheet'!$Z$23="","",'Final Calculation Sheet'!$Z$23)</f>
        <v/>
      </c>
      <c r="AA48" s="1173">
        <f>IF('Final Calculation Sheet'!$AA$23="","",'Final Calculation Sheet'!$AA$23)</f>
        <v/>
      </c>
      <c r="AB48" s="1176">
        <f>IF('Final Calculation Sheet'!$AB$23="","",'Final Calculation Sheet'!$AB$23)</f>
        <v/>
      </c>
      <c r="AC48" s="1173">
        <f>IF('Final Calculation Sheet'!$AC$23="","",'Final Calculation Sheet'!$AC$23)</f>
        <v/>
      </c>
      <c r="AD48" s="1173">
        <f>IF('Final Calculation Sheet'!$AD$23="","",'Final Calculation Sheet'!$AD$23)</f>
        <v/>
      </c>
      <c r="AE48" s="1176">
        <f>IF('Final Calculation Sheet'!$AD$23="","",IF('Final Calculation Sheet'!$AD$23&lt;=0,"SETTLED","OUTSTANDING"))</f>
        <v/>
      </c>
      <c r="AF48" s="1176">
        <f>IF('Final Calculation Sheet'!$AE$23="","",'Final Calculation Sheet'!$AE$23)</f>
        <v/>
      </c>
      <c r="AG48" s="1173">
        <f>IF('Final Calculation Sheet'!$AF$23="","",'Final Calculation Sheet'!$AF$23)</f>
        <v/>
      </c>
      <c r="AH48" s="1176">
        <f>IF('Final Calculation Sheet'!$AG$23="","",'Final Calculation Sheet'!$AG$23)</f>
        <v/>
      </c>
      <c r="AI48" s="1173" t="n">
        <v>23</v>
      </c>
    </row>
    <row r="49" outlineLevel="1" ht="15" customHeight="1">
      <c r="A49" s="1100">
        <f>IF('Final Calculation Sheet'!$G$29="","",'Final Calculation Sheet'!$G$29)</f>
        <v/>
      </c>
      <c r="B49" s="1099">
        <f>IF('Final Calculation Sheet'!$F$29="","",'Final Calculation Sheet'!$F$29)</f>
        <v/>
      </c>
      <c r="C49" s="1100">
        <f>IF('Final Calculation Sheet'!$B$29="","",'Final Calculation Sheet'!$B$29)</f>
        <v/>
      </c>
      <c r="D49" s="1099">
        <f>IF('Final Calculation Sheet'!$D$29="","",'Final Calculation Sheet'!$D$29)</f>
        <v/>
      </c>
      <c r="E49" s="1101">
        <f>IF('Final Calculation Sheet'!$A$29="","",'Final Calculation Sheet'!$A$29)</f>
        <v/>
      </c>
      <c r="F49" s="1102">
        <f>IF('Final Calculation Sheet'!$E$29="","",'Final Calculation Sheet'!$E$29)</f>
        <v/>
      </c>
      <c r="G49" s="1099">
        <f>IF('Final Calculation Sheet'!$C$29="","",'Final Calculation Sheet'!$C$29)</f>
        <v/>
      </c>
      <c r="H49" s="1099">
        <f>IF('Final Calculation Sheet'!$H$29="","",'Final Calculation Sheet'!$H$29)</f>
        <v/>
      </c>
      <c r="I49" s="1099">
        <f>IF('Final Calculation Sheet'!$I$29="","",'Final Calculation Sheet'!$I$29)</f>
        <v/>
      </c>
      <c r="J49" s="1099">
        <f>IF('Final Calculation Sheet'!$J$29="","",'Final Calculation Sheet'!$J$29)</f>
        <v/>
      </c>
      <c r="K49" s="1099">
        <f>IF('Final Calculation Sheet'!$K$29="","",'Final Calculation Sheet'!$K$29)</f>
        <v/>
      </c>
      <c r="L49" s="1103">
        <f>IF('Final Calculation Sheet'!$L$29="","",'Final Calculation Sheet'!$L$29)</f>
        <v/>
      </c>
      <c r="M49" s="1103">
        <f>IF('Final Calculation Sheet'!$M$29="","",'Final Calculation Sheet'!$M$29)</f>
        <v/>
      </c>
      <c r="N49" s="1103">
        <f>IF('Final Calculation Sheet'!$N$29="","",'Final Calculation Sheet'!$N$29)</f>
        <v/>
      </c>
      <c r="O49" s="1103">
        <f>IF('Final Calculation Sheet'!$O$29="","",'Final Calculation Sheet'!$O$29)</f>
        <v/>
      </c>
      <c r="P49" s="1099">
        <f>IF('Final Calculation Sheet'!$P$29="","",'Final Calculation Sheet'!$P$29)</f>
        <v/>
      </c>
      <c r="Q49" s="1104">
        <f>IF('Final Calculation Sheet'!$Q$29="","",'Final Calculation Sheet'!$Q$29)</f>
        <v/>
      </c>
      <c r="R49" s="1099">
        <f>IF('Final Calculation Sheet'!$R$29="","",'Final Calculation Sheet'!$R$29)</f>
        <v/>
      </c>
      <c r="S49" s="1099">
        <f>IF('Final Calculation Sheet'!$S$29="","",'Final Calculation Sheet'!$S$29)</f>
        <v/>
      </c>
      <c r="T49" s="1099">
        <f>IF('Final Calculation Sheet'!$T$29="","",'Final Calculation Sheet'!$T$29)</f>
        <v/>
      </c>
      <c r="U49" s="1099">
        <f>IF('Final Calculation Sheet'!$U$29="","",'Final Calculation Sheet'!$U$29)</f>
        <v/>
      </c>
      <c r="V49" s="1102">
        <f>IF('Final Calculation Sheet'!$V$29="","",'Final Calculation Sheet'!$V$29)</f>
        <v/>
      </c>
      <c r="W49" s="1099">
        <f>IF('Final Calculation Sheet'!$W$29="","",'Final Calculation Sheet'!$W$29)</f>
        <v/>
      </c>
      <c r="X49" s="1099">
        <f>IF('Final Calculation Sheet'!$X$29="","",'Final Calculation Sheet'!$X$29)</f>
        <v/>
      </c>
      <c r="Y49" s="1102">
        <f>IF('Final Calculation Sheet'!$Y$29="","",'Final Calculation Sheet'!$Y$29)</f>
        <v/>
      </c>
      <c r="Z49" s="1099">
        <f>IF('Final Calculation Sheet'!$Z$29="","",'Final Calculation Sheet'!$Z$29)</f>
        <v/>
      </c>
      <c r="AA49" s="1099">
        <f>IF('Final Calculation Sheet'!$AA$29="","",'Final Calculation Sheet'!$AA$29)</f>
        <v/>
      </c>
      <c r="AB49" s="1102">
        <f>IF('Final Calculation Sheet'!$AB$29="","",'Final Calculation Sheet'!$AB$29)</f>
        <v/>
      </c>
      <c r="AC49" s="1099">
        <f>IF('Final Calculation Sheet'!$AC$29="","",'Final Calculation Sheet'!$AC$29)</f>
        <v/>
      </c>
      <c r="AD49" s="1099">
        <f>IF('Final Calculation Sheet'!$AD$29="","",'Final Calculation Sheet'!$AD$29)</f>
        <v/>
      </c>
      <c r="AE49" s="1102">
        <f>IF('Final Calculation Sheet'!$AD$29="","",IF('Final Calculation Sheet'!$AD$29&lt;=0,"SETTLED","OUTSTANDING"))</f>
        <v/>
      </c>
      <c r="AF49" s="1102">
        <f>IF('Final Calculation Sheet'!$AE$29="","",'Final Calculation Sheet'!$AE$29)</f>
        <v/>
      </c>
      <c r="AG49" s="1099">
        <f>IF('Final Calculation Sheet'!$AF$29="","",'Final Calculation Sheet'!$AF$29)</f>
        <v/>
      </c>
      <c r="AH49" s="1102">
        <f>IF('Final Calculation Sheet'!$AG$29="","",'Final Calculation Sheet'!$AG$29)</f>
        <v/>
      </c>
      <c r="AI49" s="1099" t="n">
        <v>29</v>
      </c>
    </row>
    <row r="50" outlineLevel="1" ht="15" customHeight="1">
      <c r="A50" s="1174">
        <f>IF('Final Calculation Sheet'!$G$34="","",'Final Calculation Sheet'!$G$34)</f>
        <v/>
      </c>
      <c r="B50" s="1173">
        <f>IF('Final Calculation Sheet'!$F$34="","",'Final Calculation Sheet'!$F$34)</f>
        <v/>
      </c>
      <c r="C50" s="1174">
        <f>IF('Final Calculation Sheet'!$B$34="","",'Final Calculation Sheet'!$B$34)</f>
        <v/>
      </c>
      <c r="D50" s="1173">
        <f>IF('Final Calculation Sheet'!$D$34="","",'Final Calculation Sheet'!$D$34)</f>
        <v/>
      </c>
      <c r="E50" s="1175">
        <f>IF('Final Calculation Sheet'!$A$34="","",'Final Calculation Sheet'!$A$34)</f>
        <v/>
      </c>
      <c r="F50" s="1176">
        <f>IF('Final Calculation Sheet'!$E$34="","",'Final Calculation Sheet'!$E$34)</f>
        <v/>
      </c>
      <c r="G50" s="1173">
        <f>IF('Final Calculation Sheet'!$C$34="","",'Final Calculation Sheet'!$C$34)</f>
        <v/>
      </c>
      <c r="H50" s="1173">
        <f>IF('Final Calculation Sheet'!$H$34="","",'Final Calculation Sheet'!$H$34)</f>
        <v/>
      </c>
      <c r="I50" s="1173">
        <f>IF('Final Calculation Sheet'!$I$34="","",'Final Calculation Sheet'!$I$34)</f>
        <v/>
      </c>
      <c r="J50" s="1173">
        <f>IF('Final Calculation Sheet'!$J$34="","",'Final Calculation Sheet'!$J$34)</f>
        <v/>
      </c>
      <c r="K50" s="1173">
        <f>IF('Final Calculation Sheet'!$K$34="","",'Final Calculation Sheet'!$K$34)</f>
        <v/>
      </c>
      <c r="L50" s="1177">
        <f>IF('Final Calculation Sheet'!$L$34="","",'Final Calculation Sheet'!$L$34)</f>
        <v/>
      </c>
      <c r="M50" s="1177">
        <f>IF('Final Calculation Sheet'!$M$34="","",'Final Calculation Sheet'!$M$34)</f>
        <v/>
      </c>
      <c r="N50" s="1177">
        <f>IF('Final Calculation Sheet'!$N$34="","",'Final Calculation Sheet'!$N$34)</f>
        <v/>
      </c>
      <c r="O50" s="1177">
        <f>IF('Final Calculation Sheet'!$O$34="","",'Final Calculation Sheet'!$O$34)</f>
        <v/>
      </c>
      <c r="P50" s="1173">
        <f>IF('Final Calculation Sheet'!$P$34="","",'Final Calculation Sheet'!$P$34)</f>
        <v/>
      </c>
      <c r="Q50" s="1178">
        <f>IF('Final Calculation Sheet'!$Q$34="","",'Final Calculation Sheet'!$Q$34)</f>
        <v/>
      </c>
      <c r="R50" s="1173">
        <f>IF('Final Calculation Sheet'!$R$34="","",'Final Calculation Sheet'!$R$34)</f>
        <v/>
      </c>
      <c r="S50" s="1173">
        <f>IF('Final Calculation Sheet'!$S$34="","",'Final Calculation Sheet'!$S$34)</f>
        <v/>
      </c>
      <c r="T50" s="1173">
        <f>IF('Final Calculation Sheet'!$T$34="","",'Final Calculation Sheet'!$T$34)</f>
        <v/>
      </c>
      <c r="U50" s="1173">
        <f>IF('Final Calculation Sheet'!$U$34="","",'Final Calculation Sheet'!$U$34)</f>
        <v/>
      </c>
      <c r="V50" s="1176">
        <f>IF('Final Calculation Sheet'!$V$34="","",'Final Calculation Sheet'!$V$34)</f>
        <v/>
      </c>
      <c r="W50" s="1173">
        <f>IF('Final Calculation Sheet'!$W$34="","",'Final Calculation Sheet'!$W$34)</f>
        <v/>
      </c>
      <c r="X50" s="1173">
        <f>IF('Final Calculation Sheet'!$X$34="","",'Final Calculation Sheet'!$X$34)</f>
        <v/>
      </c>
      <c r="Y50" s="1176">
        <f>IF('Final Calculation Sheet'!$Y$34="","",'Final Calculation Sheet'!$Y$34)</f>
        <v/>
      </c>
      <c r="Z50" s="1173">
        <f>IF('Final Calculation Sheet'!$Z$34="","",'Final Calculation Sheet'!$Z$34)</f>
        <v/>
      </c>
      <c r="AA50" s="1173">
        <f>IF('Final Calculation Sheet'!$AA$34="","",'Final Calculation Sheet'!$AA$34)</f>
        <v/>
      </c>
      <c r="AB50" s="1176">
        <f>IF('Final Calculation Sheet'!$AB$34="","",'Final Calculation Sheet'!$AB$34)</f>
        <v/>
      </c>
      <c r="AC50" s="1173">
        <f>IF('Final Calculation Sheet'!$AC$34="","",'Final Calculation Sheet'!$AC$34)</f>
        <v/>
      </c>
      <c r="AD50" s="1173">
        <f>IF('Final Calculation Sheet'!$AD$34="","",'Final Calculation Sheet'!$AD$34)</f>
        <v/>
      </c>
      <c r="AE50" s="1176">
        <f>IF('Final Calculation Sheet'!$AD$34="","",IF('Final Calculation Sheet'!$AD$34&lt;=0,"SETTLED","OUTSTANDING"))</f>
        <v/>
      </c>
      <c r="AF50" s="1176">
        <f>IF('Final Calculation Sheet'!$AE$34="","",'Final Calculation Sheet'!$AE$34)</f>
        <v/>
      </c>
      <c r="AG50" s="1173">
        <f>IF('Final Calculation Sheet'!$AF$34="","",'Final Calculation Sheet'!$AF$34)</f>
        <v/>
      </c>
      <c r="AH50" s="1176">
        <f>IF('Final Calculation Sheet'!$AG$34="","",'Final Calculation Sheet'!$AG$34)</f>
        <v/>
      </c>
      <c r="AI50" s="1173" t="n">
        <v>34</v>
      </c>
    </row>
    <row r="51" outlineLevel="1" ht="15" customHeight="1">
      <c r="A51" s="1100">
        <f>IF('Final Calculation Sheet'!$G$36="","",'Final Calculation Sheet'!$G$36)</f>
        <v/>
      </c>
      <c r="B51" s="1099">
        <f>IF('Final Calculation Sheet'!$F$36="","",'Final Calculation Sheet'!$F$36)</f>
        <v/>
      </c>
      <c r="C51" s="1100">
        <f>IF('Final Calculation Sheet'!$B$36="","",'Final Calculation Sheet'!$B$36)</f>
        <v/>
      </c>
      <c r="D51" s="1099">
        <f>IF('Final Calculation Sheet'!$D$36="","",'Final Calculation Sheet'!$D$36)</f>
        <v/>
      </c>
      <c r="E51" s="1101">
        <f>IF('Final Calculation Sheet'!$A$36="","",'Final Calculation Sheet'!$A$36)</f>
        <v/>
      </c>
      <c r="F51" s="1102">
        <f>IF('Final Calculation Sheet'!$E$36="","",'Final Calculation Sheet'!$E$36)</f>
        <v/>
      </c>
      <c r="G51" s="1099">
        <f>IF('Final Calculation Sheet'!$C$36="","",'Final Calculation Sheet'!$C$36)</f>
        <v/>
      </c>
      <c r="H51" s="1099">
        <f>IF('Final Calculation Sheet'!$H$36="","",'Final Calculation Sheet'!$H$36)</f>
        <v/>
      </c>
      <c r="I51" s="1099">
        <f>IF('Final Calculation Sheet'!$I$36="","",'Final Calculation Sheet'!$I$36)</f>
        <v/>
      </c>
      <c r="J51" s="1099">
        <f>IF('Final Calculation Sheet'!$J$36="","",'Final Calculation Sheet'!$J$36)</f>
        <v/>
      </c>
      <c r="K51" s="1099">
        <f>IF('Final Calculation Sheet'!$K$36="","",'Final Calculation Sheet'!$K$36)</f>
        <v/>
      </c>
      <c r="L51" s="1103">
        <f>IF('Final Calculation Sheet'!$L$36="","",'Final Calculation Sheet'!$L$36)</f>
        <v/>
      </c>
      <c r="M51" s="1103">
        <f>IF('Final Calculation Sheet'!$M$36="","",'Final Calculation Sheet'!$M$36)</f>
        <v/>
      </c>
      <c r="N51" s="1103">
        <f>IF('Final Calculation Sheet'!$N$36="","",'Final Calculation Sheet'!$N$36)</f>
        <v/>
      </c>
      <c r="O51" s="1103">
        <f>IF('Final Calculation Sheet'!$O$36="","",'Final Calculation Sheet'!$O$36)</f>
        <v/>
      </c>
      <c r="P51" s="1099">
        <f>IF('Final Calculation Sheet'!$P$36="","",'Final Calculation Sheet'!$P$36)</f>
        <v/>
      </c>
      <c r="Q51" s="1104">
        <f>IF('Final Calculation Sheet'!$Q$36="","",'Final Calculation Sheet'!$Q$36)</f>
        <v/>
      </c>
      <c r="R51" s="1099">
        <f>IF('Final Calculation Sheet'!$R$36="","",'Final Calculation Sheet'!$R$36)</f>
        <v/>
      </c>
      <c r="S51" s="1099">
        <f>IF('Final Calculation Sheet'!$S$36="","",'Final Calculation Sheet'!$S$36)</f>
        <v/>
      </c>
      <c r="T51" s="1099">
        <f>IF('Final Calculation Sheet'!$T$36="","",'Final Calculation Sheet'!$T$36)</f>
        <v/>
      </c>
      <c r="U51" s="1099">
        <f>IF('Final Calculation Sheet'!$U$36="","",'Final Calculation Sheet'!$U$36)</f>
        <v/>
      </c>
      <c r="V51" s="1102">
        <f>IF('Final Calculation Sheet'!$V$36="","",'Final Calculation Sheet'!$V$36)</f>
        <v/>
      </c>
      <c r="W51" s="1099">
        <f>IF('Final Calculation Sheet'!$W$36="","",'Final Calculation Sheet'!$W$36)</f>
        <v/>
      </c>
      <c r="X51" s="1099">
        <f>IF('Final Calculation Sheet'!$X$36="","",'Final Calculation Sheet'!$X$36)</f>
        <v/>
      </c>
      <c r="Y51" s="1102">
        <f>IF('Final Calculation Sheet'!$Y$36="","",'Final Calculation Sheet'!$Y$36)</f>
        <v/>
      </c>
      <c r="Z51" s="1099">
        <f>IF('Final Calculation Sheet'!$Z$36="","",'Final Calculation Sheet'!$Z$36)</f>
        <v/>
      </c>
      <c r="AA51" s="1099">
        <f>IF('Final Calculation Sheet'!$AA$36="","",'Final Calculation Sheet'!$AA$36)</f>
        <v/>
      </c>
      <c r="AB51" s="1102">
        <f>IF('Final Calculation Sheet'!$AB$36="","",'Final Calculation Sheet'!$AB$36)</f>
        <v/>
      </c>
      <c r="AC51" s="1099">
        <f>IF('Final Calculation Sheet'!$AC$36="","",'Final Calculation Sheet'!$AC$36)</f>
        <v/>
      </c>
      <c r="AD51" s="1099">
        <f>IF('Final Calculation Sheet'!$AD$36="","",'Final Calculation Sheet'!$AD$36)</f>
        <v/>
      </c>
      <c r="AE51" s="1102">
        <f>IF('Final Calculation Sheet'!$AD$36="","",IF('Final Calculation Sheet'!$AD$36&lt;=0,"SETTLED","OUTSTANDING"))</f>
        <v/>
      </c>
      <c r="AF51" s="1102">
        <f>IF('Final Calculation Sheet'!$AE$36="","",'Final Calculation Sheet'!$AE$36)</f>
        <v/>
      </c>
      <c r="AG51" s="1099">
        <f>IF('Final Calculation Sheet'!$AF$36="","",'Final Calculation Sheet'!$AF$36)</f>
        <v/>
      </c>
      <c r="AH51" s="1102">
        <f>IF('Final Calculation Sheet'!$AG$36="","",'Final Calculation Sheet'!$AG$36)</f>
        <v/>
      </c>
      <c r="AI51" s="1099" t="n">
        <v>36</v>
      </c>
    </row>
    <row r="52" ht="20" customHeight="1">
      <c r="A52" s="1115" t="inlineStr">
        <is>
          <t>▼  WATAN SCRAP TRADERS</t>
        </is>
      </c>
      <c r="B52" s="898" t="n"/>
      <c r="C52" s="1194" t="inlineStr">
        <is>
          <t>3 lots  —  click − to fold this buyer</t>
        </is>
      </c>
      <c r="D52" s="898" t="n"/>
      <c r="E52" s="1116">
        <f>SUBTOTAL(109,E53:E55)</f>
        <v/>
      </c>
      <c r="F52" s="898" t="n"/>
      <c r="G52" s="898" t="n"/>
      <c r="H52" s="1117">
        <f>SUBTOTAL(109,H53:H55)</f>
        <v/>
      </c>
      <c r="I52" s="1117">
        <f>SUBTOTAL(109,I53:I55)</f>
        <v/>
      </c>
      <c r="J52" s="1117">
        <f>SUBTOTAL(109,J53:J55)</f>
        <v/>
      </c>
      <c r="K52" s="1117">
        <f>SUBTOTAL(109,K53:K55)</f>
        <v/>
      </c>
      <c r="L52" s="1118">
        <f>SUBTOTAL(109,L53:L55)</f>
        <v/>
      </c>
      <c r="M52" s="1118">
        <f>SUBTOTAL(109,M53:M55)</f>
        <v/>
      </c>
      <c r="N52" s="1118">
        <f>SUBTOTAL(109,N53:N55)</f>
        <v/>
      </c>
      <c r="O52" s="1118">
        <f>SUBTOTAL(109,O53:O55)</f>
        <v/>
      </c>
      <c r="P52" s="1117">
        <f>SUBTOTAL(109,P53:P55)</f>
        <v/>
      </c>
      <c r="Q52" s="898" t="n"/>
      <c r="R52" s="1117">
        <f>SUBTOTAL(109,R53:R55)</f>
        <v/>
      </c>
      <c r="S52" s="1117">
        <f>SUBTOTAL(109,S53:S55)</f>
        <v/>
      </c>
      <c r="T52" s="1117">
        <f>SUBTOTAL(109,T53:T55)</f>
        <v/>
      </c>
      <c r="U52" s="1117">
        <f>SUBTOTAL(109,U53:U55)</f>
        <v/>
      </c>
      <c r="V52" s="898" t="n"/>
      <c r="W52" s="1117">
        <f>SUBTOTAL(109,W53:W55)</f>
        <v/>
      </c>
      <c r="X52" s="1117">
        <f>SUBTOTAL(109,X53:X55)</f>
        <v/>
      </c>
      <c r="Y52" s="898" t="n"/>
      <c r="Z52" s="1117">
        <f>SUBTOTAL(109,Z53:Z55)</f>
        <v/>
      </c>
      <c r="AA52" s="1117">
        <f>SUBTOTAL(109,AA53:AA55)</f>
        <v/>
      </c>
      <c r="AB52" s="898" t="n"/>
      <c r="AC52" s="1117">
        <f>SUBTOTAL(109,AC53:AC55)</f>
        <v/>
      </c>
      <c r="AD52" s="1117">
        <f>SUBTOTAL(109,AD53:AD55)</f>
        <v/>
      </c>
      <c r="AE52" s="898" t="n"/>
      <c r="AF52" s="898" t="n"/>
      <c r="AG52" s="898" t="n"/>
      <c r="AH52" s="898" t="n"/>
      <c r="AI52" s="898" t="n"/>
    </row>
    <row r="53" outlineLevel="1" ht="15" customHeight="1">
      <c r="A53" s="1110">
        <f>IF('Final Calculation Sheet'!$G$25="","",'Final Calculation Sheet'!$G$25)</f>
        <v/>
      </c>
      <c r="B53" s="1109">
        <f>IF('Final Calculation Sheet'!$F$25="","",'Final Calculation Sheet'!$F$25)</f>
        <v/>
      </c>
      <c r="C53" s="1110">
        <f>IF('Final Calculation Sheet'!$B$25="","",'Final Calculation Sheet'!$B$25)</f>
        <v/>
      </c>
      <c r="D53" s="1109">
        <f>IF('Final Calculation Sheet'!$D$25="","",'Final Calculation Sheet'!$D$25)</f>
        <v/>
      </c>
      <c r="E53" s="1111">
        <f>IF('Final Calculation Sheet'!$A$25="","",'Final Calculation Sheet'!$A$25)</f>
        <v/>
      </c>
      <c r="F53" s="1112">
        <f>IF('Final Calculation Sheet'!$E$25="","",'Final Calculation Sheet'!$E$25)</f>
        <v/>
      </c>
      <c r="G53" s="1109">
        <f>IF('Final Calculation Sheet'!$C$25="","",'Final Calculation Sheet'!$C$25)</f>
        <v/>
      </c>
      <c r="H53" s="1109">
        <f>IF('Final Calculation Sheet'!$H$25="","",'Final Calculation Sheet'!$H$25)</f>
        <v/>
      </c>
      <c r="I53" s="1109">
        <f>IF('Final Calculation Sheet'!$I$25="","",'Final Calculation Sheet'!$I$25)</f>
        <v/>
      </c>
      <c r="J53" s="1109">
        <f>IF('Final Calculation Sheet'!$J$25="","",'Final Calculation Sheet'!$J$25)</f>
        <v/>
      </c>
      <c r="K53" s="1109">
        <f>IF('Final Calculation Sheet'!$K$25="","",'Final Calculation Sheet'!$K$25)</f>
        <v/>
      </c>
      <c r="L53" s="1113">
        <f>IF('Final Calculation Sheet'!$L$25="","",'Final Calculation Sheet'!$L$25)</f>
        <v/>
      </c>
      <c r="M53" s="1113">
        <f>IF('Final Calculation Sheet'!$M$25="","",'Final Calculation Sheet'!$M$25)</f>
        <v/>
      </c>
      <c r="N53" s="1113">
        <f>IF('Final Calculation Sheet'!$N$25="","",'Final Calculation Sheet'!$N$25)</f>
        <v/>
      </c>
      <c r="O53" s="1113">
        <f>IF('Final Calculation Sheet'!$O$25="","",'Final Calculation Sheet'!$O$25)</f>
        <v/>
      </c>
      <c r="P53" s="1109">
        <f>IF('Final Calculation Sheet'!$P$25="","",'Final Calculation Sheet'!$P$25)</f>
        <v/>
      </c>
      <c r="Q53" s="1114">
        <f>IF('Final Calculation Sheet'!$Q$25="","",'Final Calculation Sheet'!$Q$25)</f>
        <v/>
      </c>
      <c r="R53" s="1109">
        <f>IF('Final Calculation Sheet'!$R$25="","",'Final Calculation Sheet'!$R$25)</f>
        <v/>
      </c>
      <c r="S53" s="1109">
        <f>IF('Final Calculation Sheet'!$S$25="","",'Final Calculation Sheet'!$S$25)</f>
        <v/>
      </c>
      <c r="T53" s="1109">
        <f>IF('Final Calculation Sheet'!$T$25="","",'Final Calculation Sheet'!$T$25)</f>
        <v/>
      </c>
      <c r="U53" s="1109">
        <f>IF('Final Calculation Sheet'!$U$25="","",'Final Calculation Sheet'!$U$25)</f>
        <v/>
      </c>
      <c r="V53" s="1112">
        <f>IF('Final Calculation Sheet'!$V$25="","",'Final Calculation Sheet'!$V$25)</f>
        <v/>
      </c>
      <c r="W53" s="1109">
        <f>IF('Final Calculation Sheet'!$W$25="","",'Final Calculation Sheet'!$W$25)</f>
        <v/>
      </c>
      <c r="X53" s="1109">
        <f>IF('Final Calculation Sheet'!$X$25="","",'Final Calculation Sheet'!$X$25)</f>
        <v/>
      </c>
      <c r="Y53" s="1112">
        <f>IF('Final Calculation Sheet'!$Y$25="","",'Final Calculation Sheet'!$Y$25)</f>
        <v/>
      </c>
      <c r="Z53" s="1109">
        <f>IF('Final Calculation Sheet'!$Z$25="","",'Final Calculation Sheet'!$Z$25)</f>
        <v/>
      </c>
      <c r="AA53" s="1109">
        <f>IF('Final Calculation Sheet'!$AA$25="","",'Final Calculation Sheet'!$AA$25)</f>
        <v/>
      </c>
      <c r="AB53" s="1112">
        <f>IF('Final Calculation Sheet'!$AB$25="","",'Final Calculation Sheet'!$AB$25)</f>
        <v/>
      </c>
      <c r="AC53" s="1109">
        <f>IF('Final Calculation Sheet'!$AC$25="","",'Final Calculation Sheet'!$AC$25)</f>
        <v/>
      </c>
      <c r="AD53" s="1109">
        <f>IF('Final Calculation Sheet'!$AD$25="","",'Final Calculation Sheet'!$AD$25)</f>
        <v/>
      </c>
      <c r="AE53" s="1112">
        <f>IF('Final Calculation Sheet'!$AD$25="","",IF('Final Calculation Sheet'!$AD$25&lt;=0,"SETTLED","OUTSTANDING"))</f>
        <v/>
      </c>
      <c r="AF53" s="1112">
        <f>IF('Final Calculation Sheet'!$AE$25="","",'Final Calculation Sheet'!$AE$25)</f>
        <v/>
      </c>
      <c r="AG53" s="1109">
        <f>IF('Final Calculation Sheet'!$AF$25="","",'Final Calculation Sheet'!$AF$25)</f>
        <v/>
      </c>
      <c r="AH53" s="1112">
        <f>IF('Final Calculation Sheet'!$AG$25="","",'Final Calculation Sheet'!$AG$25)</f>
        <v/>
      </c>
      <c r="AI53" s="1109" t="n">
        <v>25</v>
      </c>
    </row>
    <row r="54" outlineLevel="1" ht="15" customHeight="1">
      <c r="A54" s="1180">
        <f>IF('Final Calculation Sheet'!$G$28="","",'Final Calculation Sheet'!$G$28)</f>
        <v/>
      </c>
      <c r="B54" s="1179">
        <f>IF('Final Calculation Sheet'!$F$28="","",'Final Calculation Sheet'!$F$28)</f>
        <v/>
      </c>
      <c r="C54" s="1180">
        <f>IF('Final Calculation Sheet'!$B$28="","",'Final Calculation Sheet'!$B$28)</f>
        <v/>
      </c>
      <c r="D54" s="1179">
        <f>IF('Final Calculation Sheet'!$D$28="","",'Final Calculation Sheet'!$D$28)</f>
        <v/>
      </c>
      <c r="E54" s="1181">
        <f>IF('Final Calculation Sheet'!$A$28="","",'Final Calculation Sheet'!$A$28)</f>
        <v/>
      </c>
      <c r="F54" s="1182">
        <f>IF('Final Calculation Sheet'!$E$28="","",'Final Calculation Sheet'!$E$28)</f>
        <v/>
      </c>
      <c r="G54" s="1179">
        <f>IF('Final Calculation Sheet'!$C$28="","",'Final Calculation Sheet'!$C$28)</f>
        <v/>
      </c>
      <c r="H54" s="1179">
        <f>IF('Final Calculation Sheet'!$H$28="","",'Final Calculation Sheet'!$H$28)</f>
        <v/>
      </c>
      <c r="I54" s="1179">
        <f>IF('Final Calculation Sheet'!$I$28="","",'Final Calculation Sheet'!$I$28)</f>
        <v/>
      </c>
      <c r="J54" s="1179">
        <f>IF('Final Calculation Sheet'!$J$28="","",'Final Calculation Sheet'!$J$28)</f>
        <v/>
      </c>
      <c r="K54" s="1179">
        <f>IF('Final Calculation Sheet'!$K$28="","",'Final Calculation Sheet'!$K$28)</f>
        <v/>
      </c>
      <c r="L54" s="1183">
        <f>IF('Final Calculation Sheet'!$L$28="","",'Final Calculation Sheet'!$L$28)</f>
        <v/>
      </c>
      <c r="M54" s="1183">
        <f>IF('Final Calculation Sheet'!$M$28="","",'Final Calculation Sheet'!$M$28)</f>
        <v/>
      </c>
      <c r="N54" s="1183">
        <f>IF('Final Calculation Sheet'!$N$28="","",'Final Calculation Sheet'!$N$28)</f>
        <v/>
      </c>
      <c r="O54" s="1183">
        <f>IF('Final Calculation Sheet'!$O$28="","",'Final Calculation Sheet'!$O$28)</f>
        <v/>
      </c>
      <c r="P54" s="1179">
        <f>IF('Final Calculation Sheet'!$P$28="","",'Final Calculation Sheet'!$P$28)</f>
        <v/>
      </c>
      <c r="Q54" s="1184">
        <f>IF('Final Calculation Sheet'!$Q$28="","",'Final Calculation Sheet'!$Q$28)</f>
        <v/>
      </c>
      <c r="R54" s="1179">
        <f>IF('Final Calculation Sheet'!$R$28="","",'Final Calculation Sheet'!$R$28)</f>
        <v/>
      </c>
      <c r="S54" s="1179">
        <f>IF('Final Calculation Sheet'!$S$28="","",'Final Calculation Sheet'!$S$28)</f>
        <v/>
      </c>
      <c r="T54" s="1179">
        <f>IF('Final Calculation Sheet'!$T$28="","",'Final Calculation Sheet'!$T$28)</f>
        <v/>
      </c>
      <c r="U54" s="1179">
        <f>IF('Final Calculation Sheet'!$U$28="","",'Final Calculation Sheet'!$U$28)</f>
        <v/>
      </c>
      <c r="V54" s="1182">
        <f>IF('Final Calculation Sheet'!$V$28="","",'Final Calculation Sheet'!$V$28)</f>
        <v/>
      </c>
      <c r="W54" s="1179">
        <f>IF('Final Calculation Sheet'!$W$28="","",'Final Calculation Sheet'!$W$28)</f>
        <v/>
      </c>
      <c r="X54" s="1179">
        <f>IF('Final Calculation Sheet'!$X$28="","",'Final Calculation Sheet'!$X$28)</f>
        <v/>
      </c>
      <c r="Y54" s="1182">
        <f>IF('Final Calculation Sheet'!$Y$28="","",'Final Calculation Sheet'!$Y$28)</f>
        <v/>
      </c>
      <c r="Z54" s="1179">
        <f>IF('Final Calculation Sheet'!$Z$28="","",'Final Calculation Sheet'!$Z$28)</f>
        <v/>
      </c>
      <c r="AA54" s="1179">
        <f>IF('Final Calculation Sheet'!$AA$28="","",'Final Calculation Sheet'!$AA$28)</f>
        <v/>
      </c>
      <c r="AB54" s="1182">
        <f>IF('Final Calculation Sheet'!$AB$28="","",'Final Calculation Sheet'!$AB$28)</f>
        <v/>
      </c>
      <c r="AC54" s="1179">
        <f>IF('Final Calculation Sheet'!$AC$28="","",'Final Calculation Sheet'!$AC$28)</f>
        <v/>
      </c>
      <c r="AD54" s="1179">
        <f>IF('Final Calculation Sheet'!$AD$28="","",'Final Calculation Sheet'!$AD$28)</f>
        <v/>
      </c>
      <c r="AE54" s="1182">
        <f>IF('Final Calculation Sheet'!$AD$28="","",IF('Final Calculation Sheet'!$AD$28&lt;=0,"SETTLED","OUTSTANDING"))</f>
        <v/>
      </c>
      <c r="AF54" s="1182">
        <f>IF('Final Calculation Sheet'!$AE$28="","",'Final Calculation Sheet'!$AE$28)</f>
        <v/>
      </c>
      <c r="AG54" s="1179">
        <f>IF('Final Calculation Sheet'!$AF$28="","",'Final Calculation Sheet'!$AF$28)</f>
        <v/>
      </c>
      <c r="AH54" s="1182">
        <f>IF('Final Calculation Sheet'!$AG$28="","",'Final Calculation Sheet'!$AG$28)</f>
        <v/>
      </c>
      <c r="AI54" s="1179" t="n">
        <v>28</v>
      </c>
    </row>
    <row r="55" outlineLevel="1" ht="15" customHeight="1">
      <c r="A55" s="1110">
        <f>IF('Final Calculation Sheet'!$G$35="","",'Final Calculation Sheet'!$G$35)</f>
        <v/>
      </c>
      <c r="B55" s="1109">
        <f>IF('Final Calculation Sheet'!$F$35="","",'Final Calculation Sheet'!$F$35)</f>
        <v/>
      </c>
      <c r="C55" s="1110">
        <f>IF('Final Calculation Sheet'!$B$35="","",'Final Calculation Sheet'!$B$35)</f>
        <v/>
      </c>
      <c r="D55" s="1109">
        <f>IF('Final Calculation Sheet'!$D$35="","",'Final Calculation Sheet'!$D$35)</f>
        <v/>
      </c>
      <c r="E55" s="1111">
        <f>IF('Final Calculation Sheet'!$A$35="","",'Final Calculation Sheet'!$A$35)</f>
        <v/>
      </c>
      <c r="F55" s="1112">
        <f>IF('Final Calculation Sheet'!$E$35="","",'Final Calculation Sheet'!$E$35)</f>
        <v/>
      </c>
      <c r="G55" s="1109">
        <f>IF('Final Calculation Sheet'!$C$35="","",'Final Calculation Sheet'!$C$35)</f>
        <v/>
      </c>
      <c r="H55" s="1109">
        <f>IF('Final Calculation Sheet'!$H$35="","",'Final Calculation Sheet'!$H$35)</f>
        <v/>
      </c>
      <c r="I55" s="1109">
        <f>IF('Final Calculation Sheet'!$I$35="","",'Final Calculation Sheet'!$I$35)</f>
        <v/>
      </c>
      <c r="J55" s="1109">
        <f>IF('Final Calculation Sheet'!$J$35="","",'Final Calculation Sheet'!$J$35)</f>
        <v/>
      </c>
      <c r="K55" s="1109">
        <f>IF('Final Calculation Sheet'!$K$35="","",'Final Calculation Sheet'!$K$35)</f>
        <v/>
      </c>
      <c r="L55" s="1113">
        <f>IF('Final Calculation Sheet'!$L$35="","",'Final Calculation Sheet'!$L$35)</f>
        <v/>
      </c>
      <c r="M55" s="1113">
        <f>IF('Final Calculation Sheet'!$M$35="","",'Final Calculation Sheet'!$M$35)</f>
        <v/>
      </c>
      <c r="N55" s="1113">
        <f>IF('Final Calculation Sheet'!$N$35="","",'Final Calculation Sheet'!$N$35)</f>
        <v/>
      </c>
      <c r="O55" s="1113">
        <f>IF('Final Calculation Sheet'!$O$35="","",'Final Calculation Sheet'!$O$35)</f>
        <v/>
      </c>
      <c r="P55" s="1109">
        <f>IF('Final Calculation Sheet'!$P$35="","",'Final Calculation Sheet'!$P$35)</f>
        <v/>
      </c>
      <c r="Q55" s="1114">
        <f>IF('Final Calculation Sheet'!$Q$35="","",'Final Calculation Sheet'!$Q$35)</f>
        <v/>
      </c>
      <c r="R55" s="1109">
        <f>IF('Final Calculation Sheet'!$R$35="","",'Final Calculation Sheet'!$R$35)</f>
        <v/>
      </c>
      <c r="S55" s="1109">
        <f>IF('Final Calculation Sheet'!$S$35="","",'Final Calculation Sheet'!$S$35)</f>
        <v/>
      </c>
      <c r="T55" s="1109">
        <f>IF('Final Calculation Sheet'!$T$35="","",'Final Calculation Sheet'!$T$35)</f>
        <v/>
      </c>
      <c r="U55" s="1109">
        <f>IF('Final Calculation Sheet'!$U$35="","",'Final Calculation Sheet'!$U$35)</f>
        <v/>
      </c>
      <c r="V55" s="1112">
        <f>IF('Final Calculation Sheet'!$V$35="","",'Final Calculation Sheet'!$V$35)</f>
        <v/>
      </c>
      <c r="W55" s="1109">
        <f>IF('Final Calculation Sheet'!$W$35="","",'Final Calculation Sheet'!$W$35)</f>
        <v/>
      </c>
      <c r="X55" s="1109">
        <f>IF('Final Calculation Sheet'!$X$35="","",'Final Calculation Sheet'!$X$35)</f>
        <v/>
      </c>
      <c r="Y55" s="1112">
        <f>IF('Final Calculation Sheet'!$Y$35="","",'Final Calculation Sheet'!$Y$35)</f>
        <v/>
      </c>
      <c r="Z55" s="1109">
        <f>IF('Final Calculation Sheet'!$Z$35="","",'Final Calculation Sheet'!$Z$35)</f>
        <v/>
      </c>
      <c r="AA55" s="1109">
        <f>IF('Final Calculation Sheet'!$AA$35="","",'Final Calculation Sheet'!$AA$35)</f>
        <v/>
      </c>
      <c r="AB55" s="1112">
        <f>IF('Final Calculation Sheet'!$AB$35="","",'Final Calculation Sheet'!$AB$35)</f>
        <v/>
      </c>
      <c r="AC55" s="1109">
        <f>IF('Final Calculation Sheet'!$AC$35="","",'Final Calculation Sheet'!$AC$35)</f>
        <v/>
      </c>
      <c r="AD55" s="1109">
        <f>IF('Final Calculation Sheet'!$AD$35="","",'Final Calculation Sheet'!$AD$35)</f>
        <v/>
      </c>
      <c r="AE55" s="1112">
        <f>IF('Final Calculation Sheet'!$AD$35="","",IF('Final Calculation Sheet'!$AD$35&lt;=0,"SETTLED","OUTSTANDING"))</f>
        <v/>
      </c>
      <c r="AF55" s="1112">
        <f>IF('Final Calculation Sheet'!$AE$35="","",'Final Calculation Sheet'!$AE$35)</f>
        <v/>
      </c>
      <c r="AG55" s="1109">
        <f>IF('Final Calculation Sheet'!$AF$35="","",'Final Calculation Sheet'!$AF$35)</f>
        <v/>
      </c>
      <c r="AH55" s="1112">
        <f>IF('Final Calculation Sheet'!$AG$35="","",'Final Calculation Sheet'!$AG$35)</f>
        <v/>
      </c>
      <c r="AI55" s="1109" t="n">
        <v>35</v>
      </c>
    </row>
    <row r="56" ht="20" customHeight="1">
      <c r="A56" s="1198" t="inlineStr">
        <is>
          <t>∑  GRAND TOTAL (follows the filter)</t>
        </is>
      </c>
      <c r="B56" s="1199" t="n"/>
      <c r="C56" s="1199" t="n"/>
      <c r="D56" s="1199" t="n"/>
      <c r="E56" s="1200">
        <f>SUBTOTAL(109,E7:E55)</f>
        <v/>
      </c>
      <c r="F56" s="1199" t="n"/>
      <c r="G56" s="1199" t="n"/>
      <c r="H56" s="1201">
        <f>SUBTOTAL(109,H7:H55)</f>
        <v/>
      </c>
      <c r="I56" s="1201">
        <f>SUBTOTAL(109,I7:I55)</f>
        <v/>
      </c>
      <c r="J56" s="1201">
        <f>SUBTOTAL(109,J7:J55)</f>
        <v/>
      </c>
      <c r="K56" s="1201">
        <f>SUBTOTAL(109,K7:K55)</f>
        <v/>
      </c>
      <c r="L56" s="1202">
        <f>SUBTOTAL(109,L7:L55)</f>
        <v/>
      </c>
      <c r="M56" s="1202">
        <f>SUBTOTAL(109,M7:M55)</f>
        <v/>
      </c>
      <c r="N56" s="1202">
        <f>SUBTOTAL(109,N7:N55)</f>
        <v/>
      </c>
      <c r="O56" s="1202">
        <f>SUBTOTAL(109,O7:O55)</f>
        <v/>
      </c>
      <c r="P56" s="1201">
        <f>SUBTOTAL(109,P7:P55)</f>
        <v/>
      </c>
      <c r="Q56" s="1199" t="n"/>
      <c r="R56" s="1201">
        <f>SUBTOTAL(109,R7:R55)</f>
        <v/>
      </c>
      <c r="S56" s="1201">
        <f>SUBTOTAL(109,S7:S55)</f>
        <v/>
      </c>
      <c r="T56" s="1201">
        <f>SUBTOTAL(109,T7:T55)</f>
        <v/>
      </c>
      <c r="U56" s="1201">
        <f>SUBTOTAL(109,U7:U55)</f>
        <v/>
      </c>
      <c r="V56" s="1199" t="n"/>
      <c r="W56" s="1201">
        <f>SUBTOTAL(109,W7:W55)</f>
        <v/>
      </c>
      <c r="X56" s="1201">
        <f>SUBTOTAL(109,X7:X55)</f>
        <v/>
      </c>
      <c r="Y56" s="1199" t="n"/>
      <c r="Z56" s="1201">
        <f>SUBTOTAL(109,Z7:Z55)</f>
        <v/>
      </c>
      <c r="AA56" s="1201">
        <f>SUBTOTAL(109,AA7:AA55)</f>
        <v/>
      </c>
      <c r="AB56" s="1199" t="n"/>
      <c r="AC56" s="1201">
        <f>SUBTOTAL(109,AC7:AC55)</f>
        <v/>
      </c>
      <c r="AD56" s="1201">
        <f>SUBTOTAL(109,AD7:AD55)</f>
        <v/>
      </c>
      <c r="AE56" s="1199" t="n"/>
      <c r="AF56" s="1199" t="n"/>
      <c r="AG56" s="1199" t="n"/>
      <c r="AH56" s="1199" t="n"/>
      <c r="AI56" s="1199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22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21">
      <formula>"SETTLED"</formula>
    </cfRule>
    <cfRule type="cellIs" priority="4" operator="equal" dxfId="22">
      <formula>"OUTSTANDING"</formula>
    </cfRule>
  </conditionalFormatting>
  <conditionalFormatting sqref="A7:AI55">
    <cfRule type="expression" priority="5" dxfId="2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658" t="inlineStr">
        <is>
          <t>MSTC LIMITED  •  BUYER &amp; LOT LEDGER  (filter + fold)   (fields ↓ rows  |  lots → columns)</t>
        </is>
      </c>
    </row>
    <row r="2" ht="30" customHeight="1">
      <c r="A2" s="659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689" t="inlineStr">
        <is>
          <t>BUYER  →</t>
        </is>
      </c>
      <c r="B3" s="690" t="inlineStr">
        <is>
          <t>AL HAMD TRADE CORPORATION  (1)</t>
        </is>
      </c>
      <c r="C3" s="692" t="inlineStr">
        <is>
          <t>F R KHANS ENTERPRISES  (2)</t>
        </is>
      </c>
      <c r="D3" s="693" t="n"/>
      <c r="E3" s="694" t="inlineStr">
        <is>
          <t>HIND TRADERS  (1)</t>
        </is>
      </c>
      <c r="F3" s="696" t="inlineStr">
        <is>
          <t>KASHYAP TRADING CO  (1)</t>
        </is>
      </c>
      <c r="G3" s="835" t="inlineStr">
        <is>
          <t>M I SCRAP TRADERS  (1)</t>
        </is>
      </c>
      <c r="H3" s="834" t="inlineStr">
        <is>
          <t>NATIONAL ENTERPRISES  (13)</t>
        </is>
      </c>
      <c r="I3" s="819" t="n"/>
      <c r="J3" s="819" t="n"/>
      <c r="K3" s="819" t="n"/>
      <c r="L3" s="819" t="n"/>
      <c r="M3" s="819" t="n"/>
      <c r="N3" s="819" t="n"/>
      <c r="O3" s="819" t="n"/>
      <c r="P3" s="819" t="n"/>
      <c r="Q3" s="819" t="n"/>
      <c r="R3" s="819" t="n"/>
      <c r="S3" s="819" t="n"/>
      <c r="T3" s="819" t="n"/>
      <c r="U3" s="836" t="inlineStr">
        <is>
          <t>NATIONAL SCRAP AND BUILDING MATERIAL SUPPLIER  (1)</t>
        </is>
      </c>
      <c r="V3" s="837" t="inlineStr">
        <is>
          <t>OMKAR STEELS  (2)</t>
        </is>
      </c>
      <c r="W3" s="824" t="n"/>
      <c r="X3" s="690" t="inlineStr">
        <is>
          <t>S M ENTERPRISES  (2)</t>
        </is>
      </c>
      <c r="Y3" s="691" t="n"/>
      <c r="Z3" s="692" t="inlineStr">
        <is>
          <t>SAHARA ENTERPRISES  (1)</t>
        </is>
      </c>
      <c r="AA3" s="694" t="inlineStr">
        <is>
          <t>SHAR JAHAN TRADERS  (2)</t>
        </is>
      </c>
      <c r="AB3" s="695" t="n"/>
      <c r="AC3" s="696" t="inlineStr">
        <is>
          <t>STERLING ENTERPRISES  (7)</t>
        </is>
      </c>
      <c r="AD3" s="697" t="n"/>
      <c r="AE3" s="697" t="n"/>
      <c r="AF3" s="697" t="n"/>
      <c r="AG3" s="697" t="n"/>
      <c r="AH3" s="697" t="n"/>
      <c r="AI3" s="697" t="n"/>
      <c r="AJ3" s="835" t="inlineStr">
        <is>
          <t>WATAN SCRAP TRADERS  (3)</t>
        </is>
      </c>
      <c r="AK3" s="703" t="n"/>
      <c r="AL3" s="703" t="n"/>
      <c r="AM3" s="1203" t="n"/>
    </row>
    <row r="4" ht="18" customHeight="1">
      <c r="A4" s="1204" t="inlineStr">
        <is>
          <t>LOT NO.  →</t>
        </is>
      </c>
      <c r="B4" s="1205">
        <f>IF('Final Calculation Sheet'!$F$4="","",'Final Calculation Sheet'!$F$4)</f>
        <v/>
      </c>
      <c r="C4" s="1205">
        <f>IF('Final Calculation Sheet'!$F$6="","",'Final Calculation Sheet'!$F$6)</f>
        <v/>
      </c>
      <c r="D4" s="1205">
        <f>IF('Final Calculation Sheet'!$F$7="","",'Final Calculation Sheet'!$F$7)</f>
        <v/>
      </c>
      <c r="E4" s="1205">
        <f>IF('Final Calculation Sheet'!$F$15="","",'Final Calculation Sheet'!$F$15)</f>
        <v/>
      </c>
      <c r="F4" s="1205">
        <f>IF('Final Calculation Sheet'!$F$38="","",'Final Calculation Sheet'!$F$38)</f>
        <v/>
      </c>
      <c r="G4" s="1205">
        <f>IF('Final Calculation Sheet'!$F$27="","",'Final Calculation Sheet'!$F$27)</f>
        <v/>
      </c>
      <c r="H4" s="1205">
        <f>IF('Final Calculation Sheet'!$F$5="","",'Final Calculation Sheet'!$F$5)</f>
        <v/>
      </c>
      <c r="I4" s="1205">
        <f>IF('Final Calculation Sheet'!$F$10="","",'Final Calculation Sheet'!$F$10)</f>
        <v/>
      </c>
      <c r="J4" s="1205">
        <f>IF('Final Calculation Sheet'!$F$11="","",'Final Calculation Sheet'!$F$11)</f>
        <v/>
      </c>
      <c r="K4" s="1205">
        <f>IF('Final Calculation Sheet'!$F$12="","",'Final Calculation Sheet'!$F$12)</f>
        <v/>
      </c>
      <c r="L4" s="1205">
        <f>IF('Final Calculation Sheet'!$F$18="","",'Final Calculation Sheet'!$F$18)</f>
        <v/>
      </c>
      <c r="M4" s="1205">
        <f>IF('Final Calculation Sheet'!$F$19="","",'Final Calculation Sheet'!$F$19)</f>
        <v/>
      </c>
      <c r="N4" s="1205">
        <f>IF('Final Calculation Sheet'!$F$22="","",'Final Calculation Sheet'!$F$22)</f>
        <v/>
      </c>
      <c r="O4" s="1205">
        <f>IF('Final Calculation Sheet'!$F$24="","",'Final Calculation Sheet'!$F$24)</f>
        <v/>
      </c>
      <c r="P4" s="1205">
        <f>IF('Final Calculation Sheet'!$F$26="","",'Final Calculation Sheet'!$F$26)</f>
        <v/>
      </c>
      <c r="Q4" s="1205">
        <f>IF('Final Calculation Sheet'!$F$30="","",'Final Calculation Sheet'!$F$30)</f>
        <v/>
      </c>
      <c r="R4" s="1205">
        <f>IF('Final Calculation Sheet'!$F$32="","",'Final Calculation Sheet'!$F$32)</f>
        <v/>
      </c>
      <c r="S4" s="1205">
        <f>IF('Final Calculation Sheet'!$F$33="","",'Final Calculation Sheet'!$F$33)</f>
        <v/>
      </c>
      <c r="T4" s="1205">
        <f>IF('Final Calculation Sheet'!$F$37="","",'Final Calculation Sheet'!$F$37)</f>
        <v/>
      </c>
      <c r="U4" s="1205">
        <f>IF('Final Calculation Sheet'!$F$21="","",'Final Calculation Sheet'!$F$21)</f>
        <v/>
      </c>
      <c r="V4" s="1205">
        <f>IF('Final Calculation Sheet'!$F$8="","",'Final Calculation Sheet'!$F$8)</f>
        <v/>
      </c>
      <c r="W4" s="1205">
        <f>IF('Final Calculation Sheet'!$F$20="","",'Final Calculation Sheet'!$F$20)</f>
        <v/>
      </c>
      <c r="X4" s="1205">
        <f>IF('Final Calculation Sheet'!$F$39="","",'Final Calculation Sheet'!$F$39)</f>
        <v/>
      </c>
      <c r="Y4" s="1205">
        <f>IF('Final Calculation Sheet'!$F$40="","",'Final Calculation Sheet'!$F$40)</f>
        <v/>
      </c>
      <c r="Z4" s="1205">
        <f>IF('Final Calculation Sheet'!$F$31="","",'Final Calculation Sheet'!$F$31)</f>
        <v/>
      </c>
      <c r="AA4" s="1205">
        <f>IF('Final Calculation Sheet'!$F$9="","",'Final Calculation Sheet'!$F$9)</f>
        <v/>
      </c>
      <c r="AB4" s="1205">
        <f>IF('Final Calculation Sheet'!$F$14="","",'Final Calculation Sheet'!$F$14)</f>
        <v/>
      </c>
      <c r="AC4" s="1205">
        <f>IF('Final Calculation Sheet'!$F$13="","",'Final Calculation Sheet'!$F$13)</f>
        <v/>
      </c>
      <c r="AD4" s="1205">
        <f>IF('Final Calculation Sheet'!$F$16="","",'Final Calculation Sheet'!$F$16)</f>
        <v/>
      </c>
      <c r="AE4" s="1205">
        <f>IF('Final Calculation Sheet'!$F$17="","",'Final Calculation Sheet'!$F$17)</f>
        <v/>
      </c>
      <c r="AF4" s="1205">
        <f>IF('Final Calculation Sheet'!$F$23="","",'Final Calculation Sheet'!$F$23)</f>
        <v/>
      </c>
      <c r="AG4" s="1205">
        <f>IF('Final Calculation Sheet'!$F$29="","",'Final Calculation Sheet'!$F$29)</f>
        <v/>
      </c>
      <c r="AH4" s="1205">
        <f>IF('Final Calculation Sheet'!$F$34="","",'Final Calculation Sheet'!$F$34)</f>
        <v/>
      </c>
      <c r="AI4" s="1205">
        <f>IF('Final Calculation Sheet'!$F$36="","",'Final Calculation Sheet'!$F$36)</f>
        <v/>
      </c>
      <c r="AJ4" s="1205">
        <f>IF('Final Calculation Sheet'!$F$25="","",'Final Calculation Sheet'!$F$25)</f>
        <v/>
      </c>
      <c r="AK4" s="1205">
        <f>IF('Final Calculation Sheet'!$F$28="","",'Final Calculation Sheet'!$F$28)</f>
        <v/>
      </c>
      <c r="AL4" s="1205">
        <f>IF('Final Calculation Sheet'!$F$35="","",'Final Calculation Sheet'!$F$35)</f>
        <v/>
      </c>
      <c r="AM4" s="1206" t="inlineStr">
        <is>
          <t>∑ ALL</t>
        </is>
      </c>
    </row>
    <row r="5" ht="26" customHeight="1">
      <c r="A5" s="1207" t="inlineStr">
        <is>
          <t>FIELD  ▸</t>
        </is>
      </c>
      <c r="B5" s="1207" t="inlineStr">
        <is>
          <t>LOT 1</t>
        </is>
      </c>
      <c r="C5" s="1207" t="inlineStr">
        <is>
          <t>LOT 2</t>
        </is>
      </c>
      <c r="D5" s="1207" t="inlineStr">
        <is>
          <t>LOT 3</t>
        </is>
      </c>
      <c r="E5" s="1207" t="inlineStr">
        <is>
          <t>LOT 4</t>
        </is>
      </c>
      <c r="F5" s="1207" t="inlineStr">
        <is>
          <t>LOT 5</t>
        </is>
      </c>
      <c r="G5" s="1207" t="inlineStr">
        <is>
          <t>LOT 6</t>
        </is>
      </c>
      <c r="H5" s="1207" t="inlineStr">
        <is>
          <t>LOT 7</t>
        </is>
      </c>
      <c r="I5" s="1207" t="inlineStr">
        <is>
          <t>LOT 8</t>
        </is>
      </c>
      <c r="J5" s="1207" t="inlineStr">
        <is>
          <t>LOT 9</t>
        </is>
      </c>
      <c r="K5" s="1207" t="inlineStr">
        <is>
          <t>LOT 10</t>
        </is>
      </c>
      <c r="L5" s="1207" t="inlineStr">
        <is>
          <t>LOT 11</t>
        </is>
      </c>
      <c r="M5" s="1207" t="inlineStr">
        <is>
          <t>LOT 12</t>
        </is>
      </c>
      <c r="N5" s="1207" t="inlineStr">
        <is>
          <t>LOT 13</t>
        </is>
      </c>
      <c r="O5" s="1207" t="inlineStr">
        <is>
          <t>LOT 14</t>
        </is>
      </c>
      <c r="P5" s="1207" t="inlineStr">
        <is>
          <t>LOT 15</t>
        </is>
      </c>
      <c r="Q5" s="1207" t="inlineStr">
        <is>
          <t>LOT 16</t>
        </is>
      </c>
      <c r="R5" s="1207" t="inlineStr">
        <is>
          <t>LOT 17</t>
        </is>
      </c>
      <c r="S5" s="1207" t="inlineStr">
        <is>
          <t>LOT 18</t>
        </is>
      </c>
      <c r="T5" s="1207" t="inlineStr">
        <is>
          <t>LOT 19</t>
        </is>
      </c>
      <c r="U5" s="1207" t="inlineStr">
        <is>
          <t>LOT 20</t>
        </is>
      </c>
      <c r="V5" s="1207" t="inlineStr">
        <is>
          <t>LOT 21</t>
        </is>
      </c>
      <c r="W5" s="1207" t="inlineStr">
        <is>
          <t>LOT 22</t>
        </is>
      </c>
      <c r="X5" s="1207" t="inlineStr">
        <is>
          <t>LOT 23</t>
        </is>
      </c>
      <c r="Y5" s="1207" t="inlineStr">
        <is>
          <t>LOT 24</t>
        </is>
      </c>
      <c r="Z5" s="1207" t="inlineStr">
        <is>
          <t>LOT 25</t>
        </is>
      </c>
      <c r="AA5" s="1207" t="inlineStr">
        <is>
          <t>LOT 26</t>
        </is>
      </c>
      <c r="AB5" s="1207" t="inlineStr">
        <is>
          <t>LOT 27</t>
        </is>
      </c>
      <c r="AC5" s="1207" t="inlineStr">
        <is>
          <t>LOT 28</t>
        </is>
      </c>
      <c r="AD5" s="1207" t="inlineStr">
        <is>
          <t>LOT 29</t>
        </is>
      </c>
      <c r="AE5" s="1207" t="inlineStr">
        <is>
          <t>LOT 30</t>
        </is>
      </c>
      <c r="AF5" s="1207" t="inlineStr">
        <is>
          <t>LOT 31</t>
        </is>
      </c>
      <c r="AG5" s="1207" t="inlineStr">
        <is>
          <t>LOT 32</t>
        </is>
      </c>
      <c r="AH5" s="1207" t="inlineStr">
        <is>
          <t>LOT 33</t>
        </is>
      </c>
      <c r="AI5" s="1207" t="inlineStr">
        <is>
          <t>LOT 34</t>
        </is>
      </c>
      <c r="AJ5" s="1207" t="inlineStr">
        <is>
          <t>LOT 35</t>
        </is>
      </c>
      <c r="AK5" s="1207" t="inlineStr">
        <is>
          <t>LOT 36</t>
        </is>
      </c>
      <c r="AL5" s="1207" t="inlineStr">
        <is>
          <t>LOT 37</t>
        </is>
      </c>
      <c r="AM5" s="1207" t="inlineStr">
        <is>
          <t>TOTAL</t>
        </is>
      </c>
    </row>
    <row r="6" ht="17" customHeight="1">
      <c r="A6" s="762" t="inlineStr">
        <is>
          <t xml:space="preserve">  ▸ LOT INFORMATION</t>
        </is>
      </c>
      <c r="B6" s="691" t="n"/>
      <c r="C6" s="691" t="n"/>
      <c r="D6" s="691" t="n"/>
      <c r="E6" s="691" t="n"/>
      <c r="F6" s="691" t="n"/>
      <c r="G6" s="691" t="n"/>
      <c r="H6" s="691" t="n"/>
      <c r="I6" s="691" t="n"/>
      <c r="J6" s="691" t="n"/>
      <c r="K6" s="691" t="n"/>
      <c r="L6" s="691" t="n"/>
      <c r="M6" s="691" t="n"/>
      <c r="N6" s="691" t="n"/>
      <c r="O6" s="691" t="n"/>
      <c r="P6" s="691" t="n"/>
      <c r="Q6" s="691" t="n"/>
      <c r="R6" s="691" t="n"/>
      <c r="S6" s="691" t="n"/>
      <c r="T6" s="691" t="n"/>
      <c r="U6" s="691" t="n"/>
      <c r="V6" s="691" t="n"/>
      <c r="W6" s="691" t="n"/>
      <c r="X6" s="691" t="n"/>
      <c r="Y6" s="691" t="n"/>
      <c r="Z6" s="691" t="n"/>
      <c r="AA6" s="691" t="n"/>
      <c r="AB6" s="691" t="n"/>
      <c r="AC6" s="691" t="n"/>
      <c r="AD6" s="691" t="n"/>
      <c r="AE6" s="691" t="n"/>
      <c r="AF6" s="691" t="n"/>
      <c r="AG6" s="691" t="n"/>
      <c r="AH6" s="691" t="n"/>
      <c r="AI6" s="691" t="n"/>
      <c r="AJ6" s="691" t="n"/>
      <c r="AK6" s="691" t="n"/>
      <c r="AL6" s="691" t="n"/>
      <c r="AM6" s="691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1208">
        <f>IF('Final Calculation Sheet'!$F$6="","",'Final Calculation Sheet'!$F$6)</f>
        <v/>
      </c>
      <c r="D7" s="70">
        <f>IF('Final Calculation Sheet'!$F$7="","",'Final Calculation Sheet'!$F$7)</f>
        <v/>
      </c>
      <c r="E7" s="1208">
        <f>IF('Final Calculation Sheet'!$F$15="","",'Final Calculation Sheet'!$F$15)</f>
        <v/>
      </c>
      <c r="F7" s="70">
        <f>IF('Final Calculation Sheet'!$F$38="","",'Final Calculation Sheet'!$F$38)</f>
        <v/>
      </c>
      <c r="G7" s="1208">
        <f>IF('Final Calculation Sheet'!$F$27="","",'Final Calculation Sheet'!$F$27)</f>
        <v/>
      </c>
      <c r="H7" s="70">
        <f>IF('Final Calculation Sheet'!$F$5="","",'Final Calculation Sheet'!$F$5)</f>
        <v/>
      </c>
      <c r="I7" s="1208">
        <f>IF('Final Calculation Sheet'!$F$10="","",'Final Calculation Sheet'!$F$10)</f>
        <v/>
      </c>
      <c r="J7" s="70">
        <f>IF('Final Calculation Sheet'!$F$11="","",'Final Calculation Sheet'!$F$11)</f>
        <v/>
      </c>
      <c r="K7" s="1208">
        <f>IF('Final Calculation Sheet'!$F$12="","",'Final Calculation Sheet'!$F$12)</f>
        <v/>
      </c>
      <c r="L7" s="70">
        <f>IF('Final Calculation Sheet'!$F$18="","",'Final Calculation Sheet'!$F$18)</f>
        <v/>
      </c>
      <c r="M7" s="1208">
        <f>IF('Final Calculation Sheet'!$F$19="","",'Final Calculation Sheet'!$F$19)</f>
        <v/>
      </c>
      <c r="N7" s="70">
        <f>IF('Final Calculation Sheet'!$F$22="","",'Final Calculation Sheet'!$F$22)</f>
        <v/>
      </c>
      <c r="O7" s="1208">
        <f>IF('Final Calculation Sheet'!$F$24="","",'Final Calculation Sheet'!$F$24)</f>
        <v/>
      </c>
      <c r="P7" s="70">
        <f>IF('Final Calculation Sheet'!$F$26="","",'Final Calculation Sheet'!$F$26)</f>
        <v/>
      </c>
      <c r="Q7" s="1208">
        <f>IF('Final Calculation Sheet'!$F$30="","",'Final Calculation Sheet'!$F$30)</f>
        <v/>
      </c>
      <c r="R7" s="70">
        <f>IF('Final Calculation Sheet'!$F$32="","",'Final Calculation Sheet'!$F$32)</f>
        <v/>
      </c>
      <c r="S7" s="1208">
        <f>IF('Final Calculation Sheet'!$F$33="","",'Final Calculation Sheet'!$F$33)</f>
        <v/>
      </c>
      <c r="T7" s="70">
        <f>IF('Final Calculation Sheet'!$F$37="","",'Final Calculation Sheet'!$F$37)</f>
        <v/>
      </c>
      <c r="U7" s="1208">
        <f>IF('Final Calculation Sheet'!$F$21="","",'Final Calculation Sheet'!$F$21)</f>
        <v/>
      </c>
      <c r="V7" s="70">
        <f>IF('Final Calculation Sheet'!$F$8="","",'Final Calculation Sheet'!$F$8)</f>
        <v/>
      </c>
      <c r="W7" s="1208">
        <f>IF('Final Calculation Sheet'!$F$20="","",'Final Calculation Sheet'!$F$20)</f>
        <v/>
      </c>
      <c r="X7" s="70">
        <f>IF('Final Calculation Sheet'!$F$39="","",'Final Calculation Sheet'!$F$39)</f>
        <v/>
      </c>
      <c r="Y7" s="1208">
        <f>IF('Final Calculation Sheet'!$F$40="","",'Final Calculation Sheet'!$F$40)</f>
        <v/>
      </c>
      <c r="Z7" s="70">
        <f>IF('Final Calculation Sheet'!$F$31="","",'Final Calculation Sheet'!$F$31)</f>
        <v/>
      </c>
      <c r="AA7" s="1208">
        <f>IF('Final Calculation Sheet'!$F$9="","",'Final Calculation Sheet'!$F$9)</f>
        <v/>
      </c>
      <c r="AB7" s="70">
        <f>IF('Final Calculation Sheet'!$F$14="","",'Final Calculation Sheet'!$F$14)</f>
        <v/>
      </c>
      <c r="AC7" s="1208">
        <f>IF('Final Calculation Sheet'!$F$13="","",'Final Calculation Sheet'!$F$13)</f>
        <v/>
      </c>
      <c r="AD7" s="70">
        <f>IF('Final Calculation Sheet'!$F$16="","",'Final Calculation Sheet'!$F$16)</f>
        <v/>
      </c>
      <c r="AE7" s="1208">
        <f>IF('Final Calculation Sheet'!$F$17="","",'Final Calculation Sheet'!$F$17)</f>
        <v/>
      </c>
      <c r="AF7" s="70">
        <f>IF('Final Calculation Sheet'!$F$23="","",'Final Calculation Sheet'!$F$23)</f>
        <v/>
      </c>
      <c r="AG7" s="1208">
        <f>IF('Final Calculation Sheet'!$F$29="","",'Final Calculation Sheet'!$F$29)</f>
        <v/>
      </c>
      <c r="AH7" s="70">
        <f>IF('Final Calculation Sheet'!$F$34="","",'Final Calculation Sheet'!$F$34)</f>
        <v/>
      </c>
      <c r="AI7" s="1208">
        <f>IF('Final Calculation Sheet'!$F$36="","",'Final Calculation Sheet'!$F$36)</f>
        <v/>
      </c>
      <c r="AJ7" s="70">
        <f>IF('Final Calculation Sheet'!$F$25="","",'Final Calculation Sheet'!$F$25)</f>
        <v/>
      </c>
      <c r="AK7" s="1208">
        <f>IF('Final Calculation Sheet'!$F$28="","",'Final Calculation Sheet'!$F$28)</f>
        <v/>
      </c>
      <c r="AL7" s="70">
        <f>IF('Final Calculation Sheet'!$F$35="","",'Final Calculation Sheet'!$F$35)</f>
        <v/>
      </c>
      <c r="AM7" s="948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1209">
        <f>IF('Final Calculation Sheet'!$B$6="","",'Final Calculation Sheet'!$B$6)</f>
        <v/>
      </c>
      <c r="D8" s="73">
        <f>IF('Final Calculation Sheet'!$B$7="","",'Final Calculation Sheet'!$B$7)</f>
        <v/>
      </c>
      <c r="E8" s="1209">
        <f>IF('Final Calculation Sheet'!$B$15="","",'Final Calculation Sheet'!$B$15)</f>
        <v/>
      </c>
      <c r="F8" s="73">
        <f>IF('Final Calculation Sheet'!$B$38="","",'Final Calculation Sheet'!$B$38)</f>
        <v/>
      </c>
      <c r="G8" s="1209">
        <f>IF('Final Calculation Sheet'!$B$27="","",'Final Calculation Sheet'!$B$27)</f>
        <v/>
      </c>
      <c r="H8" s="73">
        <f>IF('Final Calculation Sheet'!$B$5="","",'Final Calculation Sheet'!$B$5)</f>
        <v/>
      </c>
      <c r="I8" s="1209">
        <f>IF('Final Calculation Sheet'!$B$10="","",'Final Calculation Sheet'!$B$10)</f>
        <v/>
      </c>
      <c r="J8" s="73">
        <f>IF('Final Calculation Sheet'!$B$11="","",'Final Calculation Sheet'!$B$11)</f>
        <v/>
      </c>
      <c r="K8" s="1209">
        <f>IF('Final Calculation Sheet'!$B$12="","",'Final Calculation Sheet'!$B$12)</f>
        <v/>
      </c>
      <c r="L8" s="73">
        <f>IF('Final Calculation Sheet'!$B$18="","",'Final Calculation Sheet'!$B$18)</f>
        <v/>
      </c>
      <c r="M8" s="1209">
        <f>IF('Final Calculation Sheet'!$B$19="","",'Final Calculation Sheet'!$B$19)</f>
        <v/>
      </c>
      <c r="N8" s="73">
        <f>IF('Final Calculation Sheet'!$B$22="","",'Final Calculation Sheet'!$B$22)</f>
        <v/>
      </c>
      <c r="O8" s="1209">
        <f>IF('Final Calculation Sheet'!$B$24="","",'Final Calculation Sheet'!$B$24)</f>
        <v/>
      </c>
      <c r="P8" s="73">
        <f>IF('Final Calculation Sheet'!$B$26="","",'Final Calculation Sheet'!$B$26)</f>
        <v/>
      </c>
      <c r="Q8" s="1209">
        <f>IF('Final Calculation Sheet'!$B$30="","",'Final Calculation Sheet'!$B$30)</f>
        <v/>
      </c>
      <c r="R8" s="73">
        <f>IF('Final Calculation Sheet'!$B$32="","",'Final Calculation Sheet'!$B$32)</f>
        <v/>
      </c>
      <c r="S8" s="1209">
        <f>IF('Final Calculation Sheet'!$B$33="","",'Final Calculation Sheet'!$B$33)</f>
        <v/>
      </c>
      <c r="T8" s="73">
        <f>IF('Final Calculation Sheet'!$B$37="","",'Final Calculation Sheet'!$B$37)</f>
        <v/>
      </c>
      <c r="U8" s="1209">
        <f>IF('Final Calculation Sheet'!$B$21="","",'Final Calculation Sheet'!$B$21)</f>
        <v/>
      </c>
      <c r="V8" s="73">
        <f>IF('Final Calculation Sheet'!$B$8="","",'Final Calculation Sheet'!$B$8)</f>
        <v/>
      </c>
      <c r="W8" s="1209">
        <f>IF('Final Calculation Sheet'!$B$20="","",'Final Calculation Sheet'!$B$20)</f>
        <v/>
      </c>
      <c r="X8" s="73">
        <f>IF('Final Calculation Sheet'!$B$39="","",'Final Calculation Sheet'!$B$39)</f>
        <v/>
      </c>
      <c r="Y8" s="1209">
        <f>IF('Final Calculation Sheet'!$B$40="","",'Final Calculation Sheet'!$B$40)</f>
        <v/>
      </c>
      <c r="Z8" s="73">
        <f>IF('Final Calculation Sheet'!$B$31="","",'Final Calculation Sheet'!$B$31)</f>
        <v/>
      </c>
      <c r="AA8" s="1209">
        <f>IF('Final Calculation Sheet'!$B$9="","",'Final Calculation Sheet'!$B$9)</f>
        <v/>
      </c>
      <c r="AB8" s="73">
        <f>IF('Final Calculation Sheet'!$B$14="","",'Final Calculation Sheet'!$B$14)</f>
        <v/>
      </c>
      <c r="AC8" s="1209">
        <f>IF('Final Calculation Sheet'!$B$13="","",'Final Calculation Sheet'!$B$13)</f>
        <v/>
      </c>
      <c r="AD8" s="73">
        <f>IF('Final Calculation Sheet'!$B$16="","",'Final Calculation Sheet'!$B$16)</f>
        <v/>
      </c>
      <c r="AE8" s="1209">
        <f>IF('Final Calculation Sheet'!$B$17="","",'Final Calculation Sheet'!$B$17)</f>
        <v/>
      </c>
      <c r="AF8" s="73">
        <f>IF('Final Calculation Sheet'!$B$23="","",'Final Calculation Sheet'!$B$23)</f>
        <v/>
      </c>
      <c r="AG8" s="1209">
        <f>IF('Final Calculation Sheet'!$B$29="","",'Final Calculation Sheet'!$B$29)</f>
        <v/>
      </c>
      <c r="AH8" s="73">
        <f>IF('Final Calculation Sheet'!$B$34="","",'Final Calculation Sheet'!$B$34)</f>
        <v/>
      </c>
      <c r="AI8" s="1209">
        <f>IF('Final Calculation Sheet'!$B$36="","",'Final Calculation Sheet'!$B$36)</f>
        <v/>
      </c>
      <c r="AJ8" s="73">
        <f>IF('Final Calculation Sheet'!$B$25="","",'Final Calculation Sheet'!$B$25)</f>
        <v/>
      </c>
      <c r="AK8" s="1209">
        <f>IF('Final Calculation Sheet'!$B$28="","",'Final Calculation Sheet'!$B$28)</f>
        <v/>
      </c>
      <c r="AL8" s="73">
        <f>IF('Final Calculation Sheet'!$B$35="","",'Final Calculation Sheet'!$B$35)</f>
        <v/>
      </c>
      <c r="AM8" s="948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1208">
        <f>IF('Final Calculation Sheet'!$D$6="","",'Final Calculation Sheet'!$D$6)</f>
        <v/>
      </c>
      <c r="D9" s="70">
        <f>IF('Final Calculation Sheet'!$D$7="","",'Final Calculation Sheet'!$D$7)</f>
        <v/>
      </c>
      <c r="E9" s="1208">
        <f>IF('Final Calculation Sheet'!$D$15="","",'Final Calculation Sheet'!$D$15)</f>
        <v/>
      </c>
      <c r="F9" s="70">
        <f>IF('Final Calculation Sheet'!$D$38="","",'Final Calculation Sheet'!$D$38)</f>
        <v/>
      </c>
      <c r="G9" s="1208">
        <f>IF('Final Calculation Sheet'!$D$27="","",'Final Calculation Sheet'!$D$27)</f>
        <v/>
      </c>
      <c r="H9" s="70">
        <f>IF('Final Calculation Sheet'!$D$5="","",'Final Calculation Sheet'!$D$5)</f>
        <v/>
      </c>
      <c r="I9" s="1208">
        <f>IF('Final Calculation Sheet'!$D$10="","",'Final Calculation Sheet'!$D$10)</f>
        <v/>
      </c>
      <c r="J9" s="70">
        <f>IF('Final Calculation Sheet'!$D$11="","",'Final Calculation Sheet'!$D$11)</f>
        <v/>
      </c>
      <c r="K9" s="1208">
        <f>IF('Final Calculation Sheet'!$D$12="","",'Final Calculation Sheet'!$D$12)</f>
        <v/>
      </c>
      <c r="L9" s="70">
        <f>IF('Final Calculation Sheet'!$D$18="","",'Final Calculation Sheet'!$D$18)</f>
        <v/>
      </c>
      <c r="M9" s="1208">
        <f>IF('Final Calculation Sheet'!$D$19="","",'Final Calculation Sheet'!$D$19)</f>
        <v/>
      </c>
      <c r="N9" s="70">
        <f>IF('Final Calculation Sheet'!$D$22="","",'Final Calculation Sheet'!$D$22)</f>
        <v/>
      </c>
      <c r="O9" s="1208">
        <f>IF('Final Calculation Sheet'!$D$24="","",'Final Calculation Sheet'!$D$24)</f>
        <v/>
      </c>
      <c r="P9" s="70">
        <f>IF('Final Calculation Sheet'!$D$26="","",'Final Calculation Sheet'!$D$26)</f>
        <v/>
      </c>
      <c r="Q9" s="1208">
        <f>IF('Final Calculation Sheet'!$D$30="","",'Final Calculation Sheet'!$D$30)</f>
        <v/>
      </c>
      <c r="R9" s="70">
        <f>IF('Final Calculation Sheet'!$D$32="","",'Final Calculation Sheet'!$D$32)</f>
        <v/>
      </c>
      <c r="S9" s="1208">
        <f>IF('Final Calculation Sheet'!$D$33="","",'Final Calculation Sheet'!$D$33)</f>
        <v/>
      </c>
      <c r="T9" s="70">
        <f>IF('Final Calculation Sheet'!$D$37="","",'Final Calculation Sheet'!$D$37)</f>
        <v/>
      </c>
      <c r="U9" s="1208">
        <f>IF('Final Calculation Sheet'!$D$21="","",'Final Calculation Sheet'!$D$21)</f>
        <v/>
      </c>
      <c r="V9" s="70">
        <f>IF('Final Calculation Sheet'!$D$8="","",'Final Calculation Sheet'!$D$8)</f>
        <v/>
      </c>
      <c r="W9" s="1208">
        <f>IF('Final Calculation Sheet'!$D$20="","",'Final Calculation Sheet'!$D$20)</f>
        <v/>
      </c>
      <c r="X9" s="70">
        <f>IF('Final Calculation Sheet'!$D$39="","",'Final Calculation Sheet'!$D$39)</f>
        <v/>
      </c>
      <c r="Y9" s="1208">
        <f>IF('Final Calculation Sheet'!$D$40="","",'Final Calculation Sheet'!$D$40)</f>
        <v/>
      </c>
      <c r="Z9" s="70">
        <f>IF('Final Calculation Sheet'!$D$31="","",'Final Calculation Sheet'!$D$31)</f>
        <v/>
      </c>
      <c r="AA9" s="1208">
        <f>IF('Final Calculation Sheet'!$D$9="","",'Final Calculation Sheet'!$D$9)</f>
        <v/>
      </c>
      <c r="AB9" s="70">
        <f>IF('Final Calculation Sheet'!$D$14="","",'Final Calculation Sheet'!$D$14)</f>
        <v/>
      </c>
      <c r="AC9" s="1208">
        <f>IF('Final Calculation Sheet'!$D$13="","",'Final Calculation Sheet'!$D$13)</f>
        <v/>
      </c>
      <c r="AD9" s="70">
        <f>IF('Final Calculation Sheet'!$D$16="","",'Final Calculation Sheet'!$D$16)</f>
        <v/>
      </c>
      <c r="AE9" s="1208">
        <f>IF('Final Calculation Sheet'!$D$17="","",'Final Calculation Sheet'!$D$17)</f>
        <v/>
      </c>
      <c r="AF9" s="70">
        <f>IF('Final Calculation Sheet'!$D$23="","",'Final Calculation Sheet'!$D$23)</f>
        <v/>
      </c>
      <c r="AG9" s="1208">
        <f>IF('Final Calculation Sheet'!$D$29="","",'Final Calculation Sheet'!$D$29)</f>
        <v/>
      </c>
      <c r="AH9" s="70">
        <f>IF('Final Calculation Sheet'!$D$34="","",'Final Calculation Sheet'!$D$34)</f>
        <v/>
      </c>
      <c r="AI9" s="1208">
        <f>IF('Final Calculation Sheet'!$D$36="","",'Final Calculation Sheet'!$D$36)</f>
        <v/>
      </c>
      <c r="AJ9" s="70">
        <f>IF('Final Calculation Sheet'!$D$25="","",'Final Calculation Sheet'!$D$25)</f>
        <v/>
      </c>
      <c r="AK9" s="1208">
        <f>IF('Final Calculation Sheet'!$D$28="","",'Final Calculation Sheet'!$D$28)</f>
        <v/>
      </c>
      <c r="AL9" s="70">
        <f>IF('Final Calculation Sheet'!$D$35="","",'Final Calculation Sheet'!$D$35)</f>
        <v/>
      </c>
      <c r="AM9" s="948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1210">
        <f>IF('Final Calculation Sheet'!$A$6="","",'Final Calculation Sheet'!$A$6)</f>
        <v/>
      </c>
      <c r="D10" s="74">
        <f>IF('Final Calculation Sheet'!$A$7="","",'Final Calculation Sheet'!$A$7)</f>
        <v/>
      </c>
      <c r="E10" s="1210">
        <f>IF('Final Calculation Sheet'!$A$15="","",'Final Calculation Sheet'!$A$15)</f>
        <v/>
      </c>
      <c r="F10" s="74">
        <f>IF('Final Calculation Sheet'!$A$38="","",'Final Calculation Sheet'!$A$38)</f>
        <v/>
      </c>
      <c r="G10" s="1210">
        <f>IF('Final Calculation Sheet'!$A$27="","",'Final Calculation Sheet'!$A$27)</f>
        <v/>
      </c>
      <c r="H10" s="74">
        <f>IF('Final Calculation Sheet'!$A$5="","",'Final Calculation Sheet'!$A$5)</f>
        <v/>
      </c>
      <c r="I10" s="1210">
        <f>IF('Final Calculation Sheet'!$A$10="","",'Final Calculation Sheet'!$A$10)</f>
        <v/>
      </c>
      <c r="J10" s="74">
        <f>IF('Final Calculation Sheet'!$A$11="","",'Final Calculation Sheet'!$A$11)</f>
        <v/>
      </c>
      <c r="K10" s="1210">
        <f>IF('Final Calculation Sheet'!$A$12="","",'Final Calculation Sheet'!$A$12)</f>
        <v/>
      </c>
      <c r="L10" s="74">
        <f>IF('Final Calculation Sheet'!$A$18="","",'Final Calculation Sheet'!$A$18)</f>
        <v/>
      </c>
      <c r="M10" s="1210">
        <f>IF('Final Calculation Sheet'!$A$19="","",'Final Calculation Sheet'!$A$19)</f>
        <v/>
      </c>
      <c r="N10" s="74">
        <f>IF('Final Calculation Sheet'!$A$22="","",'Final Calculation Sheet'!$A$22)</f>
        <v/>
      </c>
      <c r="O10" s="1210">
        <f>IF('Final Calculation Sheet'!$A$24="","",'Final Calculation Sheet'!$A$24)</f>
        <v/>
      </c>
      <c r="P10" s="74">
        <f>IF('Final Calculation Sheet'!$A$26="","",'Final Calculation Sheet'!$A$26)</f>
        <v/>
      </c>
      <c r="Q10" s="1210">
        <f>IF('Final Calculation Sheet'!$A$30="","",'Final Calculation Sheet'!$A$30)</f>
        <v/>
      </c>
      <c r="R10" s="74">
        <f>IF('Final Calculation Sheet'!$A$32="","",'Final Calculation Sheet'!$A$32)</f>
        <v/>
      </c>
      <c r="S10" s="1210">
        <f>IF('Final Calculation Sheet'!$A$33="","",'Final Calculation Sheet'!$A$33)</f>
        <v/>
      </c>
      <c r="T10" s="74">
        <f>IF('Final Calculation Sheet'!$A$37="","",'Final Calculation Sheet'!$A$37)</f>
        <v/>
      </c>
      <c r="U10" s="1210">
        <f>IF('Final Calculation Sheet'!$A$21="","",'Final Calculation Sheet'!$A$21)</f>
        <v/>
      </c>
      <c r="V10" s="74">
        <f>IF('Final Calculation Sheet'!$A$8="","",'Final Calculation Sheet'!$A$8)</f>
        <v/>
      </c>
      <c r="W10" s="1210">
        <f>IF('Final Calculation Sheet'!$A$20="","",'Final Calculation Sheet'!$A$20)</f>
        <v/>
      </c>
      <c r="X10" s="74">
        <f>IF('Final Calculation Sheet'!$A$39="","",'Final Calculation Sheet'!$A$39)</f>
        <v/>
      </c>
      <c r="Y10" s="1210">
        <f>IF('Final Calculation Sheet'!$A$40="","",'Final Calculation Sheet'!$A$40)</f>
        <v/>
      </c>
      <c r="Z10" s="74">
        <f>IF('Final Calculation Sheet'!$A$31="","",'Final Calculation Sheet'!$A$31)</f>
        <v/>
      </c>
      <c r="AA10" s="1210">
        <f>IF('Final Calculation Sheet'!$A$9="","",'Final Calculation Sheet'!$A$9)</f>
        <v/>
      </c>
      <c r="AB10" s="74">
        <f>IF('Final Calculation Sheet'!$A$14="","",'Final Calculation Sheet'!$A$14)</f>
        <v/>
      </c>
      <c r="AC10" s="1210">
        <f>IF('Final Calculation Sheet'!$A$13="","",'Final Calculation Sheet'!$A$13)</f>
        <v/>
      </c>
      <c r="AD10" s="74">
        <f>IF('Final Calculation Sheet'!$A$16="","",'Final Calculation Sheet'!$A$16)</f>
        <v/>
      </c>
      <c r="AE10" s="1210">
        <f>IF('Final Calculation Sheet'!$A$17="","",'Final Calculation Sheet'!$A$17)</f>
        <v/>
      </c>
      <c r="AF10" s="74">
        <f>IF('Final Calculation Sheet'!$A$23="","",'Final Calculation Sheet'!$A$23)</f>
        <v/>
      </c>
      <c r="AG10" s="1210">
        <f>IF('Final Calculation Sheet'!$A$29="","",'Final Calculation Sheet'!$A$29)</f>
        <v/>
      </c>
      <c r="AH10" s="74">
        <f>IF('Final Calculation Sheet'!$A$34="","",'Final Calculation Sheet'!$A$34)</f>
        <v/>
      </c>
      <c r="AI10" s="1210">
        <f>IF('Final Calculation Sheet'!$A$36="","",'Final Calculation Sheet'!$A$36)</f>
        <v/>
      </c>
      <c r="AJ10" s="74">
        <f>IF('Final Calculation Sheet'!$A$25="","",'Final Calculation Sheet'!$A$25)</f>
        <v/>
      </c>
      <c r="AK10" s="1210">
        <f>IF('Final Calculation Sheet'!$A$28="","",'Final Calculation Sheet'!$A$28)</f>
        <v/>
      </c>
      <c r="AL10" s="74">
        <f>IF('Final Calculation Sheet'!$A$35="","",'Final Calculation Sheet'!$A$35)</f>
        <v/>
      </c>
      <c r="AM10" s="797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1211">
        <f>IF('Final Calculation Sheet'!$E$6="","",'Final Calculation Sheet'!$E$6)</f>
        <v/>
      </c>
      <c r="D11" s="76">
        <f>IF('Final Calculation Sheet'!$E$7="","",'Final Calculation Sheet'!$E$7)</f>
        <v/>
      </c>
      <c r="E11" s="1211">
        <f>IF('Final Calculation Sheet'!$E$15="","",'Final Calculation Sheet'!$E$15)</f>
        <v/>
      </c>
      <c r="F11" s="76">
        <f>IF('Final Calculation Sheet'!$E$38="","",'Final Calculation Sheet'!$E$38)</f>
        <v/>
      </c>
      <c r="G11" s="1211">
        <f>IF('Final Calculation Sheet'!$E$27="","",'Final Calculation Sheet'!$E$27)</f>
        <v/>
      </c>
      <c r="H11" s="76">
        <f>IF('Final Calculation Sheet'!$E$5="","",'Final Calculation Sheet'!$E$5)</f>
        <v/>
      </c>
      <c r="I11" s="1211">
        <f>IF('Final Calculation Sheet'!$E$10="","",'Final Calculation Sheet'!$E$10)</f>
        <v/>
      </c>
      <c r="J11" s="76">
        <f>IF('Final Calculation Sheet'!$E$11="","",'Final Calculation Sheet'!$E$11)</f>
        <v/>
      </c>
      <c r="K11" s="1211">
        <f>IF('Final Calculation Sheet'!$E$12="","",'Final Calculation Sheet'!$E$12)</f>
        <v/>
      </c>
      <c r="L11" s="76">
        <f>IF('Final Calculation Sheet'!$E$18="","",'Final Calculation Sheet'!$E$18)</f>
        <v/>
      </c>
      <c r="M11" s="1211">
        <f>IF('Final Calculation Sheet'!$E$19="","",'Final Calculation Sheet'!$E$19)</f>
        <v/>
      </c>
      <c r="N11" s="76">
        <f>IF('Final Calculation Sheet'!$E$22="","",'Final Calculation Sheet'!$E$22)</f>
        <v/>
      </c>
      <c r="O11" s="1211">
        <f>IF('Final Calculation Sheet'!$E$24="","",'Final Calculation Sheet'!$E$24)</f>
        <v/>
      </c>
      <c r="P11" s="76">
        <f>IF('Final Calculation Sheet'!$E$26="","",'Final Calculation Sheet'!$E$26)</f>
        <v/>
      </c>
      <c r="Q11" s="1211">
        <f>IF('Final Calculation Sheet'!$E$30="","",'Final Calculation Sheet'!$E$30)</f>
        <v/>
      </c>
      <c r="R11" s="76">
        <f>IF('Final Calculation Sheet'!$E$32="","",'Final Calculation Sheet'!$E$32)</f>
        <v/>
      </c>
      <c r="S11" s="1211">
        <f>IF('Final Calculation Sheet'!$E$33="","",'Final Calculation Sheet'!$E$33)</f>
        <v/>
      </c>
      <c r="T11" s="76">
        <f>IF('Final Calculation Sheet'!$E$37="","",'Final Calculation Sheet'!$E$37)</f>
        <v/>
      </c>
      <c r="U11" s="1211">
        <f>IF('Final Calculation Sheet'!$E$21="","",'Final Calculation Sheet'!$E$21)</f>
        <v/>
      </c>
      <c r="V11" s="76">
        <f>IF('Final Calculation Sheet'!$E$8="","",'Final Calculation Sheet'!$E$8)</f>
        <v/>
      </c>
      <c r="W11" s="1211">
        <f>IF('Final Calculation Sheet'!$E$20="","",'Final Calculation Sheet'!$E$20)</f>
        <v/>
      </c>
      <c r="X11" s="76">
        <f>IF('Final Calculation Sheet'!$E$39="","",'Final Calculation Sheet'!$E$39)</f>
        <v/>
      </c>
      <c r="Y11" s="1211">
        <f>IF('Final Calculation Sheet'!$E$40="","",'Final Calculation Sheet'!$E$40)</f>
        <v/>
      </c>
      <c r="Z11" s="76">
        <f>IF('Final Calculation Sheet'!$E$31="","",'Final Calculation Sheet'!$E$31)</f>
        <v/>
      </c>
      <c r="AA11" s="1211">
        <f>IF('Final Calculation Sheet'!$E$9="","",'Final Calculation Sheet'!$E$9)</f>
        <v/>
      </c>
      <c r="AB11" s="76">
        <f>IF('Final Calculation Sheet'!$E$14="","",'Final Calculation Sheet'!$E$14)</f>
        <v/>
      </c>
      <c r="AC11" s="1211">
        <f>IF('Final Calculation Sheet'!$E$13="","",'Final Calculation Sheet'!$E$13)</f>
        <v/>
      </c>
      <c r="AD11" s="76">
        <f>IF('Final Calculation Sheet'!$E$16="","",'Final Calculation Sheet'!$E$16)</f>
        <v/>
      </c>
      <c r="AE11" s="1211">
        <f>IF('Final Calculation Sheet'!$E$17="","",'Final Calculation Sheet'!$E$17)</f>
        <v/>
      </c>
      <c r="AF11" s="76">
        <f>IF('Final Calculation Sheet'!$E$23="","",'Final Calculation Sheet'!$E$23)</f>
        <v/>
      </c>
      <c r="AG11" s="1211">
        <f>IF('Final Calculation Sheet'!$E$29="","",'Final Calculation Sheet'!$E$29)</f>
        <v/>
      </c>
      <c r="AH11" s="76">
        <f>IF('Final Calculation Sheet'!$E$34="","",'Final Calculation Sheet'!$E$34)</f>
        <v/>
      </c>
      <c r="AI11" s="1211">
        <f>IF('Final Calculation Sheet'!$E$36="","",'Final Calculation Sheet'!$E$36)</f>
        <v/>
      </c>
      <c r="AJ11" s="76">
        <f>IF('Final Calculation Sheet'!$E$25="","",'Final Calculation Sheet'!$E$25)</f>
        <v/>
      </c>
      <c r="AK11" s="1211">
        <f>IF('Final Calculation Sheet'!$E$28="","",'Final Calculation Sheet'!$E$28)</f>
        <v/>
      </c>
      <c r="AL11" s="76">
        <f>IF('Final Calculation Sheet'!$E$35="","",'Final Calculation Sheet'!$E$35)</f>
        <v/>
      </c>
      <c r="AM11" s="948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1208">
        <f>IF('Final Calculation Sheet'!$C$6="","",'Final Calculation Sheet'!$C$6)</f>
        <v/>
      </c>
      <c r="D12" s="70">
        <f>IF('Final Calculation Sheet'!$C$7="","",'Final Calculation Sheet'!$C$7)</f>
        <v/>
      </c>
      <c r="E12" s="1208">
        <f>IF('Final Calculation Sheet'!$C$15="","",'Final Calculation Sheet'!$C$15)</f>
        <v/>
      </c>
      <c r="F12" s="70">
        <f>IF('Final Calculation Sheet'!$C$38="","",'Final Calculation Sheet'!$C$38)</f>
        <v/>
      </c>
      <c r="G12" s="1208">
        <f>IF('Final Calculation Sheet'!$C$27="","",'Final Calculation Sheet'!$C$27)</f>
        <v/>
      </c>
      <c r="H12" s="70">
        <f>IF('Final Calculation Sheet'!$C$5="","",'Final Calculation Sheet'!$C$5)</f>
        <v/>
      </c>
      <c r="I12" s="1208">
        <f>IF('Final Calculation Sheet'!$C$10="","",'Final Calculation Sheet'!$C$10)</f>
        <v/>
      </c>
      <c r="J12" s="70">
        <f>IF('Final Calculation Sheet'!$C$11="","",'Final Calculation Sheet'!$C$11)</f>
        <v/>
      </c>
      <c r="K12" s="1208">
        <f>IF('Final Calculation Sheet'!$C$12="","",'Final Calculation Sheet'!$C$12)</f>
        <v/>
      </c>
      <c r="L12" s="70">
        <f>IF('Final Calculation Sheet'!$C$18="","",'Final Calculation Sheet'!$C$18)</f>
        <v/>
      </c>
      <c r="M12" s="1208">
        <f>IF('Final Calculation Sheet'!$C$19="","",'Final Calculation Sheet'!$C$19)</f>
        <v/>
      </c>
      <c r="N12" s="70">
        <f>IF('Final Calculation Sheet'!$C$22="","",'Final Calculation Sheet'!$C$22)</f>
        <v/>
      </c>
      <c r="O12" s="1208">
        <f>IF('Final Calculation Sheet'!$C$24="","",'Final Calculation Sheet'!$C$24)</f>
        <v/>
      </c>
      <c r="P12" s="70">
        <f>IF('Final Calculation Sheet'!$C$26="","",'Final Calculation Sheet'!$C$26)</f>
        <v/>
      </c>
      <c r="Q12" s="1208">
        <f>IF('Final Calculation Sheet'!$C$30="","",'Final Calculation Sheet'!$C$30)</f>
        <v/>
      </c>
      <c r="R12" s="70">
        <f>IF('Final Calculation Sheet'!$C$32="","",'Final Calculation Sheet'!$C$32)</f>
        <v/>
      </c>
      <c r="S12" s="1208">
        <f>IF('Final Calculation Sheet'!$C$33="","",'Final Calculation Sheet'!$C$33)</f>
        <v/>
      </c>
      <c r="T12" s="70">
        <f>IF('Final Calculation Sheet'!$C$37="","",'Final Calculation Sheet'!$C$37)</f>
        <v/>
      </c>
      <c r="U12" s="1208">
        <f>IF('Final Calculation Sheet'!$C$21="","",'Final Calculation Sheet'!$C$21)</f>
        <v/>
      </c>
      <c r="V12" s="70">
        <f>IF('Final Calculation Sheet'!$C$8="","",'Final Calculation Sheet'!$C$8)</f>
        <v/>
      </c>
      <c r="W12" s="1208">
        <f>IF('Final Calculation Sheet'!$C$20="","",'Final Calculation Sheet'!$C$20)</f>
        <v/>
      </c>
      <c r="X12" s="70">
        <f>IF('Final Calculation Sheet'!$C$39="","",'Final Calculation Sheet'!$C$39)</f>
        <v/>
      </c>
      <c r="Y12" s="1208">
        <f>IF('Final Calculation Sheet'!$C$40="","",'Final Calculation Sheet'!$C$40)</f>
        <v/>
      </c>
      <c r="Z12" s="70">
        <f>IF('Final Calculation Sheet'!$C$31="","",'Final Calculation Sheet'!$C$31)</f>
        <v/>
      </c>
      <c r="AA12" s="1208">
        <f>IF('Final Calculation Sheet'!$C$9="","",'Final Calculation Sheet'!$C$9)</f>
        <v/>
      </c>
      <c r="AB12" s="70">
        <f>IF('Final Calculation Sheet'!$C$14="","",'Final Calculation Sheet'!$C$14)</f>
        <v/>
      </c>
      <c r="AC12" s="1208">
        <f>IF('Final Calculation Sheet'!$C$13="","",'Final Calculation Sheet'!$C$13)</f>
        <v/>
      </c>
      <c r="AD12" s="70">
        <f>IF('Final Calculation Sheet'!$C$16="","",'Final Calculation Sheet'!$C$16)</f>
        <v/>
      </c>
      <c r="AE12" s="1208">
        <f>IF('Final Calculation Sheet'!$C$17="","",'Final Calculation Sheet'!$C$17)</f>
        <v/>
      </c>
      <c r="AF12" s="70">
        <f>IF('Final Calculation Sheet'!$C$23="","",'Final Calculation Sheet'!$C$23)</f>
        <v/>
      </c>
      <c r="AG12" s="1208">
        <f>IF('Final Calculation Sheet'!$C$29="","",'Final Calculation Sheet'!$C$29)</f>
        <v/>
      </c>
      <c r="AH12" s="70">
        <f>IF('Final Calculation Sheet'!$C$34="","",'Final Calculation Sheet'!$C$34)</f>
        <v/>
      </c>
      <c r="AI12" s="1208">
        <f>IF('Final Calculation Sheet'!$C$36="","",'Final Calculation Sheet'!$C$36)</f>
        <v/>
      </c>
      <c r="AJ12" s="70">
        <f>IF('Final Calculation Sheet'!$C$25="","",'Final Calculation Sheet'!$C$25)</f>
        <v/>
      </c>
      <c r="AK12" s="1208">
        <f>IF('Final Calculation Sheet'!$C$28="","",'Final Calculation Sheet'!$C$28)</f>
        <v/>
      </c>
      <c r="AL12" s="70">
        <f>IF('Final Calculation Sheet'!$C$35="","",'Final Calculation Sheet'!$C$35)</f>
        <v/>
      </c>
      <c r="AM12" s="948" t="inlineStr">
        <is>
          <t>–</t>
        </is>
      </c>
    </row>
    <row r="13" ht="17" customHeight="1">
      <c r="A13" s="788" t="inlineStr">
        <is>
          <t xml:space="preserve">  ▸ FINANCIALS</t>
        </is>
      </c>
      <c r="B13" s="693" t="n"/>
      <c r="C13" s="693" t="n"/>
      <c r="D13" s="693" t="n"/>
      <c r="E13" s="693" t="n"/>
      <c r="F13" s="693" t="n"/>
      <c r="G13" s="693" t="n"/>
      <c r="H13" s="693" t="n"/>
      <c r="I13" s="693" t="n"/>
      <c r="J13" s="693" t="n"/>
      <c r="K13" s="693" t="n"/>
      <c r="L13" s="693" t="n"/>
      <c r="M13" s="693" t="n"/>
      <c r="N13" s="693" t="n"/>
      <c r="O13" s="693" t="n"/>
      <c r="P13" s="693" t="n"/>
      <c r="Q13" s="693" t="n"/>
      <c r="R13" s="693" t="n"/>
      <c r="S13" s="693" t="n"/>
      <c r="T13" s="693" t="n"/>
      <c r="U13" s="693" t="n"/>
      <c r="V13" s="693" t="n"/>
      <c r="W13" s="693" t="n"/>
      <c r="X13" s="693" t="n"/>
      <c r="Y13" s="693" t="n"/>
      <c r="Z13" s="693" t="n"/>
      <c r="AA13" s="693" t="n"/>
      <c r="AB13" s="693" t="n"/>
      <c r="AC13" s="693" t="n"/>
      <c r="AD13" s="693" t="n"/>
      <c r="AE13" s="693" t="n"/>
      <c r="AF13" s="693" t="n"/>
      <c r="AG13" s="693" t="n"/>
      <c r="AH13" s="693" t="n"/>
      <c r="AI13" s="693" t="n"/>
      <c r="AJ13" s="693" t="n"/>
      <c r="AK13" s="693" t="n"/>
      <c r="AL13" s="693" t="n"/>
      <c r="AM13" s="693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1208">
        <f>IF('Final Calculation Sheet'!$H$6="","",'Final Calculation Sheet'!$H$6)</f>
        <v/>
      </c>
      <c r="D14" s="70">
        <f>IF('Final Calculation Sheet'!$H$7="","",'Final Calculation Sheet'!$H$7)</f>
        <v/>
      </c>
      <c r="E14" s="1208">
        <f>IF('Final Calculation Sheet'!$H$15="","",'Final Calculation Sheet'!$H$15)</f>
        <v/>
      </c>
      <c r="F14" s="70">
        <f>IF('Final Calculation Sheet'!$H$38="","",'Final Calculation Sheet'!$H$38)</f>
        <v/>
      </c>
      <c r="G14" s="1208">
        <f>IF('Final Calculation Sheet'!$H$27="","",'Final Calculation Sheet'!$H$27)</f>
        <v/>
      </c>
      <c r="H14" s="70">
        <f>IF('Final Calculation Sheet'!$H$5="","",'Final Calculation Sheet'!$H$5)</f>
        <v/>
      </c>
      <c r="I14" s="1208">
        <f>IF('Final Calculation Sheet'!$H$10="","",'Final Calculation Sheet'!$H$10)</f>
        <v/>
      </c>
      <c r="J14" s="70">
        <f>IF('Final Calculation Sheet'!$H$11="","",'Final Calculation Sheet'!$H$11)</f>
        <v/>
      </c>
      <c r="K14" s="1208">
        <f>IF('Final Calculation Sheet'!$H$12="","",'Final Calculation Sheet'!$H$12)</f>
        <v/>
      </c>
      <c r="L14" s="70">
        <f>IF('Final Calculation Sheet'!$H$18="","",'Final Calculation Sheet'!$H$18)</f>
        <v/>
      </c>
      <c r="M14" s="1208">
        <f>IF('Final Calculation Sheet'!$H$19="","",'Final Calculation Sheet'!$H$19)</f>
        <v/>
      </c>
      <c r="N14" s="70">
        <f>IF('Final Calculation Sheet'!$H$22="","",'Final Calculation Sheet'!$H$22)</f>
        <v/>
      </c>
      <c r="O14" s="1208">
        <f>IF('Final Calculation Sheet'!$H$24="","",'Final Calculation Sheet'!$H$24)</f>
        <v/>
      </c>
      <c r="P14" s="70">
        <f>IF('Final Calculation Sheet'!$H$26="","",'Final Calculation Sheet'!$H$26)</f>
        <v/>
      </c>
      <c r="Q14" s="1208">
        <f>IF('Final Calculation Sheet'!$H$30="","",'Final Calculation Sheet'!$H$30)</f>
        <v/>
      </c>
      <c r="R14" s="70">
        <f>IF('Final Calculation Sheet'!$H$32="","",'Final Calculation Sheet'!$H$32)</f>
        <v/>
      </c>
      <c r="S14" s="1208">
        <f>IF('Final Calculation Sheet'!$H$33="","",'Final Calculation Sheet'!$H$33)</f>
        <v/>
      </c>
      <c r="T14" s="70">
        <f>IF('Final Calculation Sheet'!$H$37="","",'Final Calculation Sheet'!$H$37)</f>
        <v/>
      </c>
      <c r="U14" s="1208">
        <f>IF('Final Calculation Sheet'!$H$21="","",'Final Calculation Sheet'!$H$21)</f>
        <v/>
      </c>
      <c r="V14" s="70">
        <f>IF('Final Calculation Sheet'!$H$8="","",'Final Calculation Sheet'!$H$8)</f>
        <v/>
      </c>
      <c r="W14" s="1208">
        <f>IF('Final Calculation Sheet'!$H$20="","",'Final Calculation Sheet'!$H$20)</f>
        <v/>
      </c>
      <c r="X14" s="70">
        <f>IF('Final Calculation Sheet'!$H$39="","",'Final Calculation Sheet'!$H$39)</f>
        <v/>
      </c>
      <c r="Y14" s="1208">
        <f>IF('Final Calculation Sheet'!$H$40="","",'Final Calculation Sheet'!$H$40)</f>
        <v/>
      </c>
      <c r="Z14" s="70">
        <f>IF('Final Calculation Sheet'!$H$31="","",'Final Calculation Sheet'!$H$31)</f>
        <v/>
      </c>
      <c r="AA14" s="1208">
        <f>IF('Final Calculation Sheet'!$H$9="","",'Final Calculation Sheet'!$H$9)</f>
        <v/>
      </c>
      <c r="AB14" s="70">
        <f>IF('Final Calculation Sheet'!$H$14="","",'Final Calculation Sheet'!$H$14)</f>
        <v/>
      </c>
      <c r="AC14" s="1208">
        <f>IF('Final Calculation Sheet'!$H$13="","",'Final Calculation Sheet'!$H$13)</f>
        <v/>
      </c>
      <c r="AD14" s="70">
        <f>IF('Final Calculation Sheet'!$H$16="","",'Final Calculation Sheet'!$H$16)</f>
        <v/>
      </c>
      <c r="AE14" s="1208">
        <f>IF('Final Calculation Sheet'!$H$17="","",'Final Calculation Sheet'!$H$17)</f>
        <v/>
      </c>
      <c r="AF14" s="70">
        <f>IF('Final Calculation Sheet'!$H$23="","",'Final Calculation Sheet'!$H$23)</f>
        <v/>
      </c>
      <c r="AG14" s="1208">
        <f>IF('Final Calculation Sheet'!$H$29="","",'Final Calculation Sheet'!$H$29)</f>
        <v/>
      </c>
      <c r="AH14" s="70">
        <f>IF('Final Calculation Sheet'!$H$34="","",'Final Calculation Sheet'!$H$34)</f>
        <v/>
      </c>
      <c r="AI14" s="1208">
        <f>IF('Final Calculation Sheet'!$H$36="","",'Final Calculation Sheet'!$H$36)</f>
        <v/>
      </c>
      <c r="AJ14" s="70">
        <f>IF('Final Calculation Sheet'!$H$25="","",'Final Calculation Sheet'!$H$25)</f>
        <v/>
      </c>
      <c r="AK14" s="1208">
        <f>IF('Final Calculation Sheet'!$H$28="","",'Final Calculation Sheet'!$H$28)</f>
        <v/>
      </c>
      <c r="AL14" s="70">
        <f>IF('Final Calculation Sheet'!$H$35="","",'Final Calculation Sheet'!$H$35)</f>
        <v/>
      </c>
      <c r="AM14" s="682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1208">
        <f>IF('Final Calculation Sheet'!$I$6="","",'Final Calculation Sheet'!$I$6)</f>
        <v/>
      </c>
      <c r="D15" s="70">
        <f>IF('Final Calculation Sheet'!$I$7="","",'Final Calculation Sheet'!$I$7)</f>
        <v/>
      </c>
      <c r="E15" s="1208">
        <f>IF('Final Calculation Sheet'!$I$15="","",'Final Calculation Sheet'!$I$15)</f>
        <v/>
      </c>
      <c r="F15" s="70">
        <f>IF('Final Calculation Sheet'!$I$38="","",'Final Calculation Sheet'!$I$38)</f>
        <v/>
      </c>
      <c r="G15" s="1208">
        <f>IF('Final Calculation Sheet'!$I$27="","",'Final Calculation Sheet'!$I$27)</f>
        <v/>
      </c>
      <c r="H15" s="70">
        <f>IF('Final Calculation Sheet'!$I$5="","",'Final Calculation Sheet'!$I$5)</f>
        <v/>
      </c>
      <c r="I15" s="1208">
        <f>IF('Final Calculation Sheet'!$I$10="","",'Final Calculation Sheet'!$I$10)</f>
        <v/>
      </c>
      <c r="J15" s="70">
        <f>IF('Final Calculation Sheet'!$I$11="","",'Final Calculation Sheet'!$I$11)</f>
        <v/>
      </c>
      <c r="K15" s="1208">
        <f>IF('Final Calculation Sheet'!$I$12="","",'Final Calculation Sheet'!$I$12)</f>
        <v/>
      </c>
      <c r="L15" s="70">
        <f>IF('Final Calculation Sheet'!$I$18="","",'Final Calculation Sheet'!$I$18)</f>
        <v/>
      </c>
      <c r="M15" s="1208">
        <f>IF('Final Calculation Sheet'!$I$19="","",'Final Calculation Sheet'!$I$19)</f>
        <v/>
      </c>
      <c r="N15" s="70">
        <f>IF('Final Calculation Sheet'!$I$22="","",'Final Calculation Sheet'!$I$22)</f>
        <v/>
      </c>
      <c r="O15" s="1208">
        <f>IF('Final Calculation Sheet'!$I$24="","",'Final Calculation Sheet'!$I$24)</f>
        <v/>
      </c>
      <c r="P15" s="70">
        <f>IF('Final Calculation Sheet'!$I$26="","",'Final Calculation Sheet'!$I$26)</f>
        <v/>
      </c>
      <c r="Q15" s="1208">
        <f>IF('Final Calculation Sheet'!$I$30="","",'Final Calculation Sheet'!$I$30)</f>
        <v/>
      </c>
      <c r="R15" s="70">
        <f>IF('Final Calculation Sheet'!$I$32="","",'Final Calculation Sheet'!$I$32)</f>
        <v/>
      </c>
      <c r="S15" s="1208">
        <f>IF('Final Calculation Sheet'!$I$33="","",'Final Calculation Sheet'!$I$33)</f>
        <v/>
      </c>
      <c r="T15" s="70">
        <f>IF('Final Calculation Sheet'!$I$37="","",'Final Calculation Sheet'!$I$37)</f>
        <v/>
      </c>
      <c r="U15" s="1208">
        <f>IF('Final Calculation Sheet'!$I$21="","",'Final Calculation Sheet'!$I$21)</f>
        <v/>
      </c>
      <c r="V15" s="70">
        <f>IF('Final Calculation Sheet'!$I$8="","",'Final Calculation Sheet'!$I$8)</f>
        <v/>
      </c>
      <c r="W15" s="1208">
        <f>IF('Final Calculation Sheet'!$I$20="","",'Final Calculation Sheet'!$I$20)</f>
        <v/>
      </c>
      <c r="X15" s="70">
        <f>IF('Final Calculation Sheet'!$I$39="","",'Final Calculation Sheet'!$I$39)</f>
        <v/>
      </c>
      <c r="Y15" s="1208">
        <f>IF('Final Calculation Sheet'!$I$40="","",'Final Calculation Sheet'!$I$40)</f>
        <v/>
      </c>
      <c r="Z15" s="70">
        <f>IF('Final Calculation Sheet'!$I$31="","",'Final Calculation Sheet'!$I$31)</f>
        <v/>
      </c>
      <c r="AA15" s="1208">
        <f>IF('Final Calculation Sheet'!$I$9="","",'Final Calculation Sheet'!$I$9)</f>
        <v/>
      </c>
      <c r="AB15" s="70">
        <f>IF('Final Calculation Sheet'!$I$14="","",'Final Calculation Sheet'!$I$14)</f>
        <v/>
      </c>
      <c r="AC15" s="1208">
        <f>IF('Final Calculation Sheet'!$I$13="","",'Final Calculation Sheet'!$I$13)</f>
        <v/>
      </c>
      <c r="AD15" s="70">
        <f>IF('Final Calculation Sheet'!$I$16="","",'Final Calculation Sheet'!$I$16)</f>
        <v/>
      </c>
      <c r="AE15" s="1208">
        <f>IF('Final Calculation Sheet'!$I$17="","",'Final Calculation Sheet'!$I$17)</f>
        <v/>
      </c>
      <c r="AF15" s="70">
        <f>IF('Final Calculation Sheet'!$I$23="","",'Final Calculation Sheet'!$I$23)</f>
        <v/>
      </c>
      <c r="AG15" s="1208">
        <f>IF('Final Calculation Sheet'!$I$29="","",'Final Calculation Sheet'!$I$29)</f>
        <v/>
      </c>
      <c r="AH15" s="70">
        <f>IF('Final Calculation Sheet'!$I$34="","",'Final Calculation Sheet'!$I$34)</f>
        <v/>
      </c>
      <c r="AI15" s="1208">
        <f>IF('Final Calculation Sheet'!$I$36="","",'Final Calculation Sheet'!$I$36)</f>
        <v/>
      </c>
      <c r="AJ15" s="70">
        <f>IF('Final Calculation Sheet'!$I$25="","",'Final Calculation Sheet'!$I$25)</f>
        <v/>
      </c>
      <c r="AK15" s="1208">
        <f>IF('Final Calculation Sheet'!$I$28="","",'Final Calculation Sheet'!$I$28)</f>
        <v/>
      </c>
      <c r="AL15" s="70">
        <f>IF('Final Calculation Sheet'!$I$35="","",'Final Calculation Sheet'!$I$35)</f>
        <v/>
      </c>
      <c r="AM15" s="682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1208">
        <f>IF('Final Calculation Sheet'!$J$6="","",'Final Calculation Sheet'!$J$6)</f>
        <v/>
      </c>
      <c r="D16" s="70">
        <f>IF('Final Calculation Sheet'!$J$7="","",'Final Calculation Sheet'!$J$7)</f>
        <v/>
      </c>
      <c r="E16" s="1208">
        <f>IF('Final Calculation Sheet'!$J$15="","",'Final Calculation Sheet'!$J$15)</f>
        <v/>
      </c>
      <c r="F16" s="70">
        <f>IF('Final Calculation Sheet'!$J$38="","",'Final Calculation Sheet'!$J$38)</f>
        <v/>
      </c>
      <c r="G16" s="1208">
        <f>IF('Final Calculation Sheet'!$J$27="","",'Final Calculation Sheet'!$J$27)</f>
        <v/>
      </c>
      <c r="H16" s="70">
        <f>IF('Final Calculation Sheet'!$J$5="","",'Final Calculation Sheet'!$J$5)</f>
        <v/>
      </c>
      <c r="I16" s="1208">
        <f>IF('Final Calculation Sheet'!$J$10="","",'Final Calculation Sheet'!$J$10)</f>
        <v/>
      </c>
      <c r="J16" s="70">
        <f>IF('Final Calculation Sheet'!$J$11="","",'Final Calculation Sheet'!$J$11)</f>
        <v/>
      </c>
      <c r="K16" s="1208">
        <f>IF('Final Calculation Sheet'!$J$12="","",'Final Calculation Sheet'!$J$12)</f>
        <v/>
      </c>
      <c r="L16" s="70">
        <f>IF('Final Calculation Sheet'!$J$18="","",'Final Calculation Sheet'!$J$18)</f>
        <v/>
      </c>
      <c r="M16" s="1208">
        <f>IF('Final Calculation Sheet'!$J$19="","",'Final Calculation Sheet'!$J$19)</f>
        <v/>
      </c>
      <c r="N16" s="70">
        <f>IF('Final Calculation Sheet'!$J$22="","",'Final Calculation Sheet'!$J$22)</f>
        <v/>
      </c>
      <c r="O16" s="1208">
        <f>IF('Final Calculation Sheet'!$J$24="","",'Final Calculation Sheet'!$J$24)</f>
        <v/>
      </c>
      <c r="P16" s="70">
        <f>IF('Final Calculation Sheet'!$J$26="","",'Final Calculation Sheet'!$J$26)</f>
        <v/>
      </c>
      <c r="Q16" s="1208">
        <f>IF('Final Calculation Sheet'!$J$30="","",'Final Calculation Sheet'!$J$30)</f>
        <v/>
      </c>
      <c r="R16" s="70">
        <f>IF('Final Calculation Sheet'!$J$32="","",'Final Calculation Sheet'!$J$32)</f>
        <v/>
      </c>
      <c r="S16" s="1208">
        <f>IF('Final Calculation Sheet'!$J$33="","",'Final Calculation Sheet'!$J$33)</f>
        <v/>
      </c>
      <c r="T16" s="70">
        <f>IF('Final Calculation Sheet'!$J$37="","",'Final Calculation Sheet'!$J$37)</f>
        <v/>
      </c>
      <c r="U16" s="1208">
        <f>IF('Final Calculation Sheet'!$J$21="","",'Final Calculation Sheet'!$J$21)</f>
        <v/>
      </c>
      <c r="V16" s="70">
        <f>IF('Final Calculation Sheet'!$J$8="","",'Final Calculation Sheet'!$J$8)</f>
        <v/>
      </c>
      <c r="W16" s="1208">
        <f>IF('Final Calculation Sheet'!$J$20="","",'Final Calculation Sheet'!$J$20)</f>
        <v/>
      </c>
      <c r="X16" s="70">
        <f>IF('Final Calculation Sheet'!$J$39="","",'Final Calculation Sheet'!$J$39)</f>
        <v/>
      </c>
      <c r="Y16" s="1208">
        <f>IF('Final Calculation Sheet'!$J$40="","",'Final Calculation Sheet'!$J$40)</f>
        <v/>
      </c>
      <c r="Z16" s="70">
        <f>IF('Final Calculation Sheet'!$J$31="","",'Final Calculation Sheet'!$J$31)</f>
        <v/>
      </c>
      <c r="AA16" s="1208">
        <f>IF('Final Calculation Sheet'!$J$9="","",'Final Calculation Sheet'!$J$9)</f>
        <v/>
      </c>
      <c r="AB16" s="70">
        <f>IF('Final Calculation Sheet'!$J$14="","",'Final Calculation Sheet'!$J$14)</f>
        <v/>
      </c>
      <c r="AC16" s="1208">
        <f>IF('Final Calculation Sheet'!$J$13="","",'Final Calculation Sheet'!$J$13)</f>
        <v/>
      </c>
      <c r="AD16" s="70">
        <f>IF('Final Calculation Sheet'!$J$16="","",'Final Calculation Sheet'!$J$16)</f>
        <v/>
      </c>
      <c r="AE16" s="1208">
        <f>IF('Final Calculation Sheet'!$J$17="","",'Final Calculation Sheet'!$J$17)</f>
        <v/>
      </c>
      <c r="AF16" s="70">
        <f>IF('Final Calculation Sheet'!$J$23="","",'Final Calculation Sheet'!$J$23)</f>
        <v/>
      </c>
      <c r="AG16" s="1208">
        <f>IF('Final Calculation Sheet'!$J$29="","",'Final Calculation Sheet'!$J$29)</f>
        <v/>
      </c>
      <c r="AH16" s="70">
        <f>IF('Final Calculation Sheet'!$J$34="","",'Final Calculation Sheet'!$J$34)</f>
        <v/>
      </c>
      <c r="AI16" s="1208">
        <f>IF('Final Calculation Sheet'!$J$36="","",'Final Calculation Sheet'!$J$36)</f>
        <v/>
      </c>
      <c r="AJ16" s="70">
        <f>IF('Final Calculation Sheet'!$J$25="","",'Final Calculation Sheet'!$J$25)</f>
        <v/>
      </c>
      <c r="AK16" s="1208">
        <f>IF('Final Calculation Sheet'!$J$28="","",'Final Calculation Sheet'!$J$28)</f>
        <v/>
      </c>
      <c r="AL16" s="70">
        <f>IF('Final Calculation Sheet'!$J$35="","",'Final Calculation Sheet'!$J$35)</f>
        <v/>
      </c>
      <c r="AM16" s="682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1208">
        <f>IF('Final Calculation Sheet'!$K$6="","",'Final Calculation Sheet'!$K$6)</f>
        <v/>
      </c>
      <c r="D17" s="70">
        <f>IF('Final Calculation Sheet'!$K$7="","",'Final Calculation Sheet'!$K$7)</f>
        <v/>
      </c>
      <c r="E17" s="1208">
        <f>IF('Final Calculation Sheet'!$K$15="","",'Final Calculation Sheet'!$K$15)</f>
        <v/>
      </c>
      <c r="F17" s="70">
        <f>IF('Final Calculation Sheet'!$K$38="","",'Final Calculation Sheet'!$K$38)</f>
        <v/>
      </c>
      <c r="G17" s="1208">
        <f>IF('Final Calculation Sheet'!$K$27="","",'Final Calculation Sheet'!$K$27)</f>
        <v/>
      </c>
      <c r="H17" s="70">
        <f>IF('Final Calculation Sheet'!$K$5="","",'Final Calculation Sheet'!$K$5)</f>
        <v/>
      </c>
      <c r="I17" s="1208">
        <f>IF('Final Calculation Sheet'!$K$10="","",'Final Calculation Sheet'!$K$10)</f>
        <v/>
      </c>
      <c r="J17" s="70">
        <f>IF('Final Calculation Sheet'!$K$11="","",'Final Calculation Sheet'!$K$11)</f>
        <v/>
      </c>
      <c r="K17" s="1208">
        <f>IF('Final Calculation Sheet'!$K$12="","",'Final Calculation Sheet'!$K$12)</f>
        <v/>
      </c>
      <c r="L17" s="70">
        <f>IF('Final Calculation Sheet'!$K$18="","",'Final Calculation Sheet'!$K$18)</f>
        <v/>
      </c>
      <c r="M17" s="1208">
        <f>IF('Final Calculation Sheet'!$K$19="","",'Final Calculation Sheet'!$K$19)</f>
        <v/>
      </c>
      <c r="N17" s="70">
        <f>IF('Final Calculation Sheet'!$K$22="","",'Final Calculation Sheet'!$K$22)</f>
        <v/>
      </c>
      <c r="O17" s="1208">
        <f>IF('Final Calculation Sheet'!$K$24="","",'Final Calculation Sheet'!$K$24)</f>
        <v/>
      </c>
      <c r="P17" s="70">
        <f>IF('Final Calculation Sheet'!$K$26="","",'Final Calculation Sheet'!$K$26)</f>
        <v/>
      </c>
      <c r="Q17" s="1208">
        <f>IF('Final Calculation Sheet'!$K$30="","",'Final Calculation Sheet'!$K$30)</f>
        <v/>
      </c>
      <c r="R17" s="70">
        <f>IF('Final Calculation Sheet'!$K$32="","",'Final Calculation Sheet'!$K$32)</f>
        <v/>
      </c>
      <c r="S17" s="1208">
        <f>IF('Final Calculation Sheet'!$K$33="","",'Final Calculation Sheet'!$K$33)</f>
        <v/>
      </c>
      <c r="T17" s="70">
        <f>IF('Final Calculation Sheet'!$K$37="","",'Final Calculation Sheet'!$K$37)</f>
        <v/>
      </c>
      <c r="U17" s="1208">
        <f>IF('Final Calculation Sheet'!$K$21="","",'Final Calculation Sheet'!$K$21)</f>
        <v/>
      </c>
      <c r="V17" s="70">
        <f>IF('Final Calculation Sheet'!$K$8="","",'Final Calculation Sheet'!$K$8)</f>
        <v/>
      </c>
      <c r="W17" s="1208">
        <f>IF('Final Calculation Sheet'!$K$20="","",'Final Calculation Sheet'!$K$20)</f>
        <v/>
      </c>
      <c r="X17" s="70">
        <f>IF('Final Calculation Sheet'!$K$39="","",'Final Calculation Sheet'!$K$39)</f>
        <v/>
      </c>
      <c r="Y17" s="1208">
        <f>IF('Final Calculation Sheet'!$K$40="","",'Final Calculation Sheet'!$K$40)</f>
        <v/>
      </c>
      <c r="Z17" s="70">
        <f>IF('Final Calculation Sheet'!$K$31="","",'Final Calculation Sheet'!$K$31)</f>
        <v/>
      </c>
      <c r="AA17" s="1208">
        <f>IF('Final Calculation Sheet'!$K$9="","",'Final Calculation Sheet'!$K$9)</f>
        <v/>
      </c>
      <c r="AB17" s="70">
        <f>IF('Final Calculation Sheet'!$K$14="","",'Final Calculation Sheet'!$K$14)</f>
        <v/>
      </c>
      <c r="AC17" s="1208">
        <f>IF('Final Calculation Sheet'!$K$13="","",'Final Calculation Sheet'!$K$13)</f>
        <v/>
      </c>
      <c r="AD17" s="70">
        <f>IF('Final Calculation Sheet'!$K$16="","",'Final Calculation Sheet'!$K$16)</f>
        <v/>
      </c>
      <c r="AE17" s="1208">
        <f>IF('Final Calculation Sheet'!$K$17="","",'Final Calculation Sheet'!$K$17)</f>
        <v/>
      </c>
      <c r="AF17" s="70">
        <f>IF('Final Calculation Sheet'!$K$23="","",'Final Calculation Sheet'!$K$23)</f>
        <v/>
      </c>
      <c r="AG17" s="1208">
        <f>IF('Final Calculation Sheet'!$K$29="","",'Final Calculation Sheet'!$K$29)</f>
        <v/>
      </c>
      <c r="AH17" s="70">
        <f>IF('Final Calculation Sheet'!$K$34="","",'Final Calculation Sheet'!$K$34)</f>
        <v/>
      </c>
      <c r="AI17" s="1208">
        <f>IF('Final Calculation Sheet'!$K$36="","",'Final Calculation Sheet'!$K$36)</f>
        <v/>
      </c>
      <c r="AJ17" s="70">
        <f>IF('Final Calculation Sheet'!$K$25="","",'Final Calculation Sheet'!$K$25)</f>
        <v/>
      </c>
      <c r="AK17" s="1208">
        <f>IF('Final Calculation Sheet'!$K$28="","",'Final Calculation Sheet'!$K$28)</f>
        <v/>
      </c>
      <c r="AL17" s="70">
        <f>IF('Final Calculation Sheet'!$K$35="","",'Final Calculation Sheet'!$K$35)</f>
        <v/>
      </c>
      <c r="AM17" s="682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1212">
        <f>IF('Final Calculation Sheet'!$L$6="","",'Final Calculation Sheet'!$L$6)</f>
        <v/>
      </c>
      <c r="D18" s="78">
        <f>IF('Final Calculation Sheet'!$L$7="","",'Final Calculation Sheet'!$L$7)</f>
        <v/>
      </c>
      <c r="E18" s="1212">
        <f>IF('Final Calculation Sheet'!$L$15="","",'Final Calculation Sheet'!$L$15)</f>
        <v/>
      </c>
      <c r="F18" s="78">
        <f>IF('Final Calculation Sheet'!$L$38="","",'Final Calculation Sheet'!$L$38)</f>
        <v/>
      </c>
      <c r="G18" s="1212">
        <f>IF('Final Calculation Sheet'!$L$27="","",'Final Calculation Sheet'!$L$27)</f>
        <v/>
      </c>
      <c r="H18" s="78">
        <f>IF('Final Calculation Sheet'!$L$5="","",'Final Calculation Sheet'!$L$5)</f>
        <v/>
      </c>
      <c r="I18" s="1212">
        <f>IF('Final Calculation Sheet'!$L$10="","",'Final Calculation Sheet'!$L$10)</f>
        <v/>
      </c>
      <c r="J18" s="78">
        <f>IF('Final Calculation Sheet'!$L$11="","",'Final Calculation Sheet'!$L$11)</f>
        <v/>
      </c>
      <c r="K18" s="1212">
        <f>IF('Final Calculation Sheet'!$L$12="","",'Final Calculation Sheet'!$L$12)</f>
        <v/>
      </c>
      <c r="L18" s="78">
        <f>IF('Final Calculation Sheet'!$L$18="","",'Final Calculation Sheet'!$L$18)</f>
        <v/>
      </c>
      <c r="M18" s="1212">
        <f>IF('Final Calculation Sheet'!$L$19="","",'Final Calculation Sheet'!$L$19)</f>
        <v/>
      </c>
      <c r="N18" s="78">
        <f>IF('Final Calculation Sheet'!$L$22="","",'Final Calculation Sheet'!$L$22)</f>
        <v/>
      </c>
      <c r="O18" s="1212">
        <f>IF('Final Calculation Sheet'!$L$24="","",'Final Calculation Sheet'!$L$24)</f>
        <v/>
      </c>
      <c r="P18" s="78">
        <f>IF('Final Calculation Sheet'!$L$26="","",'Final Calculation Sheet'!$L$26)</f>
        <v/>
      </c>
      <c r="Q18" s="1212">
        <f>IF('Final Calculation Sheet'!$L$30="","",'Final Calculation Sheet'!$L$30)</f>
        <v/>
      </c>
      <c r="R18" s="78">
        <f>IF('Final Calculation Sheet'!$L$32="","",'Final Calculation Sheet'!$L$32)</f>
        <v/>
      </c>
      <c r="S18" s="1212">
        <f>IF('Final Calculation Sheet'!$L$33="","",'Final Calculation Sheet'!$L$33)</f>
        <v/>
      </c>
      <c r="T18" s="78">
        <f>IF('Final Calculation Sheet'!$L$37="","",'Final Calculation Sheet'!$L$37)</f>
        <v/>
      </c>
      <c r="U18" s="1212">
        <f>IF('Final Calculation Sheet'!$L$21="","",'Final Calculation Sheet'!$L$21)</f>
        <v/>
      </c>
      <c r="V18" s="78">
        <f>IF('Final Calculation Sheet'!$L$8="","",'Final Calculation Sheet'!$L$8)</f>
        <v/>
      </c>
      <c r="W18" s="1212">
        <f>IF('Final Calculation Sheet'!$L$20="","",'Final Calculation Sheet'!$L$20)</f>
        <v/>
      </c>
      <c r="X18" s="78">
        <f>IF('Final Calculation Sheet'!$L$39="","",'Final Calculation Sheet'!$L$39)</f>
        <v/>
      </c>
      <c r="Y18" s="1212">
        <f>IF('Final Calculation Sheet'!$L$40="","",'Final Calculation Sheet'!$L$40)</f>
        <v/>
      </c>
      <c r="Z18" s="78">
        <f>IF('Final Calculation Sheet'!$L$31="","",'Final Calculation Sheet'!$L$31)</f>
        <v/>
      </c>
      <c r="AA18" s="1212">
        <f>IF('Final Calculation Sheet'!$L$9="","",'Final Calculation Sheet'!$L$9)</f>
        <v/>
      </c>
      <c r="AB18" s="78">
        <f>IF('Final Calculation Sheet'!$L$14="","",'Final Calculation Sheet'!$L$14)</f>
        <v/>
      </c>
      <c r="AC18" s="1212">
        <f>IF('Final Calculation Sheet'!$L$13="","",'Final Calculation Sheet'!$L$13)</f>
        <v/>
      </c>
      <c r="AD18" s="78">
        <f>IF('Final Calculation Sheet'!$L$16="","",'Final Calculation Sheet'!$L$16)</f>
        <v/>
      </c>
      <c r="AE18" s="1212">
        <f>IF('Final Calculation Sheet'!$L$17="","",'Final Calculation Sheet'!$L$17)</f>
        <v/>
      </c>
      <c r="AF18" s="78">
        <f>IF('Final Calculation Sheet'!$L$23="","",'Final Calculation Sheet'!$L$23)</f>
        <v/>
      </c>
      <c r="AG18" s="1212">
        <f>IF('Final Calculation Sheet'!$L$29="","",'Final Calculation Sheet'!$L$29)</f>
        <v/>
      </c>
      <c r="AH18" s="78">
        <f>IF('Final Calculation Sheet'!$L$34="","",'Final Calculation Sheet'!$L$34)</f>
        <v/>
      </c>
      <c r="AI18" s="1212">
        <f>IF('Final Calculation Sheet'!$L$36="","",'Final Calculation Sheet'!$L$36)</f>
        <v/>
      </c>
      <c r="AJ18" s="78">
        <f>IF('Final Calculation Sheet'!$L$25="","",'Final Calculation Sheet'!$L$25)</f>
        <v/>
      </c>
      <c r="AK18" s="1212">
        <f>IF('Final Calculation Sheet'!$L$28="","",'Final Calculation Sheet'!$L$28)</f>
        <v/>
      </c>
      <c r="AL18" s="78">
        <f>IF('Final Calculation Sheet'!$L$35="","",'Final Calculation Sheet'!$L$35)</f>
        <v/>
      </c>
      <c r="AM18" s="807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1212">
        <f>IF('Final Calculation Sheet'!$M$6="","",'Final Calculation Sheet'!$M$6)</f>
        <v/>
      </c>
      <c r="D19" s="78">
        <f>IF('Final Calculation Sheet'!$M$7="","",'Final Calculation Sheet'!$M$7)</f>
        <v/>
      </c>
      <c r="E19" s="1212">
        <f>IF('Final Calculation Sheet'!$M$15="","",'Final Calculation Sheet'!$M$15)</f>
        <v/>
      </c>
      <c r="F19" s="78">
        <f>IF('Final Calculation Sheet'!$M$38="","",'Final Calculation Sheet'!$M$38)</f>
        <v/>
      </c>
      <c r="G19" s="1212">
        <f>IF('Final Calculation Sheet'!$M$27="","",'Final Calculation Sheet'!$M$27)</f>
        <v/>
      </c>
      <c r="H19" s="78">
        <f>IF('Final Calculation Sheet'!$M$5="","",'Final Calculation Sheet'!$M$5)</f>
        <v/>
      </c>
      <c r="I19" s="1212">
        <f>IF('Final Calculation Sheet'!$M$10="","",'Final Calculation Sheet'!$M$10)</f>
        <v/>
      </c>
      <c r="J19" s="78">
        <f>IF('Final Calculation Sheet'!$M$11="","",'Final Calculation Sheet'!$M$11)</f>
        <v/>
      </c>
      <c r="K19" s="1212">
        <f>IF('Final Calculation Sheet'!$M$12="","",'Final Calculation Sheet'!$M$12)</f>
        <v/>
      </c>
      <c r="L19" s="78">
        <f>IF('Final Calculation Sheet'!$M$18="","",'Final Calculation Sheet'!$M$18)</f>
        <v/>
      </c>
      <c r="M19" s="1212">
        <f>IF('Final Calculation Sheet'!$M$19="","",'Final Calculation Sheet'!$M$19)</f>
        <v/>
      </c>
      <c r="N19" s="78">
        <f>IF('Final Calculation Sheet'!$M$22="","",'Final Calculation Sheet'!$M$22)</f>
        <v/>
      </c>
      <c r="O19" s="1212">
        <f>IF('Final Calculation Sheet'!$M$24="","",'Final Calculation Sheet'!$M$24)</f>
        <v/>
      </c>
      <c r="P19" s="78">
        <f>IF('Final Calculation Sheet'!$M$26="","",'Final Calculation Sheet'!$M$26)</f>
        <v/>
      </c>
      <c r="Q19" s="1212">
        <f>IF('Final Calculation Sheet'!$M$30="","",'Final Calculation Sheet'!$M$30)</f>
        <v/>
      </c>
      <c r="R19" s="78">
        <f>IF('Final Calculation Sheet'!$M$32="","",'Final Calculation Sheet'!$M$32)</f>
        <v/>
      </c>
      <c r="S19" s="1212">
        <f>IF('Final Calculation Sheet'!$M$33="","",'Final Calculation Sheet'!$M$33)</f>
        <v/>
      </c>
      <c r="T19" s="78">
        <f>IF('Final Calculation Sheet'!$M$37="","",'Final Calculation Sheet'!$M$37)</f>
        <v/>
      </c>
      <c r="U19" s="1212">
        <f>IF('Final Calculation Sheet'!$M$21="","",'Final Calculation Sheet'!$M$21)</f>
        <v/>
      </c>
      <c r="V19" s="78">
        <f>IF('Final Calculation Sheet'!$M$8="","",'Final Calculation Sheet'!$M$8)</f>
        <v/>
      </c>
      <c r="W19" s="1212">
        <f>IF('Final Calculation Sheet'!$M$20="","",'Final Calculation Sheet'!$M$20)</f>
        <v/>
      </c>
      <c r="X19" s="78">
        <f>IF('Final Calculation Sheet'!$M$39="","",'Final Calculation Sheet'!$M$39)</f>
        <v/>
      </c>
      <c r="Y19" s="1212">
        <f>IF('Final Calculation Sheet'!$M$40="","",'Final Calculation Sheet'!$M$40)</f>
        <v/>
      </c>
      <c r="Z19" s="78">
        <f>IF('Final Calculation Sheet'!$M$31="","",'Final Calculation Sheet'!$M$31)</f>
        <v/>
      </c>
      <c r="AA19" s="1212">
        <f>IF('Final Calculation Sheet'!$M$9="","",'Final Calculation Sheet'!$M$9)</f>
        <v/>
      </c>
      <c r="AB19" s="78">
        <f>IF('Final Calculation Sheet'!$M$14="","",'Final Calculation Sheet'!$M$14)</f>
        <v/>
      </c>
      <c r="AC19" s="1212">
        <f>IF('Final Calculation Sheet'!$M$13="","",'Final Calculation Sheet'!$M$13)</f>
        <v/>
      </c>
      <c r="AD19" s="78">
        <f>IF('Final Calculation Sheet'!$M$16="","",'Final Calculation Sheet'!$M$16)</f>
        <v/>
      </c>
      <c r="AE19" s="1212">
        <f>IF('Final Calculation Sheet'!$M$17="","",'Final Calculation Sheet'!$M$17)</f>
        <v/>
      </c>
      <c r="AF19" s="78">
        <f>IF('Final Calculation Sheet'!$M$23="","",'Final Calculation Sheet'!$M$23)</f>
        <v/>
      </c>
      <c r="AG19" s="1212">
        <f>IF('Final Calculation Sheet'!$M$29="","",'Final Calculation Sheet'!$M$29)</f>
        <v/>
      </c>
      <c r="AH19" s="78">
        <f>IF('Final Calculation Sheet'!$M$34="","",'Final Calculation Sheet'!$M$34)</f>
        <v/>
      </c>
      <c r="AI19" s="1212">
        <f>IF('Final Calculation Sheet'!$M$36="","",'Final Calculation Sheet'!$M$36)</f>
        <v/>
      </c>
      <c r="AJ19" s="78">
        <f>IF('Final Calculation Sheet'!$M$25="","",'Final Calculation Sheet'!$M$25)</f>
        <v/>
      </c>
      <c r="AK19" s="1212">
        <f>IF('Final Calculation Sheet'!$M$28="","",'Final Calculation Sheet'!$M$28)</f>
        <v/>
      </c>
      <c r="AL19" s="78">
        <f>IF('Final Calculation Sheet'!$M$35="","",'Final Calculation Sheet'!$M$35)</f>
        <v/>
      </c>
      <c r="AM19" s="807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1212">
        <f>IF('Final Calculation Sheet'!$N$6="","",'Final Calculation Sheet'!$N$6)</f>
        <v/>
      </c>
      <c r="D20" s="78">
        <f>IF('Final Calculation Sheet'!$N$7="","",'Final Calculation Sheet'!$N$7)</f>
        <v/>
      </c>
      <c r="E20" s="1212">
        <f>IF('Final Calculation Sheet'!$N$15="","",'Final Calculation Sheet'!$N$15)</f>
        <v/>
      </c>
      <c r="F20" s="78">
        <f>IF('Final Calculation Sheet'!$N$38="","",'Final Calculation Sheet'!$N$38)</f>
        <v/>
      </c>
      <c r="G20" s="1212">
        <f>IF('Final Calculation Sheet'!$N$27="","",'Final Calculation Sheet'!$N$27)</f>
        <v/>
      </c>
      <c r="H20" s="78">
        <f>IF('Final Calculation Sheet'!$N$5="","",'Final Calculation Sheet'!$N$5)</f>
        <v/>
      </c>
      <c r="I20" s="1212">
        <f>IF('Final Calculation Sheet'!$N$10="","",'Final Calculation Sheet'!$N$10)</f>
        <v/>
      </c>
      <c r="J20" s="78">
        <f>IF('Final Calculation Sheet'!$N$11="","",'Final Calculation Sheet'!$N$11)</f>
        <v/>
      </c>
      <c r="K20" s="1212">
        <f>IF('Final Calculation Sheet'!$N$12="","",'Final Calculation Sheet'!$N$12)</f>
        <v/>
      </c>
      <c r="L20" s="78">
        <f>IF('Final Calculation Sheet'!$N$18="","",'Final Calculation Sheet'!$N$18)</f>
        <v/>
      </c>
      <c r="M20" s="1212">
        <f>IF('Final Calculation Sheet'!$N$19="","",'Final Calculation Sheet'!$N$19)</f>
        <v/>
      </c>
      <c r="N20" s="78">
        <f>IF('Final Calculation Sheet'!$N$22="","",'Final Calculation Sheet'!$N$22)</f>
        <v/>
      </c>
      <c r="O20" s="1212">
        <f>IF('Final Calculation Sheet'!$N$24="","",'Final Calculation Sheet'!$N$24)</f>
        <v/>
      </c>
      <c r="P20" s="78">
        <f>IF('Final Calculation Sheet'!$N$26="","",'Final Calculation Sheet'!$N$26)</f>
        <v/>
      </c>
      <c r="Q20" s="1212">
        <f>IF('Final Calculation Sheet'!$N$30="","",'Final Calculation Sheet'!$N$30)</f>
        <v/>
      </c>
      <c r="R20" s="78">
        <f>IF('Final Calculation Sheet'!$N$32="","",'Final Calculation Sheet'!$N$32)</f>
        <v/>
      </c>
      <c r="S20" s="1212">
        <f>IF('Final Calculation Sheet'!$N$33="","",'Final Calculation Sheet'!$N$33)</f>
        <v/>
      </c>
      <c r="T20" s="78">
        <f>IF('Final Calculation Sheet'!$N$37="","",'Final Calculation Sheet'!$N$37)</f>
        <v/>
      </c>
      <c r="U20" s="1212">
        <f>IF('Final Calculation Sheet'!$N$21="","",'Final Calculation Sheet'!$N$21)</f>
        <v/>
      </c>
      <c r="V20" s="78">
        <f>IF('Final Calculation Sheet'!$N$8="","",'Final Calculation Sheet'!$N$8)</f>
        <v/>
      </c>
      <c r="W20" s="1212">
        <f>IF('Final Calculation Sheet'!$N$20="","",'Final Calculation Sheet'!$N$20)</f>
        <v/>
      </c>
      <c r="X20" s="78">
        <f>IF('Final Calculation Sheet'!$N$39="","",'Final Calculation Sheet'!$N$39)</f>
        <v/>
      </c>
      <c r="Y20" s="1212">
        <f>IF('Final Calculation Sheet'!$N$40="","",'Final Calculation Sheet'!$N$40)</f>
        <v/>
      </c>
      <c r="Z20" s="78">
        <f>IF('Final Calculation Sheet'!$N$31="","",'Final Calculation Sheet'!$N$31)</f>
        <v/>
      </c>
      <c r="AA20" s="1212">
        <f>IF('Final Calculation Sheet'!$N$9="","",'Final Calculation Sheet'!$N$9)</f>
        <v/>
      </c>
      <c r="AB20" s="78">
        <f>IF('Final Calculation Sheet'!$N$14="","",'Final Calculation Sheet'!$N$14)</f>
        <v/>
      </c>
      <c r="AC20" s="1212">
        <f>IF('Final Calculation Sheet'!$N$13="","",'Final Calculation Sheet'!$N$13)</f>
        <v/>
      </c>
      <c r="AD20" s="78">
        <f>IF('Final Calculation Sheet'!$N$16="","",'Final Calculation Sheet'!$N$16)</f>
        <v/>
      </c>
      <c r="AE20" s="1212">
        <f>IF('Final Calculation Sheet'!$N$17="","",'Final Calculation Sheet'!$N$17)</f>
        <v/>
      </c>
      <c r="AF20" s="78">
        <f>IF('Final Calculation Sheet'!$N$23="","",'Final Calculation Sheet'!$N$23)</f>
        <v/>
      </c>
      <c r="AG20" s="1212">
        <f>IF('Final Calculation Sheet'!$N$29="","",'Final Calculation Sheet'!$N$29)</f>
        <v/>
      </c>
      <c r="AH20" s="78">
        <f>IF('Final Calculation Sheet'!$N$34="","",'Final Calculation Sheet'!$N$34)</f>
        <v/>
      </c>
      <c r="AI20" s="1212">
        <f>IF('Final Calculation Sheet'!$N$36="","",'Final Calculation Sheet'!$N$36)</f>
        <v/>
      </c>
      <c r="AJ20" s="78">
        <f>IF('Final Calculation Sheet'!$N$25="","",'Final Calculation Sheet'!$N$25)</f>
        <v/>
      </c>
      <c r="AK20" s="1212">
        <f>IF('Final Calculation Sheet'!$N$28="","",'Final Calculation Sheet'!$N$28)</f>
        <v/>
      </c>
      <c r="AL20" s="78">
        <f>IF('Final Calculation Sheet'!$N$35="","",'Final Calculation Sheet'!$N$35)</f>
        <v/>
      </c>
      <c r="AM20" s="807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1212">
        <f>IF('Final Calculation Sheet'!$O$6="","",'Final Calculation Sheet'!$O$6)</f>
        <v/>
      </c>
      <c r="D21" s="78">
        <f>IF('Final Calculation Sheet'!$O$7="","",'Final Calculation Sheet'!$O$7)</f>
        <v/>
      </c>
      <c r="E21" s="1212">
        <f>IF('Final Calculation Sheet'!$O$15="","",'Final Calculation Sheet'!$O$15)</f>
        <v/>
      </c>
      <c r="F21" s="78">
        <f>IF('Final Calculation Sheet'!$O$38="","",'Final Calculation Sheet'!$O$38)</f>
        <v/>
      </c>
      <c r="G21" s="1212">
        <f>IF('Final Calculation Sheet'!$O$27="","",'Final Calculation Sheet'!$O$27)</f>
        <v/>
      </c>
      <c r="H21" s="78">
        <f>IF('Final Calculation Sheet'!$O$5="","",'Final Calculation Sheet'!$O$5)</f>
        <v/>
      </c>
      <c r="I21" s="1212">
        <f>IF('Final Calculation Sheet'!$O$10="","",'Final Calculation Sheet'!$O$10)</f>
        <v/>
      </c>
      <c r="J21" s="78">
        <f>IF('Final Calculation Sheet'!$O$11="","",'Final Calculation Sheet'!$O$11)</f>
        <v/>
      </c>
      <c r="K21" s="1212">
        <f>IF('Final Calculation Sheet'!$O$12="","",'Final Calculation Sheet'!$O$12)</f>
        <v/>
      </c>
      <c r="L21" s="78">
        <f>IF('Final Calculation Sheet'!$O$18="","",'Final Calculation Sheet'!$O$18)</f>
        <v/>
      </c>
      <c r="M21" s="1212">
        <f>IF('Final Calculation Sheet'!$O$19="","",'Final Calculation Sheet'!$O$19)</f>
        <v/>
      </c>
      <c r="N21" s="78">
        <f>IF('Final Calculation Sheet'!$O$22="","",'Final Calculation Sheet'!$O$22)</f>
        <v/>
      </c>
      <c r="O21" s="1212">
        <f>IF('Final Calculation Sheet'!$O$24="","",'Final Calculation Sheet'!$O$24)</f>
        <v/>
      </c>
      <c r="P21" s="78">
        <f>IF('Final Calculation Sheet'!$O$26="","",'Final Calculation Sheet'!$O$26)</f>
        <v/>
      </c>
      <c r="Q21" s="1212">
        <f>IF('Final Calculation Sheet'!$O$30="","",'Final Calculation Sheet'!$O$30)</f>
        <v/>
      </c>
      <c r="R21" s="78">
        <f>IF('Final Calculation Sheet'!$O$32="","",'Final Calculation Sheet'!$O$32)</f>
        <v/>
      </c>
      <c r="S21" s="1212">
        <f>IF('Final Calculation Sheet'!$O$33="","",'Final Calculation Sheet'!$O$33)</f>
        <v/>
      </c>
      <c r="T21" s="78">
        <f>IF('Final Calculation Sheet'!$O$37="","",'Final Calculation Sheet'!$O$37)</f>
        <v/>
      </c>
      <c r="U21" s="1212">
        <f>IF('Final Calculation Sheet'!$O$21="","",'Final Calculation Sheet'!$O$21)</f>
        <v/>
      </c>
      <c r="V21" s="78">
        <f>IF('Final Calculation Sheet'!$O$8="","",'Final Calculation Sheet'!$O$8)</f>
        <v/>
      </c>
      <c r="W21" s="1212">
        <f>IF('Final Calculation Sheet'!$O$20="","",'Final Calculation Sheet'!$O$20)</f>
        <v/>
      </c>
      <c r="X21" s="78">
        <f>IF('Final Calculation Sheet'!$O$39="","",'Final Calculation Sheet'!$O$39)</f>
        <v/>
      </c>
      <c r="Y21" s="1212">
        <f>IF('Final Calculation Sheet'!$O$40="","",'Final Calculation Sheet'!$O$40)</f>
        <v/>
      </c>
      <c r="Z21" s="78">
        <f>IF('Final Calculation Sheet'!$O$31="","",'Final Calculation Sheet'!$O$31)</f>
        <v/>
      </c>
      <c r="AA21" s="1212">
        <f>IF('Final Calculation Sheet'!$O$9="","",'Final Calculation Sheet'!$O$9)</f>
        <v/>
      </c>
      <c r="AB21" s="78">
        <f>IF('Final Calculation Sheet'!$O$14="","",'Final Calculation Sheet'!$O$14)</f>
        <v/>
      </c>
      <c r="AC21" s="1212">
        <f>IF('Final Calculation Sheet'!$O$13="","",'Final Calculation Sheet'!$O$13)</f>
        <v/>
      </c>
      <c r="AD21" s="78">
        <f>IF('Final Calculation Sheet'!$O$16="","",'Final Calculation Sheet'!$O$16)</f>
        <v/>
      </c>
      <c r="AE21" s="1212">
        <f>IF('Final Calculation Sheet'!$O$17="","",'Final Calculation Sheet'!$O$17)</f>
        <v/>
      </c>
      <c r="AF21" s="78">
        <f>IF('Final Calculation Sheet'!$O$23="","",'Final Calculation Sheet'!$O$23)</f>
        <v/>
      </c>
      <c r="AG21" s="1212">
        <f>IF('Final Calculation Sheet'!$O$29="","",'Final Calculation Sheet'!$O$29)</f>
        <v/>
      </c>
      <c r="AH21" s="78">
        <f>IF('Final Calculation Sheet'!$O$34="","",'Final Calculation Sheet'!$O$34)</f>
        <v/>
      </c>
      <c r="AI21" s="1212">
        <f>IF('Final Calculation Sheet'!$O$36="","",'Final Calculation Sheet'!$O$36)</f>
        <v/>
      </c>
      <c r="AJ21" s="78">
        <f>IF('Final Calculation Sheet'!$O$25="","",'Final Calculation Sheet'!$O$25)</f>
        <v/>
      </c>
      <c r="AK21" s="1212">
        <f>IF('Final Calculation Sheet'!$O$28="","",'Final Calculation Sheet'!$O$28)</f>
        <v/>
      </c>
      <c r="AL21" s="78">
        <f>IF('Final Calculation Sheet'!$O$35="","",'Final Calculation Sheet'!$O$35)</f>
        <v/>
      </c>
      <c r="AM21" s="807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1208">
        <f>IF('Final Calculation Sheet'!$P$6="","",'Final Calculation Sheet'!$P$6)</f>
        <v/>
      </c>
      <c r="D22" s="70">
        <f>IF('Final Calculation Sheet'!$P$7="","",'Final Calculation Sheet'!$P$7)</f>
        <v/>
      </c>
      <c r="E22" s="1208">
        <f>IF('Final Calculation Sheet'!$P$15="","",'Final Calculation Sheet'!$P$15)</f>
        <v/>
      </c>
      <c r="F22" s="70">
        <f>IF('Final Calculation Sheet'!$P$38="","",'Final Calculation Sheet'!$P$38)</f>
        <v/>
      </c>
      <c r="G22" s="1208">
        <f>IF('Final Calculation Sheet'!$P$27="","",'Final Calculation Sheet'!$P$27)</f>
        <v/>
      </c>
      <c r="H22" s="70">
        <f>IF('Final Calculation Sheet'!$P$5="","",'Final Calculation Sheet'!$P$5)</f>
        <v/>
      </c>
      <c r="I22" s="1208">
        <f>IF('Final Calculation Sheet'!$P$10="","",'Final Calculation Sheet'!$P$10)</f>
        <v/>
      </c>
      <c r="J22" s="70">
        <f>IF('Final Calculation Sheet'!$P$11="","",'Final Calculation Sheet'!$P$11)</f>
        <v/>
      </c>
      <c r="K22" s="1208">
        <f>IF('Final Calculation Sheet'!$P$12="","",'Final Calculation Sheet'!$P$12)</f>
        <v/>
      </c>
      <c r="L22" s="70">
        <f>IF('Final Calculation Sheet'!$P$18="","",'Final Calculation Sheet'!$P$18)</f>
        <v/>
      </c>
      <c r="M22" s="1208">
        <f>IF('Final Calculation Sheet'!$P$19="","",'Final Calculation Sheet'!$P$19)</f>
        <v/>
      </c>
      <c r="N22" s="70">
        <f>IF('Final Calculation Sheet'!$P$22="","",'Final Calculation Sheet'!$P$22)</f>
        <v/>
      </c>
      <c r="O22" s="1208">
        <f>IF('Final Calculation Sheet'!$P$24="","",'Final Calculation Sheet'!$P$24)</f>
        <v/>
      </c>
      <c r="P22" s="70">
        <f>IF('Final Calculation Sheet'!$P$26="","",'Final Calculation Sheet'!$P$26)</f>
        <v/>
      </c>
      <c r="Q22" s="1208">
        <f>IF('Final Calculation Sheet'!$P$30="","",'Final Calculation Sheet'!$P$30)</f>
        <v/>
      </c>
      <c r="R22" s="70">
        <f>IF('Final Calculation Sheet'!$P$32="","",'Final Calculation Sheet'!$P$32)</f>
        <v/>
      </c>
      <c r="S22" s="1208">
        <f>IF('Final Calculation Sheet'!$P$33="","",'Final Calculation Sheet'!$P$33)</f>
        <v/>
      </c>
      <c r="T22" s="70">
        <f>IF('Final Calculation Sheet'!$P$37="","",'Final Calculation Sheet'!$P$37)</f>
        <v/>
      </c>
      <c r="U22" s="1208">
        <f>IF('Final Calculation Sheet'!$P$21="","",'Final Calculation Sheet'!$P$21)</f>
        <v/>
      </c>
      <c r="V22" s="70">
        <f>IF('Final Calculation Sheet'!$P$8="","",'Final Calculation Sheet'!$P$8)</f>
        <v/>
      </c>
      <c r="W22" s="1208">
        <f>IF('Final Calculation Sheet'!$P$20="","",'Final Calculation Sheet'!$P$20)</f>
        <v/>
      </c>
      <c r="X22" s="70">
        <f>IF('Final Calculation Sheet'!$P$39="","",'Final Calculation Sheet'!$P$39)</f>
        <v/>
      </c>
      <c r="Y22" s="1208">
        <f>IF('Final Calculation Sheet'!$P$40="","",'Final Calculation Sheet'!$P$40)</f>
        <v/>
      </c>
      <c r="Z22" s="70">
        <f>IF('Final Calculation Sheet'!$P$31="","",'Final Calculation Sheet'!$P$31)</f>
        <v/>
      </c>
      <c r="AA22" s="1208">
        <f>IF('Final Calculation Sheet'!$P$9="","",'Final Calculation Sheet'!$P$9)</f>
        <v/>
      </c>
      <c r="AB22" s="70">
        <f>IF('Final Calculation Sheet'!$P$14="","",'Final Calculation Sheet'!$P$14)</f>
        <v/>
      </c>
      <c r="AC22" s="1208">
        <f>IF('Final Calculation Sheet'!$P$13="","",'Final Calculation Sheet'!$P$13)</f>
        <v/>
      </c>
      <c r="AD22" s="70">
        <f>IF('Final Calculation Sheet'!$P$16="","",'Final Calculation Sheet'!$P$16)</f>
        <v/>
      </c>
      <c r="AE22" s="1208">
        <f>IF('Final Calculation Sheet'!$P$17="","",'Final Calculation Sheet'!$P$17)</f>
        <v/>
      </c>
      <c r="AF22" s="70">
        <f>IF('Final Calculation Sheet'!$P$23="","",'Final Calculation Sheet'!$P$23)</f>
        <v/>
      </c>
      <c r="AG22" s="1208">
        <f>IF('Final Calculation Sheet'!$P$29="","",'Final Calculation Sheet'!$P$29)</f>
        <v/>
      </c>
      <c r="AH22" s="70">
        <f>IF('Final Calculation Sheet'!$P$34="","",'Final Calculation Sheet'!$P$34)</f>
        <v/>
      </c>
      <c r="AI22" s="1208">
        <f>IF('Final Calculation Sheet'!$P$36="","",'Final Calculation Sheet'!$P$36)</f>
        <v/>
      </c>
      <c r="AJ22" s="70">
        <f>IF('Final Calculation Sheet'!$P$25="","",'Final Calculation Sheet'!$P$25)</f>
        <v/>
      </c>
      <c r="AK22" s="1208">
        <f>IF('Final Calculation Sheet'!$P$28="","",'Final Calculation Sheet'!$P$28)</f>
        <v/>
      </c>
      <c r="AL22" s="70">
        <f>IF('Final Calculation Sheet'!$P$35="","",'Final Calculation Sheet'!$P$35)</f>
        <v/>
      </c>
      <c r="AM22" s="682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1213">
        <f>IF('Final Calculation Sheet'!$Q$6="","",'Final Calculation Sheet'!$Q$6)</f>
        <v/>
      </c>
      <c r="D23" s="80">
        <f>IF('Final Calculation Sheet'!$Q$7="","",'Final Calculation Sheet'!$Q$7)</f>
        <v/>
      </c>
      <c r="E23" s="1213">
        <f>IF('Final Calculation Sheet'!$Q$15="","",'Final Calculation Sheet'!$Q$15)</f>
        <v/>
      </c>
      <c r="F23" s="80">
        <f>IF('Final Calculation Sheet'!$Q$38="","",'Final Calculation Sheet'!$Q$38)</f>
        <v/>
      </c>
      <c r="G23" s="1213">
        <f>IF('Final Calculation Sheet'!$Q$27="","",'Final Calculation Sheet'!$Q$27)</f>
        <v/>
      </c>
      <c r="H23" s="80">
        <f>IF('Final Calculation Sheet'!$Q$5="","",'Final Calculation Sheet'!$Q$5)</f>
        <v/>
      </c>
      <c r="I23" s="1213">
        <f>IF('Final Calculation Sheet'!$Q$10="","",'Final Calculation Sheet'!$Q$10)</f>
        <v/>
      </c>
      <c r="J23" s="80">
        <f>IF('Final Calculation Sheet'!$Q$11="","",'Final Calculation Sheet'!$Q$11)</f>
        <v/>
      </c>
      <c r="K23" s="1213">
        <f>IF('Final Calculation Sheet'!$Q$12="","",'Final Calculation Sheet'!$Q$12)</f>
        <v/>
      </c>
      <c r="L23" s="80">
        <f>IF('Final Calculation Sheet'!$Q$18="","",'Final Calculation Sheet'!$Q$18)</f>
        <v/>
      </c>
      <c r="M23" s="1213">
        <f>IF('Final Calculation Sheet'!$Q$19="","",'Final Calculation Sheet'!$Q$19)</f>
        <v/>
      </c>
      <c r="N23" s="80">
        <f>IF('Final Calculation Sheet'!$Q$22="","",'Final Calculation Sheet'!$Q$22)</f>
        <v/>
      </c>
      <c r="O23" s="1213">
        <f>IF('Final Calculation Sheet'!$Q$24="","",'Final Calculation Sheet'!$Q$24)</f>
        <v/>
      </c>
      <c r="P23" s="80">
        <f>IF('Final Calculation Sheet'!$Q$26="","",'Final Calculation Sheet'!$Q$26)</f>
        <v/>
      </c>
      <c r="Q23" s="1213">
        <f>IF('Final Calculation Sheet'!$Q$30="","",'Final Calculation Sheet'!$Q$30)</f>
        <v/>
      </c>
      <c r="R23" s="80">
        <f>IF('Final Calculation Sheet'!$Q$32="","",'Final Calculation Sheet'!$Q$32)</f>
        <v/>
      </c>
      <c r="S23" s="1213">
        <f>IF('Final Calculation Sheet'!$Q$33="","",'Final Calculation Sheet'!$Q$33)</f>
        <v/>
      </c>
      <c r="T23" s="80">
        <f>IF('Final Calculation Sheet'!$Q$37="","",'Final Calculation Sheet'!$Q$37)</f>
        <v/>
      </c>
      <c r="U23" s="1213">
        <f>IF('Final Calculation Sheet'!$Q$21="","",'Final Calculation Sheet'!$Q$21)</f>
        <v/>
      </c>
      <c r="V23" s="80">
        <f>IF('Final Calculation Sheet'!$Q$8="","",'Final Calculation Sheet'!$Q$8)</f>
        <v/>
      </c>
      <c r="W23" s="1213">
        <f>IF('Final Calculation Sheet'!$Q$20="","",'Final Calculation Sheet'!$Q$20)</f>
        <v/>
      </c>
      <c r="X23" s="80">
        <f>IF('Final Calculation Sheet'!$Q$39="","",'Final Calculation Sheet'!$Q$39)</f>
        <v/>
      </c>
      <c r="Y23" s="1213">
        <f>IF('Final Calculation Sheet'!$Q$40="","",'Final Calculation Sheet'!$Q$40)</f>
        <v/>
      </c>
      <c r="Z23" s="80">
        <f>IF('Final Calculation Sheet'!$Q$31="","",'Final Calculation Sheet'!$Q$31)</f>
        <v/>
      </c>
      <c r="AA23" s="1213">
        <f>IF('Final Calculation Sheet'!$Q$9="","",'Final Calculation Sheet'!$Q$9)</f>
        <v/>
      </c>
      <c r="AB23" s="80">
        <f>IF('Final Calculation Sheet'!$Q$14="","",'Final Calculation Sheet'!$Q$14)</f>
        <v/>
      </c>
      <c r="AC23" s="1213">
        <f>IF('Final Calculation Sheet'!$Q$13="","",'Final Calculation Sheet'!$Q$13)</f>
        <v/>
      </c>
      <c r="AD23" s="80">
        <f>IF('Final Calculation Sheet'!$Q$16="","",'Final Calculation Sheet'!$Q$16)</f>
        <v/>
      </c>
      <c r="AE23" s="1213">
        <f>IF('Final Calculation Sheet'!$Q$17="","",'Final Calculation Sheet'!$Q$17)</f>
        <v/>
      </c>
      <c r="AF23" s="80">
        <f>IF('Final Calculation Sheet'!$Q$23="","",'Final Calculation Sheet'!$Q$23)</f>
        <v/>
      </c>
      <c r="AG23" s="1213">
        <f>IF('Final Calculation Sheet'!$Q$29="","",'Final Calculation Sheet'!$Q$29)</f>
        <v/>
      </c>
      <c r="AH23" s="80">
        <f>IF('Final Calculation Sheet'!$Q$34="","",'Final Calculation Sheet'!$Q$34)</f>
        <v/>
      </c>
      <c r="AI23" s="1213">
        <f>IF('Final Calculation Sheet'!$Q$36="","",'Final Calculation Sheet'!$Q$36)</f>
        <v/>
      </c>
      <c r="AJ23" s="80">
        <f>IF('Final Calculation Sheet'!$Q$25="","",'Final Calculation Sheet'!$Q$25)</f>
        <v/>
      </c>
      <c r="AK23" s="1213">
        <f>IF('Final Calculation Sheet'!$Q$28="","",'Final Calculation Sheet'!$Q$28)</f>
        <v/>
      </c>
      <c r="AL23" s="80">
        <f>IF('Final Calculation Sheet'!$Q$35="","",'Final Calculation Sheet'!$Q$35)</f>
        <v/>
      </c>
      <c r="AM23" s="948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1208">
        <f>IF('Final Calculation Sheet'!$R$6="","",'Final Calculation Sheet'!$R$6)</f>
        <v/>
      </c>
      <c r="D24" s="70">
        <f>IF('Final Calculation Sheet'!$R$7="","",'Final Calculation Sheet'!$R$7)</f>
        <v/>
      </c>
      <c r="E24" s="1208">
        <f>IF('Final Calculation Sheet'!$R$15="","",'Final Calculation Sheet'!$R$15)</f>
        <v/>
      </c>
      <c r="F24" s="70">
        <f>IF('Final Calculation Sheet'!$R$38="","",'Final Calculation Sheet'!$R$38)</f>
        <v/>
      </c>
      <c r="G24" s="1208">
        <f>IF('Final Calculation Sheet'!$R$27="","",'Final Calculation Sheet'!$R$27)</f>
        <v/>
      </c>
      <c r="H24" s="70">
        <f>IF('Final Calculation Sheet'!$R$5="","",'Final Calculation Sheet'!$R$5)</f>
        <v/>
      </c>
      <c r="I24" s="1208">
        <f>IF('Final Calculation Sheet'!$R$10="","",'Final Calculation Sheet'!$R$10)</f>
        <v/>
      </c>
      <c r="J24" s="70">
        <f>IF('Final Calculation Sheet'!$R$11="","",'Final Calculation Sheet'!$R$11)</f>
        <v/>
      </c>
      <c r="K24" s="1208">
        <f>IF('Final Calculation Sheet'!$R$12="","",'Final Calculation Sheet'!$R$12)</f>
        <v/>
      </c>
      <c r="L24" s="70">
        <f>IF('Final Calculation Sheet'!$R$18="","",'Final Calculation Sheet'!$R$18)</f>
        <v/>
      </c>
      <c r="M24" s="1208">
        <f>IF('Final Calculation Sheet'!$R$19="","",'Final Calculation Sheet'!$R$19)</f>
        <v/>
      </c>
      <c r="N24" s="70">
        <f>IF('Final Calculation Sheet'!$R$22="","",'Final Calculation Sheet'!$R$22)</f>
        <v/>
      </c>
      <c r="O24" s="1208">
        <f>IF('Final Calculation Sheet'!$R$24="","",'Final Calculation Sheet'!$R$24)</f>
        <v/>
      </c>
      <c r="P24" s="70">
        <f>IF('Final Calculation Sheet'!$R$26="","",'Final Calculation Sheet'!$R$26)</f>
        <v/>
      </c>
      <c r="Q24" s="1208">
        <f>IF('Final Calculation Sheet'!$R$30="","",'Final Calculation Sheet'!$R$30)</f>
        <v/>
      </c>
      <c r="R24" s="70">
        <f>IF('Final Calculation Sheet'!$R$32="","",'Final Calculation Sheet'!$R$32)</f>
        <v/>
      </c>
      <c r="S24" s="1208">
        <f>IF('Final Calculation Sheet'!$R$33="","",'Final Calculation Sheet'!$R$33)</f>
        <v/>
      </c>
      <c r="T24" s="70">
        <f>IF('Final Calculation Sheet'!$R$37="","",'Final Calculation Sheet'!$R$37)</f>
        <v/>
      </c>
      <c r="U24" s="1208">
        <f>IF('Final Calculation Sheet'!$R$21="","",'Final Calculation Sheet'!$R$21)</f>
        <v/>
      </c>
      <c r="V24" s="70">
        <f>IF('Final Calculation Sheet'!$R$8="","",'Final Calculation Sheet'!$R$8)</f>
        <v/>
      </c>
      <c r="W24" s="1208">
        <f>IF('Final Calculation Sheet'!$R$20="","",'Final Calculation Sheet'!$R$20)</f>
        <v/>
      </c>
      <c r="X24" s="70">
        <f>IF('Final Calculation Sheet'!$R$39="","",'Final Calculation Sheet'!$R$39)</f>
        <v/>
      </c>
      <c r="Y24" s="1208">
        <f>IF('Final Calculation Sheet'!$R$40="","",'Final Calculation Sheet'!$R$40)</f>
        <v/>
      </c>
      <c r="Z24" s="70">
        <f>IF('Final Calculation Sheet'!$R$31="","",'Final Calculation Sheet'!$R$31)</f>
        <v/>
      </c>
      <c r="AA24" s="1208">
        <f>IF('Final Calculation Sheet'!$R$9="","",'Final Calculation Sheet'!$R$9)</f>
        <v/>
      </c>
      <c r="AB24" s="70">
        <f>IF('Final Calculation Sheet'!$R$14="","",'Final Calculation Sheet'!$R$14)</f>
        <v/>
      </c>
      <c r="AC24" s="1208">
        <f>IF('Final Calculation Sheet'!$R$13="","",'Final Calculation Sheet'!$R$13)</f>
        <v/>
      </c>
      <c r="AD24" s="70">
        <f>IF('Final Calculation Sheet'!$R$16="","",'Final Calculation Sheet'!$R$16)</f>
        <v/>
      </c>
      <c r="AE24" s="1208">
        <f>IF('Final Calculation Sheet'!$R$17="","",'Final Calculation Sheet'!$R$17)</f>
        <v/>
      </c>
      <c r="AF24" s="70">
        <f>IF('Final Calculation Sheet'!$R$23="","",'Final Calculation Sheet'!$R$23)</f>
        <v/>
      </c>
      <c r="AG24" s="1208">
        <f>IF('Final Calculation Sheet'!$R$29="","",'Final Calculation Sheet'!$R$29)</f>
        <v/>
      </c>
      <c r="AH24" s="70">
        <f>IF('Final Calculation Sheet'!$R$34="","",'Final Calculation Sheet'!$R$34)</f>
        <v/>
      </c>
      <c r="AI24" s="1208">
        <f>IF('Final Calculation Sheet'!$R$36="","",'Final Calculation Sheet'!$R$36)</f>
        <v/>
      </c>
      <c r="AJ24" s="70">
        <f>IF('Final Calculation Sheet'!$R$25="","",'Final Calculation Sheet'!$R$25)</f>
        <v/>
      </c>
      <c r="AK24" s="1208">
        <f>IF('Final Calculation Sheet'!$R$28="","",'Final Calculation Sheet'!$R$28)</f>
        <v/>
      </c>
      <c r="AL24" s="70">
        <f>IF('Final Calculation Sheet'!$R$35="","",'Final Calculation Sheet'!$R$35)</f>
        <v/>
      </c>
      <c r="AM24" s="682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1208">
        <f>IF('Final Calculation Sheet'!$S$6="","",'Final Calculation Sheet'!$S$6)</f>
        <v/>
      </c>
      <c r="D25" s="70">
        <f>IF('Final Calculation Sheet'!$S$7="","",'Final Calculation Sheet'!$S$7)</f>
        <v/>
      </c>
      <c r="E25" s="1208">
        <f>IF('Final Calculation Sheet'!$S$15="","",'Final Calculation Sheet'!$S$15)</f>
        <v/>
      </c>
      <c r="F25" s="70">
        <f>IF('Final Calculation Sheet'!$S$38="","",'Final Calculation Sheet'!$S$38)</f>
        <v/>
      </c>
      <c r="G25" s="1208">
        <f>IF('Final Calculation Sheet'!$S$27="","",'Final Calculation Sheet'!$S$27)</f>
        <v/>
      </c>
      <c r="H25" s="70">
        <f>IF('Final Calculation Sheet'!$S$5="","",'Final Calculation Sheet'!$S$5)</f>
        <v/>
      </c>
      <c r="I25" s="1208">
        <f>IF('Final Calculation Sheet'!$S$10="","",'Final Calculation Sheet'!$S$10)</f>
        <v/>
      </c>
      <c r="J25" s="70">
        <f>IF('Final Calculation Sheet'!$S$11="","",'Final Calculation Sheet'!$S$11)</f>
        <v/>
      </c>
      <c r="K25" s="1208">
        <f>IF('Final Calculation Sheet'!$S$12="","",'Final Calculation Sheet'!$S$12)</f>
        <v/>
      </c>
      <c r="L25" s="70">
        <f>IF('Final Calculation Sheet'!$S$18="","",'Final Calculation Sheet'!$S$18)</f>
        <v/>
      </c>
      <c r="M25" s="1208">
        <f>IF('Final Calculation Sheet'!$S$19="","",'Final Calculation Sheet'!$S$19)</f>
        <v/>
      </c>
      <c r="N25" s="70">
        <f>IF('Final Calculation Sheet'!$S$22="","",'Final Calculation Sheet'!$S$22)</f>
        <v/>
      </c>
      <c r="O25" s="1208">
        <f>IF('Final Calculation Sheet'!$S$24="","",'Final Calculation Sheet'!$S$24)</f>
        <v/>
      </c>
      <c r="P25" s="70">
        <f>IF('Final Calculation Sheet'!$S$26="","",'Final Calculation Sheet'!$S$26)</f>
        <v/>
      </c>
      <c r="Q25" s="1208">
        <f>IF('Final Calculation Sheet'!$S$30="","",'Final Calculation Sheet'!$S$30)</f>
        <v/>
      </c>
      <c r="R25" s="70">
        <f>IF('Final Calculation Sheet'!$S$32="","",'Final Calculation Sheet'!$S$32)</f>
        <v/>
      </c>
      <c r="S25" s="1208">
        <f>IF('Final Calculation Sheet'!$S$33="","",'Final Calculation Sheet'!$S$33)</f>
        <v/>
      </c>
      <c r="T25" s="70">
        <f>IF('Final Calculation Sheet'!$S$37="","",'Final Calculation Sheet'!$S$37)</f>
        <v/>
      </c>
      <c r="U25" s="1208">
        <f>IF('Final Calculation Sheet'!$S$21="","",'Final Calculation Sheet'!$S$21)</f>
        <v/>
      </c>
      <c r="V25" s="70">
        <f>IF('Final Calculation Sheet'!$S$8="","",'Final Calculation Sheet'!$S$8)</f>
        <v/>
      </c>
      <c r="W25" s="1208">
        <f>IF('Final Calculation Sheet'!$S$20="","",'Final Calculation Sheet'!$S$20)</f>
        <v/>
      </c>
      <c r="X25" s="70">
        <f>IF('Final Calculation Sheet'!$S$39="","",'Final Calculation Sheet'!$S$39)</f>
        <v/>
      </c>
      <c r="Y25" s="1208">
        <f>IF('Final Calculation Sheet'!$S$40="","",'Final Calculation Sheet'!$S$40)</f>
        <v/>
      </c>
      <c r="Z25" s="70">
        <f>IF('Final Calculation Sheet'!$S$31="","",'Final Calculation Sheet'!$S$31)</f>
        <v/>
      </c>
      <c r="AA25" s="1208">
        <f>IF('Final Calculation Sheet'!$S$9="","",'Final Calculation Sheet'!$S$9)</f>
        <v/>
      </c>
      <c r="AB25" s="70">
        <f>IF('Final Calculation Sheet'!$S$14="","",'Final Calculation Sheet'!$S$14)</f>
        <v/>
      </c>
      <c r="AC25" s="1208">
        <f>IF('Final Calculation Sheet'!$S$13="","",'Final Calculation Sheet'!$S$13)</f>
        <v/>
      </c>
      <c r="AD25" s="70">
        <f>IF('Final Calculation Sheet'!$S$16="","",'Final Calculation Sheet'!$S$16)</f>
        <v/>
      </c>
      <c r="AE25" s="1208">
        <f>IF('Final Calculation Sheet'!$S$17="","",'Final Calculation Sheet'!$S$17)</f>
        <v/>
      </c>
      <c r="AF25" s="70">
        <f>IF('Final Calculation Sheet'!$S$23="","",'Final Calculation Sheet'!$S$23)</f>
        <v/>
      </c>
      <c r="AG25" s="1208">
        <f>IF('Final Calculation Sheet'!$S$29="","",'Final Calculation Sheet'!$S$29)</f>
        <v/>
      </c>
      <c r="AH25" s="70">
        <f>IF('Final Calculation Sheet'!$S$34="","",'Final Calculation Sheet'!$S$34)</f>
        <v/>
      </c>
      <c r="AI25" s="1208">
        <f>IF('Final Calculation Sheet'!$S$36="","",'Final Calculation Sheet'!$S$36)</f>
        <v/>
      </c>
      <c r="AJ25" s="70">
        <f>IF('Final Calculation Sheet'!$S$25="","",'Final Calculation Sheet'!$S$25)</f>
        <v/>
      </c>
      <c r="AK25" s="1208">
        <f>IF('Final Calculation Sheet'!$S$28="","",'Final Calculation Sheet'!$S$28)</f>
        <v/>
      </c>
      <c r="AL25" s="70">
        <f>IF('Final Calculation Sheet'!$S$35="","",'Final Calculation Sheet'!$S$35)</f>
        <v/>
      </c>
      <c r="AM25" s="682">
        <f>SUM(B25:AL25)</f>
        <v/>
      </c>
    </row>
    <row r="26" ht="17" customHeight="1">
      <c r="A26" s="798" t="inlineStr">
        <is>
          <t xml:space="preserve">  ▸ SECURITY DEPOSIT</t>
        </is>
      </c>
      <c r="B26" s="695" t="n"/>
      <c r="C26" s="695" t="n"/>
      <c r="D26" s="695" t="n"/>
      <c r="E26" s="695" t="n"/>
      <c r="F26" s="695" t="n"/>
      <c r="G26" s="695" t="n"/>
      <c r="H26" s="695" t="n"/>
      <c r="I26" s="695" t="n"/>
      <c r="J26" s="695" t="n"/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5" t="n"/>
      <c r="AB26" s="695" t="n"/>
      <c r="AC26" s="695" t="n"/>
      <c r="AD26" s="695" t="n"/>
      <c r="AE26" s="695" t="n"/>
      <c r="AF26" s="695" t="n"/>
      <c r="AG26" s="695" t="n"/>
      <c r="AH26" s="695" t="n"/>
      <c r="AI26" s="695" t="n"/>
      <c r="AJ26" s="695" t="n"/>
      <c r="AK26" s="695" t="n"/>
      <c r="AL26" s="695" t="n"/>
      <c r="AM26" s="695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1208">
        <f>IF('Final Calculation Sheet'!$T$6="","",'Final Calculation Sheet'!$T$6)</f>
        <v/>
      </c>
      <c r="D27" s="70">
        <f>IF('Final Calculation Sheet'!$T$7="","",'Final Calculation Sheet'!$T$7)</f>
        <v/>
      </c>
      <c r="E27" s="1208">
        <f>IF('Final Calculation Sheet'!$T$15="","",'Final Calculation Sheet'!$T$15)</f>
        <v/>
      </c>
      <c r="F27" s="70">
        <f>IF('Final Calculation Sheet'!$T$38="","",'Final Calculation Sheet'!$T$38)</f>
        <v/>
      </c>
      <c r="G27" s="1208">
        <f>IF('Final Calculation Sheet'!$T$27="","",'Final Calculation Sheet'!$T$27)</f>
        <v/>
      </c>
      <c r="H27" s="70">
        <f>IF('Final Calculation Sheet'!$T$5="","",'Final Calculation Sheet'!$T$5)</f>
        <v/>
      </c>
      <c r="I27" s="1208">
        <f>IF('Final Calculation Sheet'!$T$10="","",'Final Calculation Sheet'!$T$10)</f>
        <v/>
      </c>
      <c r="J27" s="70">
        <f>IF('Final Calculation Sheet'!$T$11="","",'Final Calculation Sheet'!$T$11)</f>
        <v/>
      </c>
      <c r="K27" s="1208">
        <f>IF('Final Calculation Sheet'!$T$12="","",'Final Calculation Sheet'!$T$12)</f>
        <v/>
      </c>
      <c r="L27" s="70">
        <f>IF('Final Calculation Sheet'!$T$18="","",'Final Calculation Sheet'!$T$18)</f>
        <v/>
      </c>
      <c r="M27" s="1208">
        <f>IF('Final Calculation Sheet'!$T$19="","",'Final Calculation Sheet'!$T$19)</f>
        <v/>
      </c>
      <c r="N27" s="70">
        <f>IF('Final Calculation Sheet'!$T$22="","",'Final Calculation Sheet'!$T$22)</f>
        <v/>
      </c>
      <c r="O27" s="1208">
        <f>IF('Final Calculation Sheet'!$T$24="","",'Final Calculation Sheet'!$T$24)</f>
        <v/>
      </c>
      <c r="P27" s="70">
        <f>IF('Final Calculation Sheet'!$T$26="","",'Final Calculation Sheet'!$T$26)</f>
        <v/>
      </c>
      <c r="Q27" s="1208">
        <f>IF('Final Calculation Sheet'!$T$30="","",'Final Calculation Sheet'!$T$30)</f>
        <v/>
      </c>
      <c r="R27" s="70">
        <f>IF('Final Calculation Sheet'!$T$32="","",'Final Calculation Sheet'!$T$32)</f>
        <v/>
      </c>
      <c r="S27" s="1208">
        <f>IF('Final Calculation Sheet'!$T$33="","",'Final Calculation Sheet'!$T$33)</f>
        <v/>
      </c>
      <c r="T27" s="70">
        <f>IF('Final Calculation Sheet'!$T$37="","",'Final Calculation Sheet'!$T$37)</f>
        <v/>
      </c>
      <c r="U27" s="1208">
        <f>IF('Final Calculation Sheet'!$T$21="","",'Final Calculation Sheet'!$T$21)</f>
        <v/>
      </c>
      <c r="V27" s="70">
        <f>IF('Final Calculation Sheet'!$T$8="","",'Final Calculation Sheet'!$T$8)</f>
        <v/>
      </c>
      <c r="W27" s="1208">
        <f>IF('Final Calculation Sheet'!$T$20="","",'Final Calculation Sheet'!$T$20)</f>
        <v/>
      </c>
      <c r="X27" s="70">
        <f>IF('Final Calculation Sheet'!$T$39="","",'Final Calculation Sheet'!$T$39)</f>
        <v/>
      </c>
      <c r="Y27" s="1208">
        <f>IF('Final Calculation Sheet'!$T$40="","",'Final Calculation Sheet'!$T$40)</f>
        <v/>
      </c>
      <c r="Z27" s="70">
        <f>IF('Final Calculation Sheet'!$T$31="","",'Final Calculation Sheet'!$T$31)</f>
        <v/>
      </c>
      <c r="AA27" s="1208">
        <f>IF('Final Calculation Sheet'!$T$9="","",'Final Calculation Sheet'!$T$9)</f>
        <v/>
      </c>
      <c r="AB27" s="70">
        <f>IF('Final Calculation Sheet'!$T$14="","",'Final Calculation Sheet'!$T$14)</f>
        <v/>
      </c>
      <c r="AC27" s="1208">
        <f>IF('Final Calculation Sheet'!$T$13="","",'Final Calculation Sheet'!$T$13)</f>
        <v/>
      </c>
      <c r="AD27" s="70">
        <f>IF('Final Calculation Sheet'!$T$16="","",'Final Calculation Sheet'!$T$16)</f>
        <v/>
      </c>
      <c r="AE27" s="1208">
        <f>IF('Final Calculation Sheet'!$T$17="","",'Final Calculation Sheet'!$T$17)</f>
        <v/>
      </c>
      <c r="AF27" s="70">
        <f>IF('Final Calculation Sheet'!$T$23="","",'Final Calculation Sheet'!$T$23)</f>
        <v/>
      </c>
      <c r="AG27" s="1208">
        <f>IF('Final Calculation Sheet'!$T$29="","",'Final Calculation Sheet'!$T$29)</f>
        <v/>
      </c>
      <c r="AH27" s="70">
        <f>IF('Final Calculation Sheet'!$T$34="","",'Final Calculation Sheet'!$T$34)</f>
        <v/>
      </c>
      <c r="AI27" s="1208">
        <f>IF('Final Calculation Sheet'!$T$36="","",'Final Calculation Sheet'!$T$36)</f>
        <v/>
      </c>
      <c r="AJ27" s="70">
        <f>IF('Final Calculation Sheet'!$T$25="","",'Final Calculation Sheet'!$T$25)</f>
        <v/>
      </c>
      <c r="AK27" s="1208">
        <f>IF('Final Calculation Sheet'!$T$28="","",'Final Calculation Sheet'!$T$28)</f>
        <v/>
      </c>
      <c r="AL27" s="70">
        <f>IF('Final Calculation Sheet'!$T$35="","",'Final Calculation Sheet'!$T$35)</f>
        <v/>
      </c>
      <c r="AM27" s="682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1208">
        <f>IF('Final Calculation Sheet'!$U$6="","",'Final Calculation Sheet'!$U$6)</f>
        <v/>
      </c>
      <c r="D28" s="70">
        <f>IF('Final Calculation Sheet'!$U$7="","",'Final Calculation Sheet'!$U$7)</f>
        <v/>
      </c>
      <c r="E28" s="1208">
        <f>IF('Final Calculation Sheet'!$U$15="","",'Final Calculation Sheet'!$U$15)</f>
        <v/>
      </c>
      <c r="F28" s="70">
        <f>IF('Final Calculation Sheet'!$U$38="","",'Final Calculation Sheet'!$U$38)</f>
        <v/>
      </c>
      <c r="G28" s="1208">
        <f>IF('Final Calculation Sheet'!$U$27="","",'Final Calculation Sheet'!$U$27)</f>
        <v/>
      </c>
      <c r="H28" s="70">
        <f>IF('Final Calculation Sheet'!$U$5="","",'Final Calculation Sheet'!$U$5)</f>
        <v/>
      </c>
      <c r="I28" s="1208">
        <f>IF('Final Calculation Sheet'!$U$10="","",'Final Calculation Sheet'!$U$10)</f>
        <v/>
      </c>
      <c r="J28" s="70">
        <f>IF('Final Calculation Sheet'!$U$11="","",'Final Calculation Sheet'!$U$11)</f>
        <v/>
      </c>
      <c r="K28" s="1208">
        <f>IF('Final Calculation Sheet'!$U$12="","",'Final Calculation Sheet'!$U$12)</f>
        <v/>
      </c>
      <c r="L28" s="70">
        <f>IF('Final Calculation Sheet'!$U$18="","",'Final Calculation Sheet'!$U$18)</f>
        <v/>
      </c>
      <c r="M28" s="1208">
        <f>IF('Final Calculation Sheet'!$U$19="","",'Final Calculation Sheet'!$U$19)</f>
        <v/>
      </c>
      <c r="N28" s="70">
        <f>IF('Final Calculation Sheet'!$U$22="","",'Final Calculation Sheet'!$U$22)</f>
        <v/>
      </c>
      <c r="O28" s="1208">
        <f>IF('Final Calculation Sheet'!$U$24="","",'Final Calculation Sheet'!$U$24)</f>
        <v/>
      </c>
      <c r="P28" s="70">
        <f>IF('Final Calculation Sheet'!$U$26="","",'Final Calculation Sheet'!$U$26)</f>
        <v/>
      </c>
      <c r="Q28" s="1208">
        <f>IF('Final Calculation Sheet'!$U$30="","",'Final Calculation Sheet'!$U$30)</f>
        <v/>
      </c>
      <c r="R28" s="70">
        <f>IF('Final Calculation Sheet'!$U$32="","",'Final Calculation Sheet'!$U$32)</f>
        <v/>
      </c>
      <c r="S28" s="1208">
        <f>IF('Final Calculation Sheet'!$U$33="","",'Final Calculation Sheet'!$U$33)</f>
        <v/>
      </c>
      <c r="T28" s="70">
        <f>IF('Final Calculation Sheet'!$U$37="","",'Final Calculation Sheet'!$U$37)</f>
        <v/>
      </c>
      <c r="U28" s="1208">
        <f>IF('Final Calculation Sheet'!$U$21="","",'Final Calculation Sheet'!$U$21)</f>
        <v/>
      </c>
      <c r="V28" s="70">
        <f>IF('Final Calculation Sheet'!$U$8="","",'Final Calculation Sheet'!$U$8)</f>
        <v/>
      </c>
      <c r="W28" s="1208">
        <f>IF('Final Calculation Sheet'!$U$20="","",'Final Calculation Sheet'!$U$20)</f>
        <v/>
      </c>
      <c r="X28" s="70">
        <f>IF('Final Calculation Sheet'!$U$39="","",'Final Calculation Sheet'!$U$39)</f>
        <v/>
      </c>
      <c r="Y28" s="1208">
        <f>IF('Final Calculation Sheet'!$U$40="","",'Final Calculation Sheet'!$U$40)</f>
        <v/>
      </c>
      <c r="Z28" s="70">
        <f>IF('Final Calculation Sheet'!$U$31="","",'Final Calculation Sheet'!$U$31)</f>
        <v/>
      </c>
      <c r="AA28" s="1208">
        <f>IF('Final Calculation Sheet'!$U$9="","",'Final Calculation Sheet'!$U$9)</f>
        <v/>
      </c>
      <c r="AB28" s="70">
        <f>IF('Final Calculation Sheet'!$U$14="","",'Final Calculation Sheet'!$U$14)</f>
        <v/>
      </c>
      <c r="AC28" s="1208">
        <f>IF('Final Calculation Sheet'!$U$13="","",'Final Calculation Sheet'!$U$13)</f>
        <v/>
      </c>
      <c r="AD28" s="70">
        <f>IF('Final Calculation Sheet'!$U$16="","",'Final Calculation Sheet'!$U$16)</f>
        <v/>
      </c>
      <c r="AE28" s="1208">
        <f>IF('Final Calculation Sheet'!$U$17="","",'Final Calculation Sheet'!$U$17)</f>
        <v/>
      </c>
      <c r="AF28" s="70">
        <f>IF('Final Calculation Sheet'!$U$23="","",'Final Calculation Sheet'!$U$23)</f>
        <v/>
      </c>
      <c r="AG28" s="1208">
        <f>IF('Final Calculation Sheet'!$U$29="","",'Final Calculation Sheet'!$U$29)</f>
        <v/>
      </c>
      <c r="AH28" s="70">
        <f>IF('Final Calculation Sheet'!$U$34="","",'Final Calculation Sheet'!$U$34)</f>
        <v/>
      </c>
      <c r="AI28" s="1208">
        <f>IF('Final Calculation Sheet'!$U$36="","",'Final Calculation Sheet'!$U$36)</f>
        <v/>
      </c>
      <c r="AJ28" s="70">
        <f>IF('Final Calculation Sheet'!$U$25="","",'Final Calculation Sheet'!$U$25)</f>
        <v/>
      </c>
      <c r="AK28" s="1208">
        <f>IF('Final Calculation Sheet'!$U$28="","",'Final Calculation Sheet'!$U$28)</f>
        <v/>
      </c>
      <c r="AL28" s="70">
        <f>IF('Final Calculation Sheet'!$U$35="","",'Final Calculation Sheet'!$U$35)</f>
        <v/>
      </c>
      <c r="AM28" s="682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1211">
        <f>IF('Final Calculation Sheet'!$V$6="","",'Final Calculation Sheet'!$V$6)</f>
        <v/>
      </c>
      <c r="D29" s="76">
        <f>IF('Final Calculation Sheet'!$V$7="","",'Final Calculation Sheet'!$V$7)</f>
        <v/>
      </c>
      <c r="E29" s="1211">
        <f>IF('Final Calculation Sheet'!$V$15="","",'Final Calculation Sheet'!$V$15)</f>
        <v/>
      </c>
      <c r="F29" s="76">
        <f>IF('Final Calculation Sheet'!$V$38="","",'Final Calculation Sheet'!$V$38)</f>
        <v/>
      </c>
      <c r="G29" s="1211">
        <f>IF('Final Calculation Sheet'!$V$27="","",'Final Calculation Sheet'!$V$27)</f>
        <v/>
      </c>
      <c r="H29" s="76">
        <f>IF('Final Calculation Sheet'!$V$5="","",'Final Calculation Sheet'!$V$5)</f>
        <v/>
      </c>
      <c r="I29" s="1211">
        <f>IF('Final Calculation Sheet'!$V$10="","",'Final Calculation Sheet'!$V$10)</f>
        <v/>
      </c>
      <c r="J29" s="76">
        <f>IF('Final Calculation Sheet'!$V$11="","",'Final Calculation Sheet'!$V$11)</f>
        <v/>
      </c>
      <c r="K29" s="1211">
        <f>IF('Final Calculation Sheet'!$V$12="","",'Final Calculation Sheet'!$V$12)</f>
        <v/>
      </c>
      <c r="L29" s="76">
        <f>IF('Final Calculation Sheet'!$V$18="","",'Final Calculation Sheet'!$V$18)</f>
        <v/>
      </c>
      <c r="M29" s="1211">
        <f>IF('Final Calculation Sheet'!$V$19="","",'Final Calculation Sheet'!$V$19)</f>
        <v/>
      </c>
      <c r="N29" s="76">
        <f>IF('Final Calculation Sheet'!$V$22="","",'Final Calculation Sheet'!$V$22)</f>
        <v/>
      </c>
      <c r="O29" s="1211">
        <f>IF('Final Calculation Sheet'!$V$24="","",'Final Calculation Sheet'!$V$24)</f>
        <v/>
      </c>
      <c r="P29" s="76">
        <f>IF('Final Calculation Sheet'!$V$26="","",'Final Calculation Sheet'!$V$26)</f>
        <v/>
      </c>
      <c r="Q29" s="1211">
        <f>IF('Final Calculation Sheet'!$V$30="","",'Final Calculation Sheet'!$V$30)</f>
        <v/>
      </c>
      <c r="R29" s="76">
        <f>IF('Final Calculation Sheet'!$V$32="","",'Final Calculation Sheet'!$V$32)</f>
        <v/>
      </c>
      <c r="S29" s="1211">
        <f>IF('Final Calculation Sheet'!$V$33="","",'Final Calculation Sheet'!$V$33)</f>
        <v/>
      </c>
      <c r="T29" s="76">
        <f>IF('Final Calculation Sheet'!$V$37="","",'Final Calculation Sheet'!$V$37)</f>
        <v/>
      </c>
      <c r="U29" s="1211">
        <f>IF('Final Calculation Sheet'!$V$21="","",'Final Calculation Sheet'!$V$21)</f>
        <v/>
      </c>
      <c r="V29" s="76">
        <f>IF('Final Calculation Sheet'!$V$8="","",'Final Calculation Sheet'!$V$8)</f>
        <v/>
      </c>
      <c r="W29" s="1211">
        <f>IF('Final Calculation Sheet'!$V$20="","",'Final Calculation Sheet'!$V$20)</f>
        <v/>
      </c>
      <c r="X29" s="76">
        <f>IF('Final Calculation Sheet'!$V$39="","",'Final Calculation Sheet'!$V$39)</f>
        <v/>
      </c>
      <c r="Y29" s="1211">
        <f>IF('Final Calculation Sheet'!$V$40="","",'Final Calculation Sheet'!$V$40)</f>
        <v/>
      </c>
      <c r="Z29" s="76">
        <f>IF('Final Calculation Sheet'!$V$31="","",'Final Calculation Sheet'!$V$31)</f>
        <v/>
      </c>
      <c r="AA29" s="1211">
        <f>IF('Final Calculation Sheet'!$V$9="","",'Final Calculation Sheet'!$V$9)</f>
        <v/>
      </c>
      <c r="AB29" s="76">
        <f>IF('Final Calculation Sheet'!$V$14="","",'Final Calculation Sheet'!$V$14)</f>
        <v/>
      </c>
      <c r="AC29" s="1211">
        <f>IF('Final Calculation Sheet'!$V$13="","",'Final Calculation Sheet'!$V$13)</f>
        <v/>
      </c>
      <c r="AD29" s="76">
        <f>IF('Final Calculation Sheet'!$V$16="","",'Final Calculation Sheet'!$V$16)</f>
        <v/>
      </c>
      <c r="AE29" s="1211">
        <f>IF('Final Calculation Sheet'!$V$17="","",'Final Calculation Sheet'!$V$17)</f>
        <v/>
      </c>
      <c r="AF29" s="76">
        <f>IF('Final Calculation Sheet'!$V$23="","",'Final Calculation Sheet'!$V$23)</f>
        <v/>
      </c>
      <c r="AG29" s="1211">
        <f>IF('Final Calculation Sheet'!$V$29="","",'Final Calculation Sheet'!$V$29)</f>
        <v/>
      </c>
      <c r="AH29" s="76">
        <f>IF('Final Calculation Sheet'!$V$34="","",'Final Calculation Sheet'!$V$34)</f>
        <v/>
      </c>
      <c r="AI29" s="1211">
        <f>IF('Final Calculation Sheet'!$V$36="","",'Final Calculation Sheet'!$V$36)</f>
        <v/>
      </c>
      <c r="AJ29" s="76">
        <f>IF('Final Calculation Sheet'!$V$25="","",'Final Calculation Sheet'!$V$25)</f>
        <v/>
      </c>
      <c r="AK29" s="1211">
        <f>IF('Final Calculation Sheet'!$V$28="","",'Final Calculation Sheet'!$V$28)</f>
        <v/>
      </c>
      <c r="AL29" s="76">
        <f>IF('Final Calculation Sheet'!$V$35="","",'Final Calculation Sheet'!$V$35)</f>
        <v/>
      </c>
      <c r="AM29" s="948" t="inlineStr">
        <is>
          <t>–</t>
        </is>
      </c>
    </row>
    <row r="30" ht="17" customHeight="1">
      <c r="A30" s="817" t="inlineStr">
        <is>
          <t xml:space="preserve">  ▸ FINAL PAYMENT</t>
        </is>
      </c>
      <c r="B30" s="697" t="n"/>
      <c r="C30" s="697" t="n"/>
      <c r="D30" s="697" t="n"/>
      <c r="E30" s="697" t="n"/>
      <c r="F30" s="697" t="n"/>
      <c r="G30" s="697" t="n"/>
      <c r="H30" s="697" t="n"/>
      <c r="I30" s="697" t="n"/>
      <c r="J30" s="697" t="n"/>
      <c r="K30" s="697" t="n"/>
      <c r="L30" s="697" t="n"/>
      <c r="M30" s="697" t="n"/>
      <c r="N30" s="697" t="n"/>
      <c r="O30" s="697" t="n"/>
      <c r="P30" s="697" t="n"/>
      <c r="Q30" s="697" t="n"/>
      <c r="R30" s="697" t="n"/>
      <c r="S30" s="697" t="n"/>
      <c r="T30" s="697" t="n"/>
      <c r="U30" s="697" t="n"/>
      <c r="V30" s="697" t="n"/>
      <c r="W30" s="697" t="n"/>
      <c r="X30" s="697" t="n"/>
      <c r="Y30" s="697" t="n"/>
      <c r="Z30" s="697" t="n"/>
      <c r="AA30" s="697" t="n"/>
      <c r="AB30" s="697" t="n"/>
      <c r="AC30" s="697" t="n"/>
      <c r="AD30" s="697" t="n"/>
      <c r="AE30" s="697" t="n"/>
      <c r="AF30" s="697" t="n"/>
      <c r="AG30" s="697" t="n"/>
      <c r="AH30" s="697" t="n"/>
      <c r="AI30" s="697" t="n"/>
      <c r="AJ30" s="697" t="n"/>
      <c r="AK30" s="697" t="n"/>
      <c r="AL30" s="697" t="n"/>
      <c r="AM30" s="69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1208">
        <f>IF('Final Calculation Sheet'!$W$6="","",'Final Calculation Sheet'!$W$6)</f>
        <v/>
      </c>
      <c r="D31" s="70">
        <f>IF('Final Calculation Sheet'!$W$7="","",'Final Calculation Sheet'!$W$7)</f>
        <v/>
      </c>
      <c r="E31" s="1208">
        <f>IF('Final Calculation Sheet'!$W$15="","",'Final Calculation Sheet'!$W$15)</f>
        <v/>
      </c>
      <c r="F31" s="70">
        <f>IF('Final Calculation Sheet'!$W$38="","",'Final Calculation Sheet'!$W$38)</f>
        <v/>
      </c>
      <c r="G31" s="1208">
        <f>IF('Final Calculation Sheet'!$W$27="","",'Final Calculation Sheet'!$W$27)</f>
        <v/>
      </c>
      <c r="H31" s="70">
        <f>IF('Final Calculation Sheet'!$W$5="","",'Final Calculation Sheet'!$W$5)</f>
        <v/>
      </c>
      <c r="I31" s="1208">
        <f>IF('Final Calculation Sheet'!$W$10="","",'Final Calculation Sheet'!$W$10)</f>
        <v/>
      </c>
      <c r="J31" s="70">
        <f>IF('Final Calculation Sheet'!$W$11="","",'Final Calculation Sheet'!$W$11)</f>
        <v/>
      </c>
      <c r="K31" s="1208">
        <f>IF('Final Calculation Sheet'!$W$12="","",'Final Calculation Sheet'!$W$12)</f>
        <v/>
      </c>
      <c r="L31" s="70">
        <f>IF('Final Calculation Sheet'!$W$18="","",'Final Calculation Sheet'!$W$18)</f>
        <v/>
      </c>
      <c r="M31" s="1208">
        <f>IF('Final Calculation Sheet'!$W$19="","",'Final Calculation Sheet'!$W$19)</f>
        <v/>
      </c>
      <c r="N31" s="70">
        <f>IF('Final Calculation Sheet'!$W$22="","",'Final Calculation Sheet'!$W$22)</f>
        <v/>
      </c>
      <c r="O31" s="1208">
        <f>IF('Final Calculation Sheet'!$W$24="","",'Final Calculation Sheet'!$W$24)</f>
        <v/>
      </c>
      <c r="P31" s="70">
        <f>IF('Final Calculation Sheet'!$W$26="","",'Final Calculation Sheet'!$W$26)</f>
        <v/>
      </c>
      <c r="Q31" s="1208">
        <f>IF('Final Calculation Sheet'!$W$30="","",'Final Calculation Sheet'!$W$30)</f>
        <v/>
      </c>
      <c r="R31" s="70">
        <f>IF('Final Calculation Sheet'!$W$32="","",'Final Calculation Sheet'!$W$32)</f>
        <v/>
      </c>
      <c r="S31" s="1208">
        <f>IF('Final Calculation Sheet'!$W$33="","",'Final Calculation Sheet'!$W$33)</f>
        <v/>
      </c>
      <c r="T31" s="70">
        <f>IF('Final Calculation Sheet'!$W$37="","",'Final Calculation Sheet'!$W$37)</f>
        <v/>
      </c>
      <c r="U31" s="1208">
        <f>IF('Final Calculation Sheet'!$W$21="","",'Final Calculation Sheet'!$W$21)</f>
        <v/>
      </c>
      <c r="V31" s="70">
        <f>IF('Final Calculation Sheet'!$W$8="","",'Final Calculation Sheet'!$W$8)</f>
        <v/>
      </c>
      <c r="W31" s="1208">
        <f>IF('Final Calculation Sheet'!$W$20="","",'Final Calculation Sheet'!$W$20)</f>
        <v/>
      </c>
      <c r="X31" s="70">
        <f>IF('Final Calculation Sheet'!$W$39="","",'Final Calculation Sheet'!$W$39)</f>
        <v/>
      </c>
      <c r="Y31" s="1208">
        <f>IF('Final Calculation Sheet'!$W$40="","",'Final Calculation Sheet'!$W$40)</f>
        <v/>
      </c>
      <c r="Z31" s="70">
        <f>IF('Final Calculation Sheet'!$W$31="","",'Final Calculation Sheet'!$W$31)</f>
        <v/>
      </c>
      <c r="AA31" s="1208">
        <f>IF('Final Calculation Sheet'!$W$9="","",'Final Calculation Sheet'!$W$9)</f>
        <v/>
      </c>
      <c r="AB31" s="70">
        <f>IF('Final Calculation Sheet'!$W$14="","",'Final Calculation Sheet'!$W$14)</f>
        <v/>
      </c>
      <c r="AC31" s="1208">
        <f>IF('Final Calculation Sheet'!$W$13="","",'Final Calculation Sheet'!$W$13)</f>
        <v/>
      </c>
      <c r="AD31" s="70">
        <f>IF('Final Calculation Sheet'!$W$16="","",'Final Calculation Sheet'!$W$16)</f>
        <v/>
      </c>
      <c r="AE31" s="1208">
        <f>IF('Final Calculation Sheet'!$W$17="","",'Final Calculation Sheet'!$W$17)</f>
        <v/>
      </c>
      <c r="AF31" s="70">
        <f>IF('Final Calculation Sheet'!$W$23="","",'Final Calculation Sheet'!$W$23)</f>
        <v/>
      </c>
      <c r="AG31" s="1208">
        <f>IF('Final Calculation Sheet'!$W$29="","",'Final Calculation Sheet'!$W$29)</f>
        <v/>
      </c>
      <c r="AH31" s="70">
        <f>IF('Final Calculation Sheet'!$W$34="","",'Final Calculation Sheet'!$W$34)</f>
        <v/>
      </c>
      <c r="AI31" s="1208">
        <f>IF('Final Calculation Sheet'!$W$36="","",'Final Calculation Sheet'!$W$36)</f>
        <v/>
      </c>
      <c r="AJ31" s="70">
        <f>IF('Final Calculation Sheet'!$W$25="","",'Final Calculation Sheet'!$W$25)</f>
        <v/>
      </c>
      <c r="AK31" s="1208">
        <f>IF('Final Calculation Sheet'!$W$28="","",'Final Calculation Sheet'!$W$28)</f>
        <v/>
      </c>
      <c r="AL31" s="70">
        <f>IF('Final Calculation Sheet'!$W$35="","",'Final Calculation Sheet'!$W$35)</f>
        <v/>
      </c>
      <c r="AM31" s="682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1208">
        <f>IF('Final Calculation Sheet'!$X$6="","",'Final Calculation Sheet'!$X$6)</f>
        <v/>
      </c>
      <c r="D32" s="70">
        <f>IF('Final Calculation Sheet'!$X$7="","",'Final Calculation Sheet'!$X$7)</f>
        <v/>
      </c>
      <c r="E32" s="1208">
        <f>IF('Final Calculation Sheet'!$X$15="","",'Final Calculation Sheet'!$X$15)</f>
        <v/>
      </c>
      <c r="F32" s="70">
        <f>IF('Final Calculation Sheet'!$X$38="","",'Final Calculation Sheet'!$X$38)</f>
        <v/>
      </c>
      <c r="G32" s="1208">
        <f>IF('Final Calculation Sheet'!$X$27="","",'Final Calculation Sheet'!$X$27)</f>
        <v/>
      </c>
      <c r="H32" s="70">
        <f>IF('Final Calculation Sheet'!$X$5="","",'Final Calculation Sheet'!$X$5)</f>
        <v/>
      </c>
      <c r="I32" s="1208">
        <f>IF('Final Calculation Sheet'!$X$10="","",'Final Calculation Sheet'!$X$10)</f>
        <v/>
      </c>
      <c r="J32" s="70">
        <f>IF('Final Calculation Sheet'!$X$11="","",'Final Calculation Sheet'!$X$11)</f>
        <v/>
      </c>
      <c r="K32" s="1208">
        <f>IF('Final Calculation Sheet'!$X$12="","",'Final Calculation Sheet'!$X$12)</f>
        <v/>
      </c>
      <c r="L32" s="70">
        <f>IF('Final Calculation Sheet'!$X$18="","",'Final Calculation Sheet'!$X$18)</f>
        <v/>
      </c>
      <c r="M32" s="1208">
        <f>IF('Final Calculation Sheet'!$X$19="","",'Final Calculation Sheet'!$X$19)</f>
        <v/>
      </c>
      <c r="N32" s="70">
        <f>IF('Final Calculation Sheet'!$X$22="","",'Final Calculation Sheet'!$X$22)</f>
        <v/>
      </c>
      <c r="O32" s="1208">
        <f>IF('Final Calculation Sheet'!$X$24="","",'Final Calculation Sheet'!$X$24)</f>
        <v/>
      </c>
      <c r="P32" s="70">
        <f>IF('Final Calculation Sheet'!$X$26="","",'Final Calculation Sheet'!$X$26)</f>
        <v/>
      </c>
      <c r="Q32" s="1208">
        <f>IF('Final Calculation Sheet'!$X$30="","",'Final Calculation Sheet'!$X$30)</f>
        <v/>
      </c>
      <c r="R32" s="70">
        <f>IF('Final Calculation Sheet'!$X$32="","",'Final Calculation Sheet'!$X$32)</f>
        <v/>
      </c>
      <c r="S32" s="1208">
        <f>IF('Final Calculation Sheet'!$X$33="","",'Final Calculation Sheet'!$X$33)</f>
        <v/>
      </c>
      <c r="T32" s="70">
        <f>IF('Final Calculation Sheet'!$X$37="","",'Final Calculation Sheet'!$X$37)</f>
        <v/>
      </c>
      <c r="U32" s="1208">
        <f>IF('Final Calculation Sheet'!$X$21="","",'Final Calculation Sheet'!$X$21)</f>
        <v/>
      </c>
      <c r="V32" s="70">
        <f>IF('Final Calculation Sheet'!$X$8="","",'Final Calculation Sheet'!$X$8)</f>
        <v/>
      </c>
      <c r="W32" s="1208">
        <f>IF('Final Calculation Sheet'!$X$20="","",'Final Calculation Sheet'!$X$20)</f>
        <v/>
      </c>
      <c r="X32" s="70">
        <f>IF('Final Calculation Sheet'!$X$39="","",'Final Calculation Sheet'!$X$39)</f>
        <v/>
      </c>
      <c r="Y32" s="1208">
        <f>IF('Final Calculation Sheet'!$X$40="","",'Final Calculation Sheet'!$X$40)</f>
        <v/>
      </c>
      <c r="Z32" s="70">
        <f>IF('Final Calculation Sheet'!$X$31="","",'Final Calculation Sheet'!$X$31)</f>
        <v/>
      </c>
      <c r="AA32" s="1208">
        <f>IF('Final Calculation Sheet'!$X$9="","",'Final Calculation Sheet'!$X$9)</f>
        <v/>
      </c>
      <c r="AB32" s="70">
        <f>IF('Final Calculation Sheet'!$X$14="","",'Final Calculation Sheet'!$X$14)</f>
        <v/>
      </c>
      <c r="AC32" s="1208">
        <f>IF('Final Calculation Sheet'!$X$13="","",'Final Calculation Sheet'!$X$13)</f>
        <v/>
      </c>
      <c r="AD32" s="70">
        <f>IF('Final Calculation Sheet'!$X$16="","",'Final Calculation Sheet'!$X$16)</f>
        <v/>
      </c>
      <c r="AE32" s="1208">
        <f>IF('Final Calculation Sheet'!$X$17="","",'Final Calculation Sheet'!$X$17)</f>
        <v/>
      </c>
      <c r="AF32" s="70">
        <f>IF('Final Calculation Sheet'!$X$23="","",'Final Calculation Sheet'!$X$23)</f>
        <v/>
      </c>
      <c r="AG32" s="1208">
        <f>IF('Final Calculation Sheet'!$X$29="","",'Final Calculation Sheet'!$X$29)</f>
        <v/>
      </c>
      <c r="AH32" s="70">
        <f>IF('Final Calculation Sheet'!$X$34="","",'Final Calculation Sheet'!$X$34)</f>
        <v/>
      </c>
      <c r="AI32" s="1208">
        <f>IF('Final Calculation Sheet'!$X$36="","",'Final Calculation Sheet'!$X$36)</f>
        <v/>
      </c>
      <c r="AJ32" s="70">
        <f>IF('Final Calculation Sheet'!$X$25="","",'Final Calculation Sheet'!$X$25)</f>
        <v/>
      </c>
      <c r="AK32" s="1208">
        <f>IF('Final Calculation Sheet'!$X$28="","",'Final Calculation Sheet'!$X$28)</f>
        <v/>
      </c>
      <c r="AL32" s="70">
        <f>IF('Final Calculation Sheet'!$X$35="","",'Final Calculation Sheet'!$X$35)</f>
        <v/>
      </c>
      <c r="AM32" s="682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1211">
        <f>IF('Final Calculation Sheet'!$Y$6="","",'Final Calculation Sheet'!$Y$6)</f>
        <v/>
      </c>
      <c r="D33" s="76">
        <f>IF('Final Calculation Sheet'!$Y$7="","",'Final Calculation Sheet'!$Y$7)</f>
        <v/>
      </c>
      <c r="E33" s="1211">
        <f>IF('Final Calculation Sheet'!$Y$15="","",'Final Calculation Sheet'!$Y$15)</f>
        <v/>
      </c>
      <c r="F33" s="76">
        <f>IF('Final Calculation Sheet'!$Y$38="","",'Final Calculation Sheet'!$Y$38)</f>
        <v/>
      </c>
      <c r="G33" s="1211">
        <f>IF('Final Calculation Sheet'!$Y$27="","",'Final Calculation Sheet'!$Y$27)</f>
        <v/>
      </c>
      <c r="H33" s="76">
        <f>IF('Final Calculation Sheet'!$Y$5="","",'Final Calculation Sheet'!$Y$5)</f>
        <v/>
      </c>
      <c r="I33" s="1211">
        <f>IF('Final Calculation Sheet'!$Y$10="","",'Final Calculation Sheet'!$Y$10)</f>
        <v/>
      </c>
      <c r="J33" s="76">
        <f>IF('Final Calculation Sheet'!$Y$11="","",'Final Calculation Sheet'!$Y$11)</f>
        <v/>
      </c>
      <c r="K33" s="1211">
        <f>IF('Final Calculation Sheet'!$Y$12="","",'Final Calculation Sheet'!$Y$12)</f>
        <v/>
      </c>
      <c r="L33" s="76">
        <f>IF('Final Calculation Sheet'!$Y$18="","",'Final Calculation Sheet'!$Y$18)</f>
        <v/>
      </c>
      <c r="M33" s="1211">
        <f>IF('Final Calculation Sheet'!$Y$19="","",'Final Calculation Sheet'!$Y$19)</f>
        <v/>
      </c>
      <c r="N33" s="76">
        <f>IF('Final Calculation Sheet'!$Y$22="","",'Final Calculation Sheet'!$Y$22)</f>
        <v/>
      </c>
      <c r="O33" s="1211">
        <f>IF('Final Calculation Sheet'!$Y$24="","",'Final Calculation Sheet'!$Y$24)</f>
        <v/>
      </c>
      <c r="P33" s="76">
        <f>IF('Final Calculation Sheet'!$Y$26="","",'Final Calculation Sheet'!$Y$26)</f>
        <v/>
      </c>
      <c r="Q33" s="1211">
        <f>IF('Final Calculation Sheet'!$Y$30="","",'Final Calculation Sheet'!$Y$30)</f>
        <v/>
      </c>
      <c r="R33" s="76">
        <f>IF('Final Calculation Sheet'!$Y$32="","",'Final Calculation Sheet'!$Y$32)</f>
        <v/>
      </c>
      <c r="S33" s="1211">
        <f>IF('Final Calculation Sheet'!$Y$33="","",'Final Calculation Sheet'!$Y$33)</f>
        <v/>
      </c>
      <c r="T33" s="76">
        <f>IF('Final Calculation Sheet'!$Y$37="","",'Final Calculation Sheet'!$Y$37)</f>
        <v/>
      </c>
      <c r="U33" s="1211">
        <f>IF('Final Calculation Sheet'!$Y$21="","",'Final Calculation Sheet'!$Y$21)</f>
        <v/>
      </c>
      <c r="V33" s="76">
        <f>IF('Final Calculation Sheet'!$Y$8="","",'Final Calculation Sheet'!$Y$8)</f>
        <v/>
      </c>
      <c r="W33" s="1211">
        <f>IF('Final Calculation Sheet'!$Y$20="","",'Final Calculation Sheet'!$Y$20)</f>
        <v/>
      </c>
      <c r="X33" s="76">
        <f>IF('Final Calculation Sheet'!$Y$39="","",'Final Calculation Sheet'!$Y$39)</f>
        <v/>
      </c>
      <c r="Y33" s="1211">
        <f>IF('Final Calculation Sheet'!$Y$40="","",'Final Calculation Sheet'!$Y$40)</f>
        <v/>
      </c>
      <c r="Z33" s="76">
        <f>IF('Final Calculation Sheet'!$Y$31="","",'Final Calculation Sheet'!$Y$31)</f>
        <v/>
      </c>
      <c r="AA33" s="1211">
        <f>IF('Final Calculation Sheet'!$Y$9="","",'Final Calculation Sheet'!$Y$9)</f>
        <v/>
      </c>
      <c r="AB33" s="76">
        <f>IF('Final Calculation Sheet'!$Y$14="","",'Final Calculation Sheet'!$Y$14)</f>
        <v/>
      </c>
      <c r="AC33" s="1211">
        <f>IF('Final Calculation Sheet'!$Y$13="","",'Final Calculation Sheet'!$Y$13)</f>
        <v/>
      </c>
      <c r="AD33" s="76">
        <f>IF('Final Calculation Sheet'!$Y$16="","",'Final Calculation Sheet'!$Y$16)</f>
        <v/>
      </c>
      <c r="AE33" s="1211">
        <f>IF('Final Calculation Sheet'!$Y$17="","",'Final Calculation Sheet'!$Y$17)</f>
        <v/>
      </c>
      <c r="AF33" s="76">
        <f>IF('Final Calculation Sheet'!$Y$23="","",'Final Calculation Sheet'!$Y$23)</f>
        <v/>
      </c>
      <c r="AG33" s="1211">
        <f>IF('Final Calculation Sheet'!$Y$29="","",'Final Calculation Sheet'!$Y$29)</f>
        <v/>
      </c>
      <c r="AH33" s="76">
        <f>IF('Final Calculation Sheet'!$Y$34="","",'Final Calculation Sheet'!$Y$34)</f>
        <v/>
      </c>
      <c r="AI33" s="1211">
        <f>IF('Final Calculation Sheet'!$Y$36="","",'Final Calculation Sheet'!$Y$36)</f>
        <v/>
      </c>
      <c r="AJ33" s="76">
        <f>IF('Final Calculation Sheet'!$Y$25="","",'Final Calculation Sheet'!$Y$25)</f>
        <v/>
      </c>
      <c r="AK33" s="1211">
        <f>IF('Final Calculation Sheet'!$Y$28="","",'Final Calculation Sheet'!$Y$28)</f>
        <v/>
      </c>
      <c r="AL33" s="76">
        <f>IF('Final Calculation Sheet'!$Y$35="","",'Final Calculation Sheet'!$Y$35)</f>
        <v/>
      </c>
      <c r="AM33" s="948" t="inlineStr">
        <is>
          <t>–</t>
        </is>
      </c>
    </row>
    <row r="34" ht="17" customHeight="1">
      <c r="A34" s="818" t="inlineStr">
        <is>
          <t xml:space="preserve">  ▸ LPP</t>
        </is>
      </c>
      <c r="B34" s="819" t="n"/>
      <c r="C34" s="819" t="n"/>
      <c r="D34" s="819" t="n"/>
      <c r="E34" s="819" t="n"/>
      <c r="F34" s="819" t="n"/>
      <c r="G34" s="819" t="n"/>
      <c r="H34" s="819" t="n"/>
      <c r="I34" s="819" t="n"/>
      <c r="J34" s="819" t="n"/>
      <c r="K34" s="819" t="n"/>
      <c r="L34" s="819" t="n"/>
      <c r="M34" s="819" t="n"/>
      <c r="N34" s="819" t="n"/>
      <c r="O34" s="819" t="n"/>
      <c r="P34" s="819" t="n"/>
      <c r="Q34" s="819" t="n"/>
      <c r="R34" s="819" t="n"/>
      <c r="S34" s="819" t="n"/>
      <c r="T34" s="819" t="n"/>
      <c r="U34" s="819" t="n"/>
      <c r="V34" s="819" t="n"/>
      <c r="W34" s="819" t="n"/>
      <c r="X34" s="819" t="n"/>
      <c r="Y34" s="819" t="n"/>
      <c r="Z34" s="819" t="n"/>
      <c r="AA34" s="819" t="n"/>
      <c r="AB34" s="819" t="n"/>
      <c r="AC34" s="819" t="n"/>
      <c r="AD34" s="819" t="n"/>
      <c r="AE34" s="819" t="n"/>
      <c r="AF34" s="819" t="n"/>
      <c r="AG34" s="819" t="n"/>
      <c r="AH34" s="819" t="n"/>
      <c r="AI34" s="819" t="n"/>
      <c r="AJ34" s="819" t="n"/>
      <c r="AK34" s="819" t="n"/>
      <c r="AL34" s="819" t="n"/>
      <c r="AM34" s="819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1208">
        <f>IF('Final Calculation Sheet'!$Z$6="","",'Final Calculation Sheet'!$Z$6)</f>
        <v/>
      </c>
      <c r="D35" s="70">
        <f>IF('Final Calculation Sheet'!$Z$7="","",'Final Calculation Sheet'!$Z$7)</f>
        <v/>
      </c>
      <c r="E35" s="1208">
        <f>IF('Final Calculation Sheet'!$Z$15="","",'Final Calculation Sheet'!$Z$15)</f>
        <v/>
      </c>
      <c r="F35" s="70">
        <f>IF('Final Calculation Sheet'!$Z$38="","",'Final Calculation Sheet'!$Z$38)</f>
        <v/>
      </c>
      <c r="G35" s="1208">
        <f>IF('Final Calculation Sheet'!$Z$27="","",'Final Calculation Sheet'!$Z$27)</f>
        <v/>
      </c>
      <c r="H35" s="70">
        <f>IF('Final Calculation Sheet'!$Z$5="","",'Final Calculation Sheet'!$Z$5)</f>
        <v/>
      </c>
      <c r="I35" s="1208">
        <f>IF('Final Calculation Sheet'!$Z$10="","",'Final Calculation Sheet'!$Z$10)</f>
        <v/>
      </c>
      <c r="J35" s="70">
        <f>IF('Final Calculation Sheet'!$Z$11="","",'Final Calculation Sheet'!$Z$11)</f>
        <v/>
      </c>
      <c r="K35" s="1208">
        <f>IF('Final Calculation Sheet'!$Z$12="","",'Final Calculation Sheet'!$Z$12)</f>
        <v/>
      </c>
      <c r="L35" s="70">
        <f>IF('Final Calculation Sheet'!$Z$18="","",'Final Calculation Sheet'!$Z$18)</f>
        <v/>
      </c>
      <c r="M35" s="1208">
        <f>IF('Final Calculation Sheet'!$Z$19="","",'Final Calculation Sheet'!$Z$19)</f>
        <v/>
      </c>
      <c r="N35" s="70">
        <f>IF('Final Calculation Sheet'!$Z$22="","",'Final Calculation Sheet'!$Z$22)</f>
        <v/>
      </c>
      <c r="O35" s="1208">
        <f>IF('Final Calculation Sheet'!$Z$24="","",'Final Calculation Sheet'!$Z$24)</f>
        <v/>
      </c>
      <c r="P35" s="70">
        <f>IF('Final Calculation Sheet'!$Z$26="","",'Final Calculation Sheet'!$Z$26)</f>
        <v/>
      </c>
      <c r="Q35" s="1208">
        <f>IF('Final Calculation Sheet'!$Z$30="","",'Final Calculation Sheet'!$Z$30)</f>
        <v/>
      </c>
      <c r="R35" s="70">
        <f>IF('Final Calculation Sheet'!$Z$32="","",'Final Calculation Sheet'!$Z$32)</f>
        <v/>
      </c>
      <c r="S35" s="1208">
        <f>IF('Final Calculation Sheet'!$Z$33="","",'Final Calculation Sheet'!$Z$33)</f>
        <v/>
      </c>
      <c r="T35" s="70">
        <f>IF('Final Calculation Sheet'!$Z$37="","",'Final Calculation Sheet'!$Z$37)</f>
        <v/>
      </c>
      <c r="U35" s="1208">
        <f>IF('Final Calculation Sheet'!$Z$21="","",'Final Calculation Sheet'!$Z$21)</f>
        <v/>
      </c>
      <c r="V35" s="70">
        <f>IF('Final Calculation Sheet'!$Z$8="","",'Final Calculation Sheet'!$Z$8)</f>
        <v/>
      </c>
      <c r="W35" s="1208">
        <f>IF('Final Calculation Sheet'!$Z$20="","",'Final Calculation Sheet'!$Z$20)</f>
        <v/>
      </c>
      <c r="X35" s="70">
        <f>IF('Final Calculation Sheet'!$Z$39="","",'Final Calculation Sheet'!$Z$39)</f>
        <v/>
      </c>
      <c r="Y35" s="1208">
        <f>IF('Final Calculation Sheet'!$Z$40="","",'Final Calculation Sheet'!$Z$40)</f>
        <v/>
      </c>
      <c r="Z35" s="70">
        <f>IF('Final Calculation Sheet'!$Z$31="","",'Final Calculation Sheet'!$Z$31)</f>
        <v/>
      </c>
      <c r="AA35" s="1208">
        <f>IF('Final Calculation Sheet'!$Z$9="","",'Final Calculation Sheet'!$Z$9)</f>
        <v/>
      </c>
      <c r="AB35" s="70">
        <f>IF('Final Calculation Sheet'!$Z$14="","",'Final Calculation Sheet'!$Z$14)</f>
        <v/>
      </c>
      <c r="AC35" s="1208">
        <f>IF('Final Calculation Sheet'!$Z$13="","",'Final Calculation Sheet'!$Z$13)</f>
        <v/>
      </c>
      <c r="AD35" s="70">
        <f>IF('Final Calculation Sheet'!$Z$16="","",'Final Calculation Sheet'!$Z$16)</f>
        <v/>
      </c>
      <c r="AE35" s="1208">
        <f>IF('Final Calculation Sheet'!$Z$17="","",'Final Calculation Sheet'!$Z$17)</f>
        <v/>
      </c>
      <c r="AF35" s="70">
        <f>IF('Final Calculation Sheet'!$Z$23="","",'Final Calculation Sheet'!$Z$23)</f>
        <v/>
      </c>
      <c r="AG35" s="1208">
        <f>IF('Final Calculation Sheet'!$Z$29="","",'Final Calculation Sheet'!$Z$29)</f>
        <v/>
      </c>
      <c r="AH35" s="70">
        <f>IF('Final Calculation Sheet'!$Z$34="","",'Final Calculation Sheet'!$Z$34)</f>
        <v/>
      </c>
      <c r="AI35" s="1208">
        <f>IF('Final Calculation Sheet'!$Z$36="","",'Final Calculation Sheet'!$Z$36)</f>
        <v/>
      </c>
      <c r="AJ35" s="70">
        <f>IF('Final Calculation Sheet'!$Z$25="","",'Final Calculation Sheet'!$Z$25)</f>
        <v/>
      </c>
      <c r="AK35" s="1208">
        <f>IF('Final Calculation Sheet'!$Z$28="","",'Final Calculation Sheet'!$Z$28)</f>
        <v/>
      </c>
      <c r="AL35" s="70">
        <f>IF('Final Calculation Sheet'!$Z$35="","",'Final Calculation Sheet'!$Z$35)</f>
        <v/>
      </c>
      <c r="AM35" s="682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1208">
        <f>IF('Final Calculation Sheet'!$AA$6="","",'Final Calculation Sheet'!$AA$6)</f>
        <v/>
      </c>
      <c r="D36" s="70">
        <f>IF('Final Calculation Sheet'!$AA$7="","",'Final Calculation Sheet'!$AA$7)</f>
        <v/>
      </c>
      <c r="E36" s="12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1208">
        <f>IF('Final Calculation Sheet'!$AA$27="","",'Final Calculation Sheet'!$AA$27)</f>
        <v/>
      </c>
      <c r="H36" s="70">
        <f>IF('Final Calculation Sheet'!$AA$5="","",'Final Calculation Sheet'!$AA$5)</f>
        <v/>
      </c>
      <c r="I36" s="12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12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12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12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12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12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1208">
        <f>IF('Final Calculation Sheet'!$AA$21="","",'Final Calculation Sheet'!$AA$21)</f>
        <v/>
      </c>
      <c r="V36" s="70">
        <f>IF('Final Calculation Sheet'!$AA$8="","",'Final Calculation Sheet'!$AA$8)</f>
        <v/>
      </c>
      <c r="W36" s="12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12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12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12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12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12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12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12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682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1211">
        <f>IF('Final Calculation Sheet'!$AB$6="","",'Final Calculation Sheet'!$AB$6)</f>
        <v/>
      </c>
      <c r="D37" s="76">
        <f>IF('Final Calculation Sheet'!$AB$7="","",'Final Calculation Sheet'!$AB$7)</f>
        <v/>
      </c>
      <c r="E37" s="1211">
        <f>IF('Final Calculation Sheet'!$AB$15="","",'Final Calculation Sheet'!$AB$15)</f>
        <v/>
      </c>
      <c r="F37" s="76">
        <f>IF('Final Calculation Sheet'!$AB$38="","",'Final Calculation Sheet'!$AB$38)</f>
        <v/>
      </c>
      <c r="G37" s="1211">
        <f>IF('Final Calculation Sheet'!$AB$27="","",'Final Calculation Sheet'!$AB$27)</f>
        <v/>
      </c>
      <c r="H37" s="76">
        <f>IF('Final Calculation Sheet'!$AB$5="","",'Final Calculation Sheet'!$AB$5)</f>
        <v/>
      </c>
      <c r="I37" s="1211">
        <f>IF('Final Calculation Sheet'!$AB$10="","",'Final Calculation Sheet'!$AB$10)</f>
        <v/>
      </c>
      <c r="J37" s="76">
        <f>IF('Final Calculation Sheet'!$AB$11="","",'Final Calculation Sheet'!$AB$11)</f>
        <v/>
      </c>
      <c r="K37" s="1211">
        <f>IF('Final Calculation Sheet'!$AB$12="","",'Final Calculation Sheet'!$AB$12)</f>
        <v/>
      </c>
      <c r="L37" s="76">
        <f>IF('Final Calculation Sheet'!$AB$18="","",'Final Calculation Sheet'!$AB$18)</f>
        <v/>
      </c>
      <c r="M37" s="1211">
        <f>IF('Final Calculation Sheet'!$AB$19="","",'Final Calculation Sheet'!$AB$19)</f>
        <v/>
      </c>
      <c r="N37" s="76">
        <f>IF('Final Calculation Sheet'!$AB$22="","",'Final Calculation Sheet'!$AB$22)</f>
        <v/>
      </c>
      <c r="O37" s="1211">
        <f>IF('Final Calculation Sheet'!$AB$24="","",'Final Calculation Sheet'!$AB$24)</f>
        <v/>
      </c>
      <c r="P37" s="76">
        <f>IF('Final Calculation Sheet'!$AB$26="","",'Final Calculation Sheet'!$AB$26)</f>
        <v/>
      </c>
      <c r="Q37" s="1211">
        <f>IF('Final Calculation Sheet'!$AB$30="","",'Final Calculation Sheet'!$AB$30)</f>
        <v/>
      </c>
      <c r="R37" s="76">
        <f>IF('Final Calculation Sheet'!$AB$32="","",'Final Calculation Sheet'!$AB$32)</f>
        <v/>
      </c>
      <c r="S37" s="1211">
        <f>IF('Final Calculation Sheet'!$AB$33="","",'Final Calculation Sheet'!$AB$33)</f>
        <v/>
      </c>
      <c r="T37" s="76">
        <f>IF('Final Calculation Sheet'!$AB$37="","",'Final Calculation Sheet'!$AB$37)</f>
        <v/>
      </c>
      <c r="U37" s="1211">
        <f>IF('Final Calculation Sheet'!$AB$21="","",'Final Calculation Sheet'!$AB$21)</f>
        <v/>
      </c>
      <c r="V37" s="76">
        <f>IF('Final Calculation Sheet'!$AB$8="","",'Final Calculation Sheet'!$AB$8)</f>
        <v/>
      </c>
      <c r="W37" s="1211">
        <f>IF('Final Calculation Sheet'!$AB$20="","",'Final Calculation Sheet'!$AB$20)</f>
        <v/>
      </c>
      <c r="X37" s="76">
        <f>IF('Final Calculation Sheet'!$AB$39="","",'Final Calculation Sheet'!$AB$39)</f>
        <v/>
      </c>
      <c r="Y37" s="1211">
        <f>IF('Final Calculation Sheet'!$AB$40="","",'Final Calculation Sheet'!$AB$40)</f>
        <v/>
      </c>
      <c r="Z37" s="76">
        <f>IF('Final Calculation Sheet'!$AB$31="","",'Final Calculation Sheet'!$AB$31)</f>
        <v/>
      </c>
      <c r="AA37" s="1211">
        <f>IF('Final Calculation Sheet'!$AB$9="","",'Final Calculation Sheet'!$AB$9)</f>
        <v/>
      </c>
      <c r="AB37" s="76">
        <f>IF('Final Calculation Sheet'!$AB$14="","",'Final Calculation Sheet'!$AB$14)</f>
        <v/>
      </c>
      <c r="AC37" s="1211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1211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1211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1211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1211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948" t="inlineStr">
        <is>
          <t>–</t>
        </is>
      </c>
    </row>
    <row r="38" ht="17" customHeight="1">
      <c r="A38" s="820" t="inlineStr">
        <is>
          <t xml:space="preserve">  ▸ SUMMARY</t>
        </is>
      </c>
      <c r="B38" s="703" t="n"/>
      <c r="C38" s="703" t="n"/>
      <c r="D38" s="703" t="n"/>
      <c r="E38" s="703" t="n"/>
      <c r="F38" s="703" t="n"/>
      <c r="G38" s="703" t="n"/>
      <c r="H38" s="703" t="n"/>
      <c r="I38" s="703" t="n"/>
      <c r="J38" s="703" t="n"/>
      <c r="K38" s="703" t="n"/>
      <c r="L38" s="703" t="n"/>
      <c r="M38" s="703" t="n"/>
      <c r="N38" s="703" t="n"/>
      <c r="O38" s="703" t="n"/>
      <c r="P38" s="703" t="n"/>
      <c r="Q38" s="703" t="n"/>
      <c r="R38" s="703" t="n"/>
      <c r="S38" s="703" t="n"/>
      <c r="T38" s="703" t="n"/>
      <c r="U38" s="703" t="n"/>
      <c r="V38" s="703" t="n"/>
      <c r="W38" s="703" t="n"/>
      <c r="X38" s="703" t="n"/>
      <c r="Y38" s="703" t="n"/>
      <c r="Z38" s="703" t="n"/>
      <c r="AA38" s="703" t="n"/>
      <c r="AB38" s="703" t="n"/>
      <c r="AC38" s="703" t="n"/>
      <c r="AD38" s="703" t="n"/>
      <c r="AE38" s="703" t="n"/>
      <c r="AF38" s="703" t="n"/>
      <c r="AG38" s="703" t="n"/>
      <c r="AH38" s="703" t="n"/>
      <c r="AI38" s="703" t="n"/>
      <c r="AJ38" s="703" t="n"/>
      <c r="AK38" s="703" t="n"/>
      <c r="AL38" s="703" t="n"/>
      <c r="AM38" s="703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1208">
        <f>IF('Final Calculation Sheet'!$AC$6="","",'Final Calculation Sheet'!$AC$6)</f>
        <v/>
      </c>
      <c r="D39" s="70">
        <f>IF('Final Calculation Sheet'!$AC$7="","",'Final Calculation Sheet'!$AC$7)</f>
        <v/>
      </c>
      <c r="E39" s="12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1208">
        <f>IF('Final Calculation Sheet'!$AC$27="","",'Final Calculation Sheet'!$AC$27)</f>
        <v/>
      </c>
      <c r="H39" s="70">
        <f>IF('Final Calculation Sheet'!$AC$5="","",'Final Calculation Sheet'!$AC$5)</f>
        <v/>
      </c>
      <c r="I39" s="12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12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12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12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12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12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1208">
        <f>IF('Final Calculation Sheet'!$AC$21="","",'Final Calculation Sheet'!$AC$21)</f>
        <v/>
      </c>
      <c r="V39" s="70">
        <f>IF('Final Calculation Sheet'!$AC$8="","",'Final Calculation Sheet'!$AC$8)</f>
        <v/>
      </c>
      <c r="W39" s="12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12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12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12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12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12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12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12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682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1208">
        <f>IF('Final Calculation Sheet'!$AD$6="","",'Final Calculation Sheet'!$AD$6)</f>
        <v/>
      </c>
      <c r="D40" s="70">
        <f>IF('Final Calculation Sheet'!$AD$7="","",'Final Calculation Sheet'!$AD$7)</f>
        <v/>
      </c>
      <c r="E40" s="12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1208">
        <f>IF('Final Calculation Sheet'!$AD$27="","",'Final Calculation Sheet'!$AD$27)</f>
        <v/>
      </c>
      <c r="H40" s="70">
        <f>IF('Final Calculation Sheet'!$AD$5="","",'Final Calculation Sheet'!$AD$5)</f>
        <v/>
      </c>
      <c r="I40" s="12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12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12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12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12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12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1208">
        <f>IF('Final Calculation Sheet'!$AD$21="","",'Final Calculation Sheet'!$AD$21)</f>
        <v/>
      </c>
      <c r="V40" s="70">
        <f>IF('Final Calculation Sheet'!$AD$8="","",'Final Calculation Sheet'!$AD$8)</f>
        <v/>
      </c>
      <c r="W40" s="12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12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12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12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12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12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12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12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682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1214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1214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1214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1214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1214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1214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1214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1214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1214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1214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1214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1214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1214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1214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1214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1214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1214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1214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948" t="inlineStr">
        <is>
          <t>–</t>
        </is>
      </c>
    </row>
    <row r="42" ht="17" customHeight="1">
      <c r="A42" s="821" t="inlineStr">
        <is>
          <t xml:space="preserve">  ▸ DOCUMENT</t>
        </is>
      </c>
      <c r="B42" s="822" t="n"/>
      <c r="C42" s="822" t="n"/>
      <c r="D42" s="822" t="n"/>
      <c r="E42" s="822" t="n"/>
      <c r="F42" s="822" t="n"/>
      <c r="G42" s="822" t="n"/>
      <c r="H42" s="822" t="n"/>
      <c r="I42" s="822" t="n"/>
      <c r="J42" s="822" t="n"/>
      <c r="K42" s="822" t="n"/>
      <c r="L42" s="822" t="n"/>
      <c r="M42" s="822" t="n"/>
      <c r="N42" s="822" t="n"/>
      <c r="O42" s="822" t="n"/>
      <c r="P42" s="822" t="n"/>
      <c r="Q42" s="822" t="n"/>
      <c r="R42" s="822" t="n"/>
      <c r="S42" s="822" t="n"/>
      <c r="T42" s="822" t="n"/>
      <c r="U42" s="822" t="n"/>
      <c r="V42" s="822" t="n"/>
      <c r="W42" s="822" t="n"/>
      <c r="X42" s="822" t="n"/>
      <c r="Y42" s="822" t="n"/>
      <c r="Z42" s="822" t="n"/>
      <c r="AA42" s="822" t="n"/>
      <c r="AB42" s="822" t="n"/>
      <c r="AC42" s="822" t="n"/>
      <c r="AD42" s="822" t="n"/>
      <c r="AE42" s="822" t="n"/>
      <c r="AF42" s="822" t="n"/>
      <c r="AG42" s="822" t="n"/>
      <c r="AH42" s="822" t="n"/>
      <c r="AI42" s="822" t="n"/>
      <c r="AJ42" s="822" t="n"/>
      <c r="AK42" s="822" t="n"/>
      <c r="AL42" s="822" t="n"/>
      <c r="AM42" s="822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1211">
        <f>IF('Final Calculation Sheet'!$AE$6="","",'Final Calculation Sheet'!$AE$6)</f>
        <v/>
      </c>
      <c r="D43" s="76">
        <f>IF('Final Calculation Sheet'!$AE$7="","",'Final Calculation Sheet'!$AE$7)</f>
        <v/>
      </c>
      <c r="E43" s="1211">
        <f>IF('Final Calculation Sheet'!$AE$15="","",'Final Calculation Sheet'!$AE$15)</f>
        <v/>
      </c>
      <c r="F43" s="76">
        <f>IF('Final Calculation Sheet'!$AE$38="","",'Final Calculation Sheet'!$AE$38)</f>
        <v/>
      </c>
      <c r="G43" s="1211">
        <f>IF('Final Calculation Sheet'!$AE$27="","",'Final Calculation Sheet'!$AE$27)</f>
        <v/>
      </c>
      <c r="H43" s="76">
        <f>IF('Final Calculation Sheet'!$AE$5="","",'Final Calculation Sheet'!$AE$5)</f>
        <v/>
      </c>
      <c r="I43" s="1211">
        <f>IF('Final Calculation Sheet'!$AE$10="","",'Final Calculation Sheet'!$AE$10)</f>
        <v/>
      </c>
      <c r="J43" s="76">
        <f>IF('Final Calculation Sheet'!$AE$11="","",'Final Calculation Sheet'!$AE$11)</f>
        <v/>
      </c>
      <c r="K43" s="1211">
        <f>IF('Final Calculation Sheet'!$AE$12="","",'Final Calculation Sheet'!$AE$12)</f>
        <v/>
      </c>
      <c r="L43" s="76">
        <f>IF('Final Calculation Sheet'!$AE$18="","",'Final Calculation Sheet'!$AE$18)</f>
        <v/>
      </c>
      <c r="M43" s="1211">
        <f>IF('Final Calculation Sheet'!$AE$19="","",'Final Calculation Sheet'!$AE$19)</f>
        <v/>
      </c>
      <c r="N43" s="76">
        <f>IF('Final Calculation Sheet'!$AE$22="","",'Final Calculation Sheet'!$AE$22)</f>
        <v/>
      </c>
      <c r="O43" s="1211">
        <f>IF('Final Calculation Sheet'!$AE$24="","",'Final Calculation Sheet'!$AE$24)</f>
        <v/>
      </c>
      <c r="P43" s="76">
        <f>IF('Final Calculation Sheet'!$AE$26="","",'Final Calculation Sheet'!$AE$26)</f>
        <v/>
      </c>
      <c r="Q43" s="1211">
        <f>IF('Final Calculation Sheet'!$AE$30="","",'Final Calculation Sheet'!$AE$30)</f>
        <v/>
      </c>
      <c r="R43" s="76">
        <f>IF('Final Calculation Sheet'!$AE$32="","",'Final Calculation Sheet'!$AE$32)</f>
        <v/>
      </c>
      <c r="S43" s="1211">
        <f>IF('Final Calculation Sheet'!$AE$33="","",'Final Calculation Sheet'!$AE$33)</f>
        <v/>
      </c>
      <c r="T43" s="76">
        <f>IF('Final Calculation Sheet'!$AE$37="","",'Final Calculation Sheet'!$AE$37)</f>
        <v/>
      </c>
      <c r="U43" s="1211">
        <f>IF('Final Calculation Sheet'!$AE$21="","",'Final Calculation Sheet'!$AE$21)</f>
        <v/>
      </c>
      <c r="V43" s="76">
        <f>IF('Final Calculation Sheet'!$AE$8="","",'Final Calculation Sheet'!$AE$8)</f>
        <v/>
      </c>
      <c r="W43" s="1211">
        <f>IF('Final Calculation Sheet'!$AE$20="","",'Final Calculation Sheet'!$AE$20)</f>
        <v/>
      </c>
      <c r="X43" s="76">
        <f>IF('Final Calculation Sheet'!$AE$39="","",'Final Calculation Sheet'!$AE$39)</f>
        <v/>
      </c>
      <c r="Y43" s="1211">
        <f>IF('Final Calculation Sheet'!$AE$40="","",'Final Calculation Sheet'!$AE$40)</f>
        <v/>
      </c>
      <c r="Z43" s="76">
        <f>IF('Final Calculation Sheet'!$AE$31="","",'Final Calculation Sheet'!$AE$31)</f>
        <v/>
      </c>
      <c r="AA43" s="1211">
        <f>IF('Final Calculation Sheet'!$AE$9="","",'Final Calculation Sheet'!$AE$9)</f>
        <v/>
      </c>
      <c r="AB43" s="76">
        <f>IF('Final Calculation Sheet'!$AE$14="","",'Final Calculation Sheet'!$AE$14)</f>
        <v/>
      </c>
      <c r="AC43" s="1211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1211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1211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1211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1211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948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1208">
        <f>IF('Final Calculation Sheet'!$AF$6="","",'Final Calculation Sheet'!$AF$6)</f>
        <v/>
      </c>
      <c r="D44" s="70">
        <f>IF('Final Calculation Sheet'!$AF$7="","",'Final Calculation Sheet'!$AF$7)</f>
        <v/>
      </c>
      <c r="E44" s="12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1208">
        <f>IF('Final Calculation Sheet'!$AF$27="","",'Final Calculation Sheet'!$AF$27)</f>
        <v/>
      </c>
      <c r="H44" s="70">
        <f>IF('Final Calculation Sheet'!$AF$5="","",'Final Calculation Sheet'!$AF$5)</f>
        <v/>
      </c>
      <c r="I44" s="12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12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12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12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12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12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1208">
        <f>IF('Final Calculation Sheet'!$AF$21="","",'Final Calculation Sheet'!$AF$21)</f>
        <v/>
      </c>
      <c r="V44" s="70">
        <f>IF('Final Calculation Sheet'!$AF$8="","",'Final Calculation Sheet'!$AF$8)</f>
        <v/>
      </c>
      <c r="W44" s="12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12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12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12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12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12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12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12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948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1211">
        <f>IF('Final Calculation Sheet'!$AG$6="","",'Final Calculation Sheet'!$AG$6)</f>
        <v/>
      </c>
      <c r="D45" s="76">
        <f>IF('Final Calculation Sheet'!$AG$7="","",'Final Calculation Sheet'!$AG$7)</f>
        <v/>
      </c>
      <c r="E45" s="1211">
        <f>IF('Final Calculation Sheet'!$AG$15="","",'Final Calculation Sheet'!$AG$15)</f>
        <v/>
      </c>
      <c r="F45" s="76">
        <f>IF('Final Calculation Sheet'!$AG$38="","",'Final Calculation Sheet'!$AG$38)</f>
        <v/>
      </c>
      <c r="G45" s="1211">
        <f>IF('Final Calculation Sheet'!$AG$27="","",'Final Calculation Sheet'!$AG$27)</f>
        <v/>
      </c>
      <c r="H45" s="76">
        <f>IF('Final Calculation Sheet'!$AG$5="","",'Final Calculation Sheet'!$AG$5)</f>
        <v/>
      </c>
      <c r="I45" s="1211">
        <f>IF('Final Calculation Sheet'!$AG$10="","",'Final Calculation Sheet'!$AG$10)</f>
        <v/>
      </c>
      <c r="J45" s="76">
        <f>IF('Final Calculation Sheet'!$AG$11="","",'Final Calculation Sheet'!$AG$11)</f>
        <v/>
      </c>
      <c r="K45" s="1211">
        <f>IF('Final Calculation Sheet'!$AG$12="","",'Final Calculation Sheet'!$AG$12)</f>
        <v/>
      </c>
      <c r="L45" s="76">
        <f>IF('Final Calculation Sheet'!$AG$18="","",'Final Calculation Sheet'!$AG$18)</f>
        <v/>
      </c>
      <c r="M45" s="1211">
        <f>IF('Final Calculation Sheet'!$AG$19="","",'Final Calculation Sheet'!$AG$19)</f>
        <v/>
      </c>
      <c r="N45" s="76">
        <f>IF('Final Calculation Sheet'!$AG$22="","",'Final Calculation Sheet'!$AG$22)</f>
        <v/>
      </c>
      <c r="O45" s="1211">
        <f>IF('Final Calculation Sheet'!$AG$24="","",'Final Calculation Sheet'!$AG$24)</f>
        <v/>
      </c>
      <c r="P45" s="76">
        <f>IF('Final Calculation Sheet'!$AG$26="","",'Final Calculation Sheet'!$AG$26)</f>
        <v/>
      </c>
      <c r="Q45" s="1211">
        <f>IF('Final Calculation Sheet'!$AG$30="","",'Final Calculation Sheet'!$AG$30)</f>
        <v/>
      </c>
      <c r="R45" s="76">
        <f>IF('Final Calculation Sheet'!$AG$32="","",'Final Calculation Sheet'!$AG$32)</f>
        <v/>
      </c>
      <c r="S45" s="1211">
        <f>IF('Final Calculation Sheet'!$AG$33="","",'Final Calculation Sheet'!$AG$33)</f>
        <v/>
      </c>
      <c r="T45" s="76">
        <f>IF('Final Calculation Sheet'!$AG$37="","",'Final Calculation Sheet'!$AG$37)</f>
        <v/>
      </c>
      <c r="U45" s="1211">
        <f>IF('Final Calculation Sheet'!$AG$21="","",'Final Calculation Sheet'!$AG$21)</f>
        <v/>
      </c>
      <c r="V45" s="76">
        <f>IF('Final Calculation Sheet'!$AG$8="","",'Final Calculation Sheet'!$AG$8)</f>
        <v/>
      </c>
      <c r="W45" s="1211">
        <f>IF('Final Calculation Sheet'!$AG$20="","",'Final Calculation Sheet'!$AG$20)</f>
        <v/>
      </c>
      <c r="X45" s="76">
        <f>IF('Final Calculation Sheet'!$AG$39="","",'Final Calculation Sheet'!$AG$39)</f>
        <v/>
      </c>
      <c r="Y45" s="1211">
        <f>IF('Final Calculation Sheet'!$AG$40="","",'Final Calculation Sheet'!$AG$40)</f>
        <v/>
      </c>
      <c r="Z45" s="76">
        <f>IF('Final Calculation Sheet'!$AG$31="","",'Final Calculation Sheet'!$AG$31)</f>
        <v/>
      </c>
      <c r="AA45" s="1211">
        <f>IF('Final Calculation Sheet'!$AG$9="","",'Final Calculation Sheet'!$AG$9)</f>
        <v/>
      </c>
      <c r="AB45" s="76">
        <f>IF('Final Calculation Sheet'!$AG$14="","",'Final Calculation Sheet'!$AG$14)</f>
        <v/>
      </c>
      <c r="AC45" s="1211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1211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1211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1211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1211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948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22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21">
      <formula>"SETTLED"</formula>
    </cfRule>
    <cfRule type="cellIs" priority="4" operator="equal" dxfId="22">
      <formula>"OUTSTANDING"</formula>
    </cfRule>
  </conditionalFormatting>
  <conditionalFormatting sqref="B43:AL43">
    <cfRule type="cellIs" priority="5" operator="equal" dxfId="2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2026-09-07T20:19:56Z</dcterms:modified>
  <cp:lastModifiedBy>Piyush Prakash Dhabekar</cp:lastModifiedBy>
  <cp:revision>0</cp:revision>
</cp:coreProperties>
</file>