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yer Pivot" sheetId="1" state="visible" r:id="rId3"/>
    <sheet name="Collapsible View" sheetId="2" state="visible" r:id="rId4"/>
    <sheet name="Final Calculation Sheet" sheetId="3" state="visible" r:id="rId5"/>
    <sheet name="Buyer Lookup" sheetId="4" state="hidden" r:id="rId6"/>
  </sheets>
  <definedNames>
    <definedName function="false" hidden="true" localSheetId="2" name="_xlnm._FilterDatabase" vbProcedure="false">'Final Calculation Sheet'!$A$3:$AG$43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Z3" authorId="0">
      <text>
        <r>
          <rPr>
            <sz val="10"/>
            <rFont val="Arial"/>
            <family val="2"/>
          </rPr>
          <t xml:space="preserve">LPP @ 1.18% per week of Mat. Value
Accrues from: 22.08.2026
Waived if payment received on or before: 24.08.2026
Weeks = CEILING((Receipt Date − 22.08.2026) / 7, 1)
If not yet received, uses TODAY() as end date.</t>
        </r>
      </text>
    </comment>
    <comment ref="AD6" authorId="0">
      <text>
        <r>
          <rPr>
            <sz val="10"/>
            <rFont val="Arial"/>
            <family val="2"/>
          </rPr>
          <t xml:space="preserve">GST TDS not Deducted
</t>
        </r>
      </text>
    </comment>
    <comment ref="AD7" authorId="0">
      <text>
        <r>
          <rPr>
            <sz val="10"/>
            <rFont val="Arial"/>
            <family val="2"/>
          </rPr>
          <t xml:space="preserve">GST TDS not Deducted</t>
        </r>
      </text>
    </comment>
    <comment ref="AD31" authorId="0">
      <text>
        <r>
          <rPr>
            <sz val="10"/>
            <rFont val="Arial"/>
            <family val="2"/>
          </rPr>
          <t xml:space="preserve">GST TDS not deducted
</t>
        </r>
      </text>
    </comment>
  </commentList>
</comments>
</file>

<file path=xl/sharedStrings.xml><?xml version="1.0" encoding="utf-8"?>
<sst xmlns="http://schemas.openxmlformats.org/spreadsheetml/2006/main" count="1170" uniqueCount="262">
  <si>
    <t xml:space="preserve">MSTC LIMITED — Buyer-wise Lot Details</t>
  </si>
  <si>
    <t xml:space="preserve">▶  Select Buyer:</t>
  </si>
  <si>
    <t xml:space="preserve">AL HAMD TRADE CORPORATION</t>
  </si>
  <si>
    <t xml:space="preserve">← Click cell to pick buyer from dropdown</t>
  </si>
  <si>
    <t xml:space="preserve">Buyer Name:</t>
  </si>
  <si>
    <t xml:space="preserve">Field</t>
  </si>
  <si>
    <t xml:space="preserve">Lot 1</t>
  </si>
  <si>
    <t xml:space="preserve">Lot 2</t>
  </si>
  <si>
    <t xml:space="preserve">Lot 3</t>
  </si>
  <si>
    <t xml:space="preserve">Lot 4</t>
  </si>
  <si>
    <t xml:space="preserve">Lot 5</t>
  </si>
  <si>
    <t xml:space="preserve">Lot 6</t>
  </si>
  <si>
    <t xml:space="preserve">Lot 7</t>
  </si>
  <si>
    <t xml:space="preserve">Lot 8</t>
  </si>
  <si>
    <t xml:space="preserve">Lot 9</t>
  </si>
  <si>
    <t xml:space="preserve">Lot 10</t>
  </si>
  <si>
    <t xml:space="preserve">Lot 11</t>
  </si>
  <si>
    <t xml:space="preserve">Lot 12</t>
  </si>
  <si>
    <t xml:space="preserve">Lot 13</t>
  </si>
  <si>
    <t xml:space="preserve">  LOT INFORMATION</t>
  </si>
  <si>
    <t xml:space="preserve">Lot No.</t>
  </si>
  <si>
    <t xml:space="preserve">Lot Name</t>
  </si>
  <si>
    <t xml:space="preserve">Bid Sheet</t>
  </si>
  <si>
    <t xml:space="preserve">Quantity</t>
  </si>
  <si>
    <t xml:space="preserve">Unit</t>
  </si>
  <si>
    <t xml:space="preserve">Rate (₹)</t>
  </si>
  <si>
    <t xml:space="preserve">  FINANCIALS</t>
  </si>
  <si>
    <t xml:space="preserve">Mat. Value (₹)</t>
  </si>
  <si>
    <t xml:space="preserve">GST (₹)</t>
  </si>
  <si>
    <t xml:space="preserve">Mat. Value + GST (₹)</t>
  </si>
  <si>
    <t xml:space="preserve">TCS (₹)</t>
  </si>
  <si>
    <t xml:space="preserve">TDS u/s 194(O) (₹)</t>
  </si>
  <si>
    <t xml:space="preserve">Service Charge (₹)</t>
  </si>
  <si>
    <t xml:space="preserve">TDS u/s 194(H) (₹)</t>
  </si>
  <si>
    <t xml:space="preserve">Net Svc Charge (₹)</t>
  </si>
  <si>
    <t xml:space="preserve">Svc Charge to MSTC (₹)</t>
  </si>
  <si>
    <t xml:space="preserve">GST TDS Rate</t>
  </si>
  <si>
    <t xml:space="preserve">GST TDS (₹)</t>
  </si>
  <si>
    <t xml:space="preserve">Total Receivables (₹)</t>
  </si>
  <si>
    <t xml:space="preserve">  SECURITY DEPOSIT</t>
  </si>
  <si>
    <t xml:space="preserve">SD Expected (₹)</t>
  </si>
  <si>
    <t xml:space="preserve">SD Received (₹)</t>
  </si>
  <si>
    <t xml:space="preserve">SD Receipt Date</t>
  </si>
  <si>
    <t xml:space="preserve">  FINAL PAYMENT</t>
  </si>
  <si>
    <t xml:space="preserve">FP Expected (₹)</t>
  </si>
  <si>
    <t xml:space="preserve">FP Received (₹)</t>
  </si>
  <si>
    <t xml:space="preserve">FP Receipt Date</t>
  </si>
  <si>
    <t xml:space="preserve">  LPP</t>
  </si>
  <si>
    <t xml:space="preserve">LPP Expected (₹)</t>
  </si>
  <si>
    <t xml:space="preserve">LPP Received (₹)</t>
  </si>
  <si>
    <t xml:space="preserve">LPP Receipt Date</t>
  </si>
  <si>
    <t xml:space="preserve">  SUMMARY</t>
  </si>
  <si>
    <t xml:space="preserve">Total Received (₹)</t>
  </si>
  <si>
    <t xml:space="preserve">Outstanding (₹)</t>
  </si>
  <si>
    <t xml:space="preserve">  DOCUMENT</t>
  </si>
  <si>
    <t xml:space="preserve">Invoice No.</t>
  </si>
  <si>
    <t xml:space="preserve">SAP Document</t>
  </si>
  <si>
    <t xml:space="preserve">Doc./Invoice Date</t>
  </si>
  <si>
    <t xml:space="preserve">  BUYER TOTALS</t>
  </si>
  <si>
    <t xml:space="preserve">Total Lots</t>
  </si>
  <si>
    <t xml:space="preserve">← Total lots for selected buyer</t>
  </si>
  <si>
    <t xml:space="preserve">Total Mat. Value (₹)</t>
  </si>
  <si>
    <t xml:space="preserve">← Sum across all lots for selected buyer</t>
  </si>
  <si>
    <t xml:space="preserve">Total Mat.Value+GST (₹)</t>
  </si>
  <si>
    <t xml:space="preserve">Total TCS (₹)</t>
  </si>
  <si>
    <t xml:space="preserve">Total SD Expected (₹)</t>
  </si>
  <si>
    <t xml:space="preserve">Total SD Received (₹)</t>
  </si>
  <si>
    <t xml:space="preserve">Total FP Expected (₹)</t>
  </si>
  <si>
    <t xml:space="preserve">Total FP Received (₹)</t>
  </si>
  <si>
    <t xml:space="preserve">Total LPP Expected (₹)</t>
  </si>
  <si>
    <t xml:space="preserve">Total LPP Received (₹)</t>
  </si>
  <si>
    <t xml:space="preserve">Total Outstanding (₹)</t>
  </si>
  <si>
    <t xml:space="preserve">MSTC LIMITED — Buyer-wise Collapsible Detail Sheet</t>
  </si>
  <si>
    <t xml:space="preserve">  ► Use the row group controls on the LEFT MARGIN ( − / + buttons ) to collapse/expand each section within a buyer block</t>
  </si>
  <si>
    <t xml:space="preserve">Field / Buyer</t>
  </si>
  <si>
    <t xml:space="preserve">BUYER TOTAL</t>
  </si>
  <si>
    <t xml:space="preserve">  AL HAMD TRADE CORPORATION  (1 lot)</t>
  </si>
  <si>
    <t xml:space="preserve">  Lot No. →</t>
  </si>
  <si>
    <t xml:space="preserve">Total</t>
  </si>
  <si>
    <t xml:space="preserve">  ▸ LOT INFO</t>
  </si>
  <si>
    <t xml:space="preserve">    Lot No.</t>
  </si>
  <si>
    <t xml:space="preserve">    Lot Name</t>
  </si>
  <si>
    <t xml:space="preserve">SCRAP COPPER OF T/F WINDING (Oil impregnated paper insulated T/F winding)</t>
  </si>
  <si>
    <t xml:space="preserve">    Bid Sheet</t>
  </si>
  <si>
    <t xml:space="preserve">    Quantity</t>
  </si>
  <si>
    <t xml:space="preserve">    Unit</t>
  </si>
  <si>
    <t xml:space="preserve">KG</t>
  </si>
  <si>
    <t xml:space="preserve">    Rate (₹)</t>
  </si>
  <si>
    <t xml:space="preserve">  ▸ FINANCIALS</t>
  </si>
  <si>
    <t xml:space="preserve">    Mat. Value (₹)</t>
  </si>
  <si>
    <t xml:space="preserve">    GST (₹)</t>
  </si>
  <si>
    <t xml:space="preserve">    Mat. Value + GST (₹)</t>
  </si>
  <si>
    <t xml:space="preserve">    TCS (₹)</t>
  </si>
  <si>
    <t xml:space="preserve">    TDS u/s 194(O) (₹)</t>
  </si>
  <si>
    <t xml:space="preserve">    Service Charge (₹)</t>
  </si>
  <si>
    <t xml:space="preserve">    TDS u/s 194(H) (₹)</t>
  </si>
  <si>
    <t xml:space="preserve">    Net Svc Charge (₹)</t>
  </si>
  <si>
    <t xml:space="preserve">    Svc Charge to MSTC (₹)</t>
  </si>
  <si>
    <t xml:space="preserve">    GST TDS Rate</t>
  </si>
  <si>
    <t xml:space="preserve">    GST TDS (₹)</t>
  </si>
  <si>
    <t xml:space="preserve">    Total Receivables (₹)</t>
  </si>
  <si>
    <t xml:space="preserve">  ▸ SECURITY DEPOSIT</t>
  </si>
  <si>
    <t xml:space="preserve">    SD Expected (₹)</t>
  </si>
  <si>
    <t xml:space="preserve">    SD Received (₹)</t>
  </si>
  <si>
    <t xml:space="preserve">    SD Receipt Date</t>
  </si>
  <si>
    <t xml:space="preserve">24.08.2026</t>
  </si>
  <si>
    <t xml:space="preserve">  ▸ FINAL PAYMENT</t>
  </si>
  <si>
    <t xml:space="preserve">    FP Expected (₹)</t>
  </si>
  <si>
    <t xml:space="preserve">    FP Received (₹)</t>
  </si>
  <si>
    <t xml:space="preserve">    FP Receipt Date</t>
  </si>
  <si>
    <t xml:space="preserve">18.08.2026</t>
  </si>
  <si>
    <t xml:space="preserve">  ▸ LPP</t>
  </si>
  <si>
    <t xml:space="preserve">    LPP Expected (₹)</t>
  </si>
  <si>
    <t xml:space="preserve">    LPP Received (₹)</t>
  </si>
  <si>
    <t xml:space="preserve">    LPP Receipt Date</t>
  </si>
  <si>
    <t xml:space="preserve">  ▸ SUMMARY</t>
  </si>
  <si>
    <t xml:space="preserve">    Total Received (₹)</t>
  </si>
  <si>
    <t xml:space="preserve">    Outstanding (₹)</t>
  </si>
  <si>
    <t xml:space="preserve">  ▸ DOCUMENT</t>
  </si>
  <si>
    <t xml:space="preserve">    Invoice No.</t>
  </si>
  <si>
    <t xml:space="preserve">DR2640100029</t>
  </si>
  <si>
    <t xml:space="preserve">    SAP Document</t>
  </si>
  <si>
    <t xml:space="preserve">    Doc./Invoice Date</t>
  </si>
  <si>
    <t xml:space="preserve">  ∑  AL HAMD TRADE CORPORATION — TOTALS</t>
  </si>
  <si>
    <t xml:space="preserve">  F R KHANS ENTERPRISES  (2 lots)</t>
  </si>
  <si>
    <t xml:space="preserve">Scrap of Copper of faulty AC compressor</t>
  </si>
  <si>
    <t xml:space="preserve">Scrap of MS (extracted from equip cage and empty Sf6 gas cylinder)</t>
  </si>
  <si>
    <t xml:space="preserve">11.08.2026</t>
  </si>
  <si>
    <t xml:space="preserve">20.08.2026</t>
  </si>
  <si>
    <t xml:space="preserve">DR2640100047</t>
  </si>
  <si>
    <t xml:space="preserve">DR2640100048</t>
  </si>
  <si>
    <t xml:space="preserve">27.08.2026</t>
  </si>
  <si>
    <t xml:space="preserve">  ∑  F R KHANS ENTERPRISES — TOTALS</t>
  </si>
  <si>
    <t xml:space="preserve">  HIND TRADERS  (1 lot)</t>
  </si>
  <si>
    <t xml:space="preserve">Scrap of empty oil Druam</t>
  </si>
  <si>
    <t xml:space="preserve">NO</t>
  </si>
  <si>
    <t xml:space="preserve">14.08.2026</t>
  </si>
  <si>
    <t xml:space="preserve">DR2640100026</t>
  </si>
  <si>
    <t xml:space="preserve">  ∑  HIND TRADERS — TOTALS</t>
  </si>
  <si>
    <t xml:space="preserve">  KASHYAP TRADING CO  (1 lot)</t>
  </si>
  <si>
    <t xml:space="preserve">Scrap of 132 KV CT</t>
  </si>
  <si>
    <t xml:space="preserve">17.08.2026</t>
  </si>
  <si>
    <t xml:space="preserve">DR2640100025</t>
  </si>
  <si>
    <t xml:space="preserve">19.08.2026</t>
  </si>
  <si>
    <t xml:space="preserve">  ∑  KASHYAP TRADING CO — TOTALS</t>
  </si>
  <si>
    <t xml:space="preserve">  M I SCRAP TRADERS  (1 lot)</t>
  </si>
  <si>
    <t xml:space="preserve">Mix Scrap (Tower angles &amp; 0.2 ACSR Condutor pieces)</t>
  </si>
  <si>
    <t xml:space="preserve">MT</t>
  </si>
  <si>
    <t xml:space="preserve">  ∑  M I SCRAP TRADERS — TOTALS</t>
  </si>
  <si>
    <t xml:space="preserve">  NATIONAL ENTERPRISES  (13 lots)</t>
  </si>
  <si>
    <t xml:space="preserve">Scrap of Empty oil drum</t>
  </si>
  <si>
    <t xml:space="preserve">Scrap of 145 KV CB</t>
  </si>
  <si>
    <t xml:space="preserve">Scrap of 220KV CT</t>
  </si>
  <si>
    <t xml:space="preserve">Scrap of 220 KV Circuit Breaker</t>
  </si>
  <si>
    <t xml:space="preserve">Scrap of 132 KV Wave Trap</t>
  </si>
  <si>
    <t xml:space="preserve">Scrap of 220 KV CT</t>
  </si>
  <si>
    <t xml:space="preserve">Scrap of 33 KV GCB</t>
  </si>
  <si>
    <t xml:space="preserve">Scrap of 66 KV Isolater</t>
  </si>
  <si>
    <t xml:space="preserve">13.08.2026</t>
  </si>
  <si>
    <t xml:space="preserve">DR2640100030</t>
  </si>
  <si>
    <t xml:space="preserve">DR2640100031</t>
  </si>
  <si>
    <t xml:space="preserve">DR2640100032</t>
  </si>
  <si>
    <t xml:space="preserve">DR2640100033</t>
  </si>
  <si>
    <t xml:space="preserve">DR2640100034</t>
  </si>
  <si>
    <t xml:space="preserve">DR2640100035</t>
  </si>
  <si>
    <t xml:space="preserve">DR2640100044</t>
  </si>
  <si>
    <t xml:space="preserve">DR2640100036</t>
  </si>
  <si>
    <t xml:space="preserve">DR2640100037</t>
  </si>
  <si>
    <t xml:space="preserve">DR2640100038</t>
  </si>
  <si>
    <t xml:space="preserve">DR2640100039</t>
  </si>
  <si>
    <t xml:space="preserve">DR2640100046</t>
  </si>
  <si>
    <t xml:space="preserve">DR2640100040</t>
  </si>
  <si>
    <t xml:space="preserve">  ∑  NATIONAL ENTERPRISES — TOTALS</t>
  </si>
  <si>
    <t xml:space="preserve">  NATIONAL SCRAP AND BUILDING MATERIAL SUPPLIER  (1 lot)</t>
  </si>
  <si>
    <t xml:space="preserve">21.08.2026</t>
  </si>
  <si>
    <t xml:space="preserve">DR2640100028</t>
  </si>
  <si>
    <t xml:space="preserve">  ∑  NATIONAL SCRAP AND BUILDING MATERIAL SUPPLIER — TOTALS</t>
  </si>
  <si>
    <t xml:space="preserve">  OMKAR STEELS  (2 lots)</t>
  </si>
  <si>
    <t xml:space="preserve">SCRAP ACSR CONDUCTORS (Conductor Pieces)</t>
  </si>
  <si>
    <t xml:space="preserve">SCRAP 80MM² AAAC EARTHWIRE</t>
  </si>
  <si>
    <t xml:space="preserve">10.08.2026</t>
  </si>
  <si>
    <t xml:space="preserve">DR2640100045</t>
  </si>
  <si>
    <t xml:space="preserve">DR2640100017</t>
  </si>
  <si>
    <t xml:space="preserve">12.08.2026</t>
  </si>
  <si>
    <t xml:space="preserve">  ∑  OMKAR STEELS — TOTALS</t>
  </si>
  <si>
    <t xml:space="preserve">  S M ENTERPRISES  (2 lots)</t>
  </si>
  <si>
    <t xml:space="preserve">Scrap of 66 kv TBC C &amp; R Panel</t>
  </si>
  <si>
    <t xml:space="preserve">01.09.2026</t>
  </si>
  <si>
    <t xml:space="preserve">  ∑  S M ENTERPRISES — TOTALS</t>
  </si>
  <si>
    <t xml:space="preserve">  SAHARA ENTERPRISES  (1 lot)</t>
  </si>
  <si>
    <t xml:space="preserve">Scrap of AAAC Earth wire</t>
  </si>
  <si>
    <t xml:space="preserve">DR2640100041</t>
  </si>
  <si>
    <t xml:space="preserve">  ∑  SAHARA ENTERPRISES — TOTALS</t>
  </si>
  <si>
    <t xml:space="preserve">  SHAR JAHAN TRADERS  (2 lots)</t>
  </si>
  <si>
    <t xml:space="preserve">Scrap Power Transformer</t>
  </si>
  <si>
    <t xml:space="preserve">SCRAP POWER TRANSFORMER</t>
  </si>
  <si>
    <t xml:space="preserve">DR2640100023</t>
  </si>
  <si>
    <t xml:space="preserve">DR2640100024</t>
  </si>
  <si>
    <t xml:space="preserve">  ∑  SHAR JAHAN TRADERS — TOTALS</t>
  </si>
  <si>
    <t xml:space="preserve">  STERLING ENTERPRISES  (7 lots)</t>
  </si>
  <si>
    <t xml:space="preserve">Scrap of empty oil drums</t>
  </si>
  <si>
    <t xml:space="preserve">Scrap of empty oil Barrel</t>
  </si>
  <si>
    <t xml:space="preserve">Scrap of empty oil Barrels</t>
  </si>
  <si>
    <t xml:space="preserve">Scrap of 33 KV CT</t>
  </si>
  <si>
    <t xml:space="preserve">Scrap of Empty oil Barrels</t>
  </si>
  <si>
    <t xml:space="preserve">Scrap of 33 KV CB</t>
  </si>
  <si>
    <t xml:space="preserve">DR2640100018</t>
  </si>
  <si>
    <t xml:space="preserve">DR2640100019</t>
  </si>
  <si>
    <t xml:space="preserve">DR2640100020</t>
  </si>
  <si>
    <t xml:space="preserve">DR2640100021</t>
  </si>
  <si>
    <t xml:space="preserve">DR2640100022</t>
  </si>
  <si>
    <t xml:space="preserve">  ∑  STERLING ENTERPRISES — TOTALS</t>
  </si>
  <si>
    <t xml:space="preserve">  WATAN SCRAP TRADERS  (3 lots)</t>
  </si>
  <si>
    <t xml:space="preserve">Scrap Empty Oil Drum/ Barrel</t>
  </si>
  <si>
    <t xml:space="preserve">DR2640100042</t>
  </si>
  <si>
    <t xml:space="preserve">DR2640100043</t>
  </si>
  <si>
    <t xml:space="preserve">DR2640100027</t>
  </si>
  <si>
    <t xml:space="preserve">  ∑  WATAN SCRAP TRADERS — TOTALS</t>
  </si>
  <si>
    <t xml:space="preserve">MSTC LIMITED - COMBINED BID SHEET (Auctions 21977, 21978, 21979, 21980)</t>
  </si>
  <si>
    <t xml:space="preserve">Filter by Buyer ▼</t>
  </si>
  <si>
    <t xml:space="preserve">(All Buyers)</t>
  </si>
  <si>
    <t xml:space="preserve">Filter by Lot No. ▼</t>
  </si>
  <si>
    <t xml:space="preserve">(All Lots)</t>
  </si>
  <si>
    <t xml:space="preserve">  ① Pick Buyer or Lot No. from dropdown  ② Click the ▼ AutoFilter arrow in Row 3 to filter  ③ Clear: select "(All Buyers)" / "(All Lots)"</t>
  </si>
  <si>
    <t xml:space="preserve">Rate</t>
  </si>
  <si>
    <t xml:space="preserve">Buyer</t>
  </si>
  <si>
    <t xml:space="preserve">Mat. Value</t>
  </si>
  <si>
    <t xml:space="preserve">GST</t>
  </si>
  <si>
    <t xml:space="preserve">Mat. Value + GST</t>
  </si>
  <si>
    <t xml:space="preserve">TCS</t>
  </si>
  <si>
    <t xml:space="preserve">TDS u/s 194(O)</t>
  </si>
  <si>
    <t xml:space="preserve">Service Charge
to MSTC</t>
  </si>
  <si>
    <t xml:space="preserve">TDS u/s 194(H)</t>
  </si>
  <si>
    <t xml:space="preserve">Net Service Charge
(post TDS 194H)</t>
  </si>
  <si>
    <t xml:space="preserve">Service charge to MSTC</t>
  </si>
  <si>
    <t xml:space="preserve">GST TDS</t>
  </si>
  <si>
    <t xml:space="preserve">Total Receivables in Cash</t>
  </si>
  <si>
    <t xml:space="preserve">Security Deposit (Expected)</t>
  </si>
  <si>
    <t xml:space="preserve">Security Deposit (Received)</t>
  </si>
  <si>
    <t xml:space="preserve">Date of Receipt</t>
  </si>
  <si>
    <t xml:space="preserve">Final Payment (Expected)</t>
  </si>
  <si>
    <t xml:space="preserve">Final Payment (Received)</t>
  </si>
  <si>
    <t xml:space="preserve">LPP Expected</t>
  </si>
  <si>
    <t xml:space="preserve">LPP Received</t>
  </si>
  <si>
    <t xml:space="preserve">Date of Recepit of LPP</t>
  </si>
  <si>
    <t xml:space="preserve">Total Received</t>
  </si>
  <si>
    <t xml:space="preserve">Outstanding</t>
  </si>
  <si>
    <t xml:space="preserve">Invoice No. </t>
  </si>
  <si>
    <t xml:space="preserve">NATIONAL ENTERPRISES</t>
  </si>
  <si>
    <t xml:space="preserve">F R KHANS ENTERPRISES</t>
  </si>
  <si>
    <t xml:space="preserve">OMKAR STEELS</t>
  </si>
  <si>
    <t xml:space="preserve">SHAR JAHAN TRADERS</t>
  </si>
  <si>
    <t xml:space="preserve">STERLING ENTERPRISES</t>
  </si>
  <si>
    <t xml:space="preserve">HIND TRADERS</t>
  </si>
  <si>
    <t xml:space="preserve">NATIONAL SCRAP AND BUILDING MATERIAL SUPPLIER</t>
  </si>
  <si>
    <t xml:space="preserve">WATAN SCRAP TRADERS</t>
  </si>
  <si>
    <t xml:space="preserve">M I SCRAP TRADERS</t>
  </si>
  <si>
    <t xml:space="preserve">SAHARA ENTERPRISES</t>
  </si>
  <si>
    <t xml:space="preserve">KASHYAP TRADING CO</t>
  </si>
  <si>
    <t xml:space="preserve">S M ENTERPRISES</t>
  </si>
  <si>
    <t xml:space="preserve">Bal SD O/s</t>
  </si>
  <si>
    <t xml:space="preserve">Bal FP O/s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</si>
</sst>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@"/>
    <numFmt numFmtId="167" formatCode="#,##0.00"/>
    <numFmt numFmtId="168" formatCode="0.00%"/>
    <numFmt numFmtId="169" formatCode="#,##0;\(#,##0\)"/>
    <numFmt numFmtId="170" formatCode="0%"/>
    <numFmt numFmtId="171" formatCode="_ * #,##0_ ;_ * \-#,##0_ ;_ * \-??_ ;_ @_ "/>
    <numFmt numFmtId="172" formatCode="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name val="Arial"/>
      <family val="2"/>
      <charset val="1"/>
    </font>
    <font>
      <b val="true"/>
      <sz val="10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b val="true"/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05496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305496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C9A227"/>
        <bgColor rgb="FF99CC00"/>
      </patternFill>
    </fill>
    <fill>
      <patternFill patternType="solid">
        <fgColor rgb="FF305496"/>
        <bgColor rgb="FF2E75B6"/>
      </patternFill>
    </fill>
    <fill>
      <patternFill patternType="solid">
        <fgColor rgb="FFD9D9D9"/>
        <bgColor rgb="FFD0CECE"/>
      </patternFill>
    </fill>
    <fill>
      <patternFill patternType="solid">
        <fgColor rgb="FFF5F5F5"/>
        <bgColor rgb="FFF2F2F2"/>
      </patternFill>
    </fill>
    <fill>
      <patternFill patternType="solid">
        <fgColor theme="2" tint="-0.1"/>
        <bgColor rgb="FFD9D9D9"/>
      </patternFill>
    </fill>
  </fills>
  <borders count="2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22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2E75B6"/>
      </left>
      <right style="medium">
        <color rgb="FF2E75B6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C9A227"/>
      </left>
      <right/>
      <top style="medium">
        <color rgb="FFC9A227"/>
      </top>
      <bottom style="medium">
        <color rgb="FFC9A227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0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24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4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7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4" fillId="7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7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4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4" fillId="7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0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24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4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7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0" borderId="1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24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4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7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4" fillId="7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4" fillId="0" borderId="1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24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4" fillId="0" borderId="2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24" fillId="0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0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5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5" fillId="7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2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0CE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5F5F5"/>
      <rgbColor rgb="FFFFFF99"/>
      <rgbColor rgb="FF99CCFF"/>
      <rgbColor rgb="FFFF99CC"/>
      <rgbColor rgb="FFCC99FF"/>
      <rgbColor rgb="FFD9D9D9"/>
      <rgbColor rgb="FF2E75B6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4" min="2" style="1" width="2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 t="s">
        <v>1</v>
      </c>
      <c r="B2" s="4" t="s">
        <v>2</v>
      </c>
      <c r="C2" s="5" t="s">
        <v>3</v>
      </c>
    </row>
    <row r="3" customFormat="false" ht="24" hidden="false" customHeight="true" outlineLevel="0" collapsed="false">
      <c r="A3" s="6" t="s">
        <v>4</v>
      </c>
      <c r="B3" s="7" t="str">
        <f aca="false">B2</f>
        <v>AL HAMD TRADE CORPORATION</v>
      </c>
      <c r="C3" s="7"/>
      <c r="D3" s="7"/>
      <c r="E3" s="7"/>
      <c r="F3" s="7"/>
    </row>
    <row r="4" customFormat="false" ht="21.75" hidden="false" customHeight="true" outlineLevel="0" collapsed="false">
      <c r="A4" s="8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9" t="s">
        <v>14</v>
      </c>
      <c r="K4" s="9" t="s">
        <v>15</v>
      </c>
      <c r="L4" s="9" t="s">
        <v>16</v>
      </c>
      <c r="M4" s="9" t="s">
        <v>17</v>
      </c>
      <c r="N4" s="9" t="s">
        <v>18</v>
      </c>
    </row>
    <row r="5" customFormat="false" ht="21.75" hidden="false" customHeight="true" outlineLevel="0" collapsed="false">
      <c r="A5" s="7" t="s">
        <v>19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customFormat="false" ht="19.5" hidden="false" customHeight="true" outlineLevel="0" collapsed="false">
      <c r="A6" s="10" t="s">
        <v>20</v>
      </c>
      <c r="B6" s="11" t="n">
        <f aca="true">IFERROR(INDIRECT("'Final Calculation Sheet'!$F"&amp;INDEX('Buyer Lookup'!$A:$AZ,MATCH($B$2,'Buyer Lookup'!$A:$A,0),2)),"")</f>
        <v>1763</v>
      </c>
      <c r="C6" s="11" t="n">
        <f aca="true">IFERROR(INDIRECT("'Final Calculation Sheet'!$F"&amp;INDEX('Buyer Lookup'!$A:$AZ,MATCH($B$2,'Buyer Lookup'!$A:$A,0),3)),"")</f>
        <v>0</v>
      </c>
      <c r="D6" s="11" t="str">
        <f aca="true">IFERROR(INDIRECT("'Final Calculation Sheet'!$F"&amp;INDEX('Buyer Lookup'!$A:$AZ,MATCH($B$2,'Buyer Lookup'!$A:$A,0),4)),"")</f>
        <v/>
      </c>
      <c r="E6" s="11" t="str">
        <f aca="true">IFERROR(INDIRECT("'Final Calculation Sheet'!$F"&amp;INDEX('Buyer Lookup'!$A:$AZ,MATCH($B$2,'Buyer Lookup'!$A:$A,0),5)),"")</f>
        <v/>
      </c>
      <c r="F6" s="11" t="str">
        <f aca="true">IFERROR(INDIRECT("'Final Calculation Sheet'!$F"&amp;INDEX('Buyer Lookup'!$A:$AZ,MATCH($B$2,'Buyer Lookup'!$A:$A,0),6)),"")</f>
        <v/>
      </c>
      <c r="G6" s="11" t="str">
        <f aca="true">IFERROR(INDIRECT("'Final Calculation Sheet'!$F"&amp;INDEX('Buyer Lookup'!$A:$AZ,MATCH($B$2,'Buyer Lookup'!$A:$A,0),7)),"")</f>
        <v/>
      </c>
      <c r="H6" s="11" t="str">
        <f aca="true">IFERROR(INDIRECT("'Final Calculation Sheet'!$F"&amp;INDEX('Buyer Lookup'!$A:$AZ,MATCH($B$2,'Buyer Lookup'!$A:$A,0),8)),"")</f>
        <v/>
      </c>
      <c r="I6" s="11" t="str">
        <f aca="true">IFERROR(INDIRECT("'Final Calculation Sheet'!$F"&amp;INDEX('Buyer Lookup'!$A:$AZ,MATCH($B$2,'Buyer Lookup'!$A:$A,0),9)),"")</f>
        <v/>
      </c>
      <c r="J6" s="11" t="str">
        <f aca="true">IFERROR(INDIRECT("'Final Calculation Sheet'!$F"&amp;INDEX('Buyer Lookup'!$A:$AZ,MATCH($B$2,'Buyer Lookup'!$A:$A,0),10)),"")</f>
        <v/>
      </c>
      <c r="K6" s="11" t="str">
        <f aca="true">IFERROR(INDIRECT("'Final Calculation Sheet'!$F"&amp;INDEX('Buyer Lookup'!$A:$AZ,MATCH($B$2,'Buyer Lookup'!$A:$A,0),11)),"")</f>
        <v/>
      </c>
      <c r="L6" s="11" t="str">
        <f aca="true">IFERROR(INDIRECT("'Final Calculation Sheet'!$F"&amp;INDEX('Buyer Lookup'!$A:$AZ,MATCH($B$2,'Buyer Lookup'!$A:$A,0),12)),"")</f>
        <v/>
      </c>
      <c r="M6" s="11" t="str">
        <f aca="true">IFERROR(INDIRECT("'Final Calculation Sheet'!$F"&amp;INDEX('Buyer Lookup'!$A:$AZ,MATCH($B$2,'Buyer Lookup'!$A:$A,0),13)),"")</f>
        <v/>
      </c>
      <c r="N6" s="11" t="str">
        <f aca="true">IFERROR(INDIRECT("'Final Calculation Sheet'!$F"&amp;INDEX('Buyer Lookup'!$A:$AZ,MATCH($B$2,'Buyer Lookup'!$A:$A,0),14)),"")</f>
        <v/>
      </c>
    </row>
    <row r="7" customFormat="false" ht="19.5" hidden="false" customHeight="true" outlineLevel="0" collapsed="false">
      <c r="A7" s="10" t="s">
        <v>21</v>
      </c>
      <c r="B7" s="12" t="str">
        <f aca="true">IFERROR(INDIRECT("'Final Calculation Sheet'!$B"&amp;INDEX('Buyer Lookup'!$A:$AZ,MATCH($B$2,'Buyer Lookup'!$A:$A,0),2)),"")</f>
        <v>SCRAP COPPER OF T/F WINDING (Oil impregnated paper insulated T/F winding)</v>
      </c>
      <c r="C7" s="12" t="n">
        <f aca="true">IFERROR(INDIRECT("'Final Calculation Sheet'!$B"&amp;INDEX('Buyer Lookup'!$A:$AZ,MATCH($B$2,'Buyer Lookup'!$A:$A,0),3)),"")</f>
        <v>0</v>
      </c>
      <c r="D7" s="12" t="str">
        <f aca="true">IFERROR(INDIRECT("'Final Calculation Sheet'!$B"&amp;INDEX('Buyer Lookup'!$A:$AZ,MATCH($B$2,'Buyer Lookup'!$A:$A,0),4)),"")</f>
        <v/>
      </c>
      <c r="E7" s="12" t="str">
        <f aca="true">IFERROR(INDIRECT("'Final Calculation Sheet'!$B"&amp;INDEX('Buyer Lookup'!$A:$AZ,MATCH($B$2,'Buyer Lookup'!$A:$A,0),5)),"")</f>
        <v/>
      </c>
      <c r="F7" s="12" t="str">
        <f aca="true">IFERROR(INDIRECT("'Final Calculation Sheet'!$B"&amp;INDEX('Buyer Lookup'!$A:$AZ,MATCH($B$2,'Buyer Lookup'!$A:$A,0),6)),"")</f>
        <v/>
      </c>
      <c r="G7" s="12" t="str">
        <f aca="true">IFERROR(INDIRECT("'Final Calculation Sheet'!$B"&amp;INDEX('Buyer Lookup'!$A:$AZ,MATCH($B$2,'Buyer Lookup'!$A:$A,0),7)),"")</f>
        <v/>
      </c>
      <c r="H7" s="12" t="str">
        <f aca="true">IFERROR(INDIRECT("'Final Calculation Sheet'!$B"&amp;INDEX('Buyer Lookup'!$A:$AZ,MATCH($B$2,'Buyer Lookup'!$A:$A,0),8)),"")</f>
        <v/>
      </c>
      <c r="I7" s="12" t="str">
        <f aca="true">IFERROR(INDIRECT("'Final Calculation Sheet'!$B"&amp;INDEX('Buyer Lookup'!$A:$AZ,MATCH($B$2,'Buyer Lookup'!$A:$A,0),9)),"")</f>
        <v/>
      </c>
      <c r="J7" s="12" t="str">
        <f aca="true">IFERROR(INDIRECT("'Final Calculation Sheet'!$B"&amp;INDEX('Buyer Lookup'!$A:$AZ,MATCH($B$2,'Buyer Lookup'!$A:$A,0),10)),"")</f>
        <v/>
      </c>
      <c r="K7" s="12" t="str">
        <f aca="true">IFERROR(INDIRECT("'Final Calculation Sheet'!$B"&amp;INDEX('Buyer Lookup'!$A:$AZ,MATCH($B$2,'Buyer Lookup'!$A:$A,0),11)),"")</f>
        <v/>
      </c>
      <c r="L7" s="12" t="str">
        <f aca="true">IFERROR(INDIRECT("'Final Calculation Sheet'!$B"&amp;INDEX('Buyer Lookup'!$A:$AZ,MATCH($B$2,'Buyer Lookup'!$A:$A,0),12)),"")</f>
        <v/>
      </c>
      <c r="M7" s="12" t="str">
        <f aca="true">IFERROR(INDIRECT("'Final Calculation Sheet'!$B"&amp;INDEX('Buyer Lookup'!$A:$AZ,MATCH($B$2,'Buyer Lookup'!$A:$A,0),13)),"")</f>
        <v/>
      </c>
      <c r="N7" s="12" t="str">
        <f aca="true">IFERROR(INDIRECT("'Final Calculation Sheet'!$B"&amp;INDEX('Buyer Lookup'!$A:$AZ,MATCH($B$2,'Buyer Lookup'!$A:$A,0),14)),"")</f>
        <v/>
      </c>
    </row>
    <row r="8" customFormat="false" ht="19.5" hidden="false" customHeight="true" outlineLevel="0" collapsed="false">
      <c r="A8" s="10" t="s">
        <v>22</v>
      </c>
      <c r="B8" s="11" t="n">
        <f aca="true">IFERROR(INDIRECT("'Final Calculation Sheet'!$D"&amp;INDEX('Buyer Lookup'!$A:$AZ,MATCH($B$2,'Buyer Lookup'!$A:$A,0),2)),"")</f>
        <v>21980</v>
      </c>
      <c r="C8" s="11" t="n">
        <f aca="true">IFERROR(INDIRECT("'Final Calculation Sheet'!$D"&amp;INDEX('Buyer Lookup'!$A:$AZ,MATCH($B$2,'Buyer Lookup'!$A:$A,0),3)),"")</f>
        <v>0</v>
      </c>
      <c r="D8" s="11" t="str">
        <f aca="true">IFERROR(INDIRECT("'Final Calculation Sheet'!$D"&amp;INDEX('Buyer Lookup'!$A:$AZ,MATCH($B$2,'Buyer Lookup'!$A:$A,0),4)),"")</f>
        <v/>
      </c>
      <c r="E8" s="11" t="str">
        <f aca="true">IFERROR(INDIRECT("'Final Calculation Sheet'!$D"&amp;INDEX('Buyer Lookup'!$A:$AZ,MATCH($B$2,'Buyer Lookup'!$A:$A,0),5)),"")</f>
        <v/>
      </c>
      <c r="F8" s="11" t="str">
        <f aca="true">IFERROR(INDIRECT("'Final Calculation Sheet'!$D"&amp;INDEX('Buyer Lookup'!$A:$AZ,MATCH($B$2,'Buyer Lookup'!$A:$A,0),6)),"")</f>
        <v/>
      </c>
      <c r="G8" s="11" t="str">
        <f aca="true">IFERROR(INDIRECT("'Final Calculation Sheet'!$D"&amp;INDEX('Buyer Lookup'!$A:$AZ,MATCH($B$2,'Buyer Lookup'!$A:$A,0),7)),"")</f>
        <v/>
      </c>
      <c r="H8" s="11" t="str">
        <f aca="true">IFERROR(INDIRECT("'Final Calculation Sheet'!$D"&amp;INDEX('Buyer Lookup'!$A:$AZ,MATCH($B$2,'Buyer Lookup'!$A:$A,0),8)),"")</f>
        <v/>
      </c>
      <c r="I8" s="11" t="str">
        <f aca="true">IFERROR(INDIRECT("'Final Calculation Sheet'!$D"&amp;INDEX('Buyer Lookup'!$A:$AZ,MATCH($B$2,'Buyer Lookup'!$A:$A,0),9)),"")</f>
        <v/>
      </c>
      <c r="J8" s="11" t="str">
        <f aca="true">IFERROR(INDIRECT("'Final Calculation Sheet'!$D"&amp;INDEX('Buyer Lookup'!$A:$AZ,MATCH($B$2,'Buyer Lookup'!$A:$A,0),10)),"")</f>
        <v/>
      </c>
      <c r="K8" s="11" t="str">
        <f aca="true">IFERROR(INDIRECT("'Final Calculation Sheet'!$D"&amp;INDEX('Buyer Lookup'!$A:$AZ,MATCH($B$2,'Buyer Lookup'!$A:$A,0),11)),"")</f>
        <v/>
      </c>
      <c r="L8" s="11" t="str">
        <f aca="true">IFERROR(INDIRECT("'Final Calculation Sheet'!$D"&amp;INDEX('Buyer Lookup'!$A:$AZ,MATCH($B$2,'Buyer Lookup'!$A:$A,0),12)),"")</f>
        <v/>
      </c>
      <c r="M8" s="11" t="str">
        <f aca="true">IFERROR(INDIRECT("'Final Calculation Sheet'!$D"&amp;INDEX('Buyer Lookup'!$A:$AZ,MATCH($B$2,'Buyer Lookup'!$A:$A,0),13)),"")</f>
        <v/>
      </c>
      <c r="N8" s="11" t="str">
        <f aca="true">IFERROR(INDIRECT("'Final Calculation Sheet'!$D"&amp;INDEX('Buyer Lookup'!$A:$AZ,MATCH($B$2,'Buyer Lookup'!$A:$A,0),14)),"")</f>
        <v/>
      </c>
    </row>
    <row r="9" customFormat="false" ht="19.5" hidden="false" customHeight="true" outlineLevel="0" collapsed="false">
      <c r="A9" s="10" t="s">
        <v>23</v>
      </c>
      <c r="B9" s="13" t="n">
        <f aca="true">IFERROR(INDIRECT("'Final Calculation Sheet'!$A"&amp;INDEX('Buyer Lookup'!$A:$AZ,MATCH($B$2,'Buyer Lookup'!$A:$A,0),2)),"")</f>
        <v>669</v>
      </c>
      <c r="C9" s="13" t="n">
        <f aca="true">IFERROR(INDIRECT("'Final Calculation Sheet'!$A"&amp;INDEX('Buyer Lookup'!$A:$AZ,MATCH($B$2,'Buyer Lookup'!$A:$A,0),3)),"")</f>
        <v>0</v>
      </c>
      <c r="D9" s="13" t="str">
        <f aca="true">IFERROR(INDIRECT("'Final Calculation Sheet'!$A"&amp;INDEX('Buyer Lookup'!$A:$AZ,MATCH($B$2,'Buyer Lookup'!$A:$A,0),4)),"")</f>
        <v/>
      </c>
      <c r="E9" s="13" t="str">
        <f aca="true">IFERROR(INDIRECT("'Final Calculation Sheet'!$A"&amp;INDEX('Buyer Lookup'!$A:$AZ,MATCH($B$2,'Buyer Lookup'!$A:$A,0),5)),"")</f>
        <v/>
      </c>
      <c r="F9" s="13" t="str">
        <f aca="true">IFERROR(INDIRECT("'Final Calculation Sheet'!$A"&amp;INDEX('Buyer Lookup'!$A:$AZ,MATCH($B$2,'Buyer Lookup'!$A:$A,0),6)),"")</f>
        <v/>
      </c>
      <c r="G9" s="13" t="str">
        <f aca="true">IFERROR(INDIRECT("'Final Calculation Sheet'!$A"&amp;INDEX('Buyer Lookup'!$A:$AZ,MATCH($B$2,'Buyer Lookup'!$A:$A,0),7)),"")</f>
        <v/>
      </c>
      <c r="H9" s="13" t="str">
        <f aca="true">IFERROR(INDIRECT("'Final Calculation Sheet'!$A"&amp;INDEX('Buyer Lookup'!$A:$AZ,MATCH($B$2,'Buyer Lookup'!$A:$A,0),8)),"")</f>
        <v/>
      </c>
      <c r="I9" s="13" t="str">
        <f aca="true">IFERROR(INDIRECT("'Final Calculation Sheet'!$A"&amp;INDEX('Buyer Lookup'!$A:$AZ,MATCH($B$2,'Buyer Lookup'!$A:$A,0),9)),"")</f>
        <v/>
      </c>
      <c r="J9" s="13" t="str">
        <f aca="true">IFERROR(INDIRECT("'Final Calculation Sheet'!$A"&amp;INDEX('Buyer Lookup'!$A:$AZ,MATCH($B$2,'Buyer Lookup'!$A:$A,0),10)),"")</f>
        <v/>
      </c>
      <c r="K9" s="13" t="str">
        <f aca="true">IFERROR(INDIRECT("'Final Calculation Sheet'!$A"&amp;INDEX('Buyer Lookup'!$A:$AZ,MATCH($B$2,'Buyer Lookup'!$A:$A,0),11)),"")</f>
        <v/>
      </c>
      <c r="L9" s="13" t="str">
        <f aca="true">IFERROR(INDIRECT("'Final Calculation Sheet'!$A"&amp;INDEX('Buyer Lookup'!$A:$AZ,MATCH($B$2,'Buyer Lookup'!$A:$A,0),12)),"")</f>
        <v/>
      </c>
      <c r="M9" s="13" t="str">
        <f aca="true">IFERROR(INDIRECT("'Final Calculation Sheet'!$A"&amp;INDEX('Buyer Lookup'!$A:$AZ,MATCH($B$2,'Buyer Lookup'!$A:$A,0),13)),"")</f>
        <v/>
      </c>
      <c r="N9" s="13" t="str">
        <f aca="true">IFERROR(INDIRECT("'Final Calculation Sheet'!$A"&amp;INDEX('Buyer Lookup'!$A:$AZ,MATCH($B$2,'Buyer Lookup'!$A:$A,0),14)),"")</f>
        <v/>
      </c>
    </row>
    <row r="10" customFormat="false" ht="19.5" hidden="false" customHeight="true" outlineLevel="0" collapsed="false">
      <c r="A10" s="10" t="s">
        <v>24</v>
      </c>
      <c r="B10" s="14" t="str">
        <f aca="true">IFERROR(INDIRECT("'Final Calculation Sheet'!$E"&amp;INDEX('Buyer Lookup'!$A:$AZ,MATCH($B$2,'Buyer Lookup'!$A:$A,0),2)),"")</f>
        <v>KG</v>
      </c>
      <c r="C10" s="14" t="n">
        <f aca="true">IFERROR(INDIRECT("'Final Calculation Sheet'!$E"&amp;INDEX('Buyer Lookup'!$A:$AZ,MATCH($B$2,'Buyer Lookup'!$A:$A,0),3)),"")</f>
        <v>0</v>
      </c>
      <c r="D10" s="14" t="str">
        <f aca="true">IFERROR(INDIRECT("'Final Calculation Sheet'!$E"&amp;INDEX('Buyer Lookup'!$A:$AZ,MATCH($B$2,'Buyer Lookup'!$A:$A,0),4)),"")</f>
        <v/>
      </c>
      <c r="E10" s="14" t="str">
        <f aca="true">IFERROR(INDIRECT("'Final Calculation Sheet'!$E"&amp;INDEX('Buyer Lookup'!$A:$AZ,MATCH($B$2,'Buyer Lookup'!$A:$A,0),5)),"")</f>
        <v/>
      </c>
      <c r="F10" s="14" t="str">
        <f aca="true">IFERROR(INDIRECT("'Final Calculation Sheet'!$E"&amp;INDEX('Buyer Lookup'!$A:$AZ,MATCH($B$2,'Buyer Lookup'!$A:$A,0),6)),"")</f>
        <v/>
      </c>
      <c r="G10" s="14" t="str">
        <f aca="true">IFERROR(INDIRECT("'Final Calculation Sheet'!$E"&amp;INDEX('Buyer Lookup'!$A:$AZ,MATCH($B$2,'Buyer Lookup'!$A:$A,0),7)),"")</f>
        <v/>
      </c>
      <c r="H10" s="14" t="str">
        <f aca="true">IFERROR(INDIRECT("'Final Calculation Sheet'!$E"&amp;INDEX('Buyer Lookup'!$A:$AZ,MATCH($B$2,'Buyer Lookup'!$A:$A,0),8)),"")</f>
        <v/>
      </c>
      <c r="I10" s="14" t="str">
        <f aca="true">IFERROR(INDIRECT("'Final Calculation Sheet'!$E"&amp;INDEX('Buyer Lookup'!$A:$AZ,MATCH($B$2,'Buyer Lookup'!$A:$A,0),9)),"")</f>
        <v/>
      </c>
      <c r="J10" s="14" t="str">
        <f aca="true">IFERROR(INDIRECT("'Final Calculation Sheet'!$E"&amp;INDEX('Buyer Lookup'!$A:$AZ,MATCH($B$2,'Buyer Lookup'!$A:$A,0),10)),"")</f>
        <v/>
      </c>
      <c r="K10" s="14" t="str">
        <f aca="true">IFERROR(INDIRECT("'Final Calculation Sheet'!$E"&amp;INDEX('Buyer Lookup'!$A:$AZ,MATCH($B$2,'Buyer Lookup'!$A:$A,0),11)),"")</f>
        <v/>
      </c>
      <c r="L10" s="14" t="str">
        <f aca="true">IFERROR(INDIRECT("'Final Calculation Sheet'!$E"&amp;INDEX('Buyer Lookup'!$A:$AZ,MATCH($B$2,'Buyer Lookup'!$A:$A,0),12)),"")</f>
        <v/>
      </c>
      <c r="M10" s="14" t="str">
        <f aca="true">IFERROR(INDIRECT("'Final Calculation Sheet'!$E"&amp;INDEX('Buyer Lookup'!$A:$AZ,MATCH($B$2,'Buyer Lookup'!$A:$A,0),13)),"")</f>
        <v/>
      </c>
      <c r="N10" s="14" t="str">
        <f aca="true">IFERROR(INDIRECT("'Final Calculation Sheet'!$E"&amp;INDEX('Buyer Lookup'!$A:$AZ,MATCH($B$2,'Buyer Lookup'!$A:$A,0),14)),"")</f>
        <v/>
      </c>
    </row>
    <row r="11" customFormat="false" ht="19.5" hidden="false" customHeight="true" outlineLevel="0" collapsed="false">
      <c r="A11" s="10" t="s">
        <v>25</v>
      </c>
      <c r="B11" s="15" t="n">
        <f aca="true">IFERROR(INDIRECT("'Final Calculation Sheet'!$C"&amp;INDEX('Buyer Lookup'!$A:$AZ,MATCH($B$2,'Buyer Lookup'!$A:$A,0),2)),"")</f>
        <v>1181</v>
      </c>
      <c r="C11" s="15" t="n">
        <f aca="true">IFERROR(INDIRECT("'Final Calculation Sheet'!$C"&amp;INDEX('Buyer Lookup'!$A:$AZ,MATCH($B$2,'Buyer Lookup'!$A:$A,0),3)),"")</f>
        <v>0</v>
      </c>
      <c r="D11" s="15" t="str">
        <f aca="true">IFERROR(INDIRECT("'Final Calculation Sheet'!$C"&amp;INDEX('Buyer Lookup'!$A:$AZ,MATCH($B$2,'Buyer Lookup'!$A:$A,0),4)),"")</f>
        <v/>
      </c>
      <c r="E11" s="15" t="str">
        <f aca="true">IFERROR(INDIRECT("'Final Calculation Sheet'!$C"&amp;INDEX('Buyer Lookup'!$A:$AZ,MATCH($B$2,'Buyer Lookup'!$A:$A,0),5)),"")</f>
        <v/>
      </c>
      <c r="F11" s="15" t="str">
        <f aca="true">IFERROR(INDIRECT("'Final Calculation Sheet'!$C"&amp;INDEX('Buyer Lookup'!$A:$AZ,MATCH($B$2,'Buyer Lookup'!$A:$A,0),6)),"")</f>
        <v/>
      </c>
      <c r="G11" s="15" t="str">
        <f aca="true">IFERROR(INDIRECT("'Final Calculation Sheet'!$C"&amp;INDEX('Buyer Lookup'!$A:$AZ,MATCH($B$2,'Buyer Lookup'!$A:$A,0),7)),"")</f>
        <v/>
      </c>
      <c r="H11" s="15" t="str">
        <f aca="true">IFERROR(INDIRECT("'Final Calculation Sheet'!$C"&amp;INDEX('Buyer Lookup'!$A:$AZ,MATCH($B$2,'Buyer Lookup'!$A:$A,0),8)),"")</f>
        <v/>
      </c>
      <c r="I11" s="15" t="str">
        <f aca="true">IFERROR(INDIRECT("'Final Calculation Sheet'!$C"&amp;INDEX('Buyer Lookup'!$A:$AZ,MATCH($B$2,'Buyer Lookup'!$A:$A,0),9)),"")</f>
        <v/>
      </c>
      <c r="J11" s="15" t="str">
        <f aca="true">IFERROR(INDIRECT("'Final Calculation Sheet'!$C"&amp;INDEX('Buyer Lookup'!$A:$AZ,MATCH($B$2,'Buyer Lookup'!$A:$A,0),10)),"")</f>
        <v/>
      </c>
      <c r="K11" s="15" t="str">
        <f aca="true">IFERROR(INDIRECT("'Final Calculation Sheet'!$C"&amp;INDEX('Buyer Lookup'!$A:$AZ,MATCH($B$2,'Buyer Lookup'!$A:$A,0),11)),"")</f>
        <v/>
      </c>
      <c r="L11" s="15" t="str">
        <f aca="true">IFERROR(INDIRECT("'Final Calculation Sheet'!$C"&amp;INDEX('Buyer Lookup'!$A:$AZ,MATCH($B$2,'Buyer Lookup'!$A:$A,0),12)),"")</f>
        <v/>
      </c>
      <c r="M11" s="15" t="str">
        <f aca="true">IFERROR(INDIRECT("'Final Calculation Sheet'!$C"&amp;INDEX('Buyer Lookup'!$A:$AZ,MATCH($B$2,'Buyer Lookup'!$A:$A,0),13)),"")</f>
        <v/>
      </c>
      <c r="N11" s="15" t="str">
        <f aca="true">IFERROR(INDIRECT("'Final Calculation Sheet'!$C"&amp;INDEX('Buyer Lookup'!$A:$AZ,MATCH($B$2,'Buyer Lookup'!$A:$A,0),14)),"")</f>
        <v/>
      </c>
    </row>
    <row r="12" customFormat="false" ht="19.5" hidden="false" customHeight="true" outlineLevel="0" collapsed="false"/>
    <row r="13" customFormat="false" ht="21.75" hidden="false" customHeight="true" outlineLevel="0" collapsed="false">
      <c r="A13" s="7" t="s">
        <v>26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customFormat="false" ht="19.5" hidden="false" customHeight="true" outlineLevel="0" collapsed="false">
      <c r="A14" s="10" t="s">
        <v>27</v>
      </c>
      <c r="B14" s="16" t="n">
        <f aca="true">IFERROR(INDIRECT("'Final Calculation Sheet'!$H"&amp;INDEX('Buyer Lookup'!$A:$AZ,MATCH($B$2,'Buyer Lookup'!$A:$A,0),2)),"")</f>
        <v>790089</v>
      </c>
      <c r="C14" s="16" t="n">
        <f aca="true">IFERROR(INDIRECT("'Final Calculation Sheet'!$H"&amp;INDEX('Buyer Lookup'!$A:$AZ,MATCH($B$2,'Buyer Lookup'!$A:$A,0),3)),"")</f>
        <v>0</v>
      </c>
      <c r="D14" s="16" t="str">
        <f aca="true">IFERROR(INDIRECT("'Final Calculation Sheet'!$H"&amp;INDEX('Buyer Lookup'!$A:$AZ,MATCH($B$2,'Buyer Lookup'!$A:$A,0),4)),"")</f>
        <v/>
      </c>
      <c r="E14" s="16" t="str">
        <f aca="true">IFERROR(INDIRECT("'Final Calculation Sheet'!$H"&amp;INDEX('Buyer Lookup'!$A:$AZ,MATCH($B$2,'Buyer Lookup'!$A:$A,0),5)),"")</f>
        <v/>
      </c>
      <c r="F14" s="16" t="str">
        <f aca="true">IFERROR(INDIRECT("'Final Calculation Sheet'!$H"&amp;INDEX('Buyer Lookup'!$A:$AZ,MATCH($B$2,'Buyer Lookup'!$A:$A,0),6)),"")</f>
        <v/>
      </c>
      <c r="G14" s="16" t="str">
        <f aca="true">IFERROR(INDIRECT("'Final Calculation Sheet'!$H"&amp;INDEX('Buyer Lookup'!$A:$AZ,MATCH($B$2,'Buyer Lookup'!$A:$A,0),7)),"")</f>
        <v/>
      </c>
      <c r="H14" s="16" t="str">
        <f aca="true">IFERROR(INDIRECT("'Final Calculation Sheet'!$H"&amp;INDEX('Buyer Lookup'!$A:$AZ,MATCH($B$2,'Buyer Lookup'!$A:$A,0),8)),"")</f>
        <v/>
      </c>
      <c r="I14" s="16" t="str">
        <f aca="true">IFERROR(INDIRECT("'Final Calculation Sheet'!$H"&amp;INDEX('Buyer Lookup'!$A:$AZ,MATCH($B$2,'Buyer Lookup'!$A:$A,0),9)),"")</f>
        <v/>
      </c>
      <c r="J14" s="16" t="str">
        <f aca="true">IFERROR(INDIRECT("'Final Calculation Sheet'!$H"&amp;INDEX('Buyer Lookup'!$A:$AZ,MATCH($B$2,'Buyer Lookup'!$A:$A,0),10)),"")</f>
        <v/>
      </c>
      <c r="K14" s="16" t="str">
        <f aca="true">IFERROR(INDIRECT("'Final Calculation Sheet'!$H"&amp;INDEX('Buyer Lookup'!$A:$AZ,MATCH($B$2,'Buyer Lookup'!$A:$A,0),11)),"")</f>
        <v/>
      </c>
      <c r="L14" s="16" t="str">
        <f aca="true">IFERROR(INDIRECT("'Final Calculation Sheet'!$H"&amp;INDEX('Buyer Lookup'!$A:$AZ,MATCH($B$2,'Buyer Lookup'!$A:$A,0),12)),"")</f>
        <v/>
      </c>
      <c r="M14" s="16" t="str">
        <f aca="true">IFERROR(INDIRECT("'Final Calculation Sheet'!$H"&amp;INDEX('Buyer Lookup'!$A:$AZ,MATCH($B$2,'Buyer Lookup'!$A:$A,0),13)),"")</f>
        <v/>
      </c>
      <c r="N14" s="16" t="str">
        <f aca="true">IFERROR(INDIRECT("'Final Calculation Sheet'!$H"&amp;INDEX('Buyer Lookup'!$A:$AZ,MATCH($B$2,'Buyer Lookup'!$A:$A,0),14)),"")</f>
        <v/>
      </c>
    </row>
    <row r="15" customFormat="false" ht="19.5" hidden="false" customHeight="true" outlineLevel="0" collapsed="false">
      <c r="A15" s="10" t="s">
        <v>28</v>
      </c>
      <c r="B15" s="15" t="n">
        <f aca="true">IFERROR(INDIRECT("'Final Calculation Sheet'!$I"&amp;INDEX('Buyer Lookup'!$A:$AZ,MATCH($B$2,'Buyer Lookup'!$A:$A,0),2)),"")</f>
        <v>142216</v>
      </c>
      <c r="C15" s="15" t="n">
        <f aca="true">IFERROR(INDIRECT("'Final Calculation Sheet'!$I"&amp;INDEX('Buyer Lookup'!$A:$AZ,MATCH($B$2,'Buyer Lookup'!$A:$A,0),3)),"")</f>
        <v>0</v>
      </c>
      <c r="D15" s="15" t="str">
        <f aca="true">IFERROR(INDIRECT("'Final Calculation Sheet'!$I"&amp;INDEX('Buyer Lookup'!$A:$AZ,MATCH($B$2,'Buyer Lookup'!$A:$A,0),4)),"")</f>
        <v/>
      </c>
      <c r="E15" s="15" t="str">
        <f aca="true">IFERROR(INDIRECT("'Final Calculation Sheet'!$I"&amp;INDEX('Buyer Lookup'!$A:$AZ,MATCH($B$2,'Buyer Lookup'!$A:$A,0),5)),"")</f>
        <v/>
      </c>
      <c r="F15" s="15" t="str">
        <f aca="true">IFERROR(INDIRECT("'Final Calculation Sheet'!$I"&amp;INDEX('Buyer Lookup'!$A:$AZ,MATCH($B$2,'Buyer Lookup'!$A:$A,0),6)),"")</f>
        <v/>
      </c>
      <c r="G15" s="15" t="str">
        <f aca="true">IFERROR(INDIRECT("'Final Calculation Sheet'!$I"&amp;INDEX('Buyer Lookup'!$A:$AZ,MATCH($B$2,'Buyer Lookup'!$A:$A,0),7)),"")</f>
        <v/>
      </c>
      <c r="H15" s="15" t="str">
        <f aca="true">IFERROR(INDIRECT("'Final Calculation Sheet'!$I"&amp;INDEX('Buyer Lookup'!$A:$AZ,MATCH($B$2,'Buyer Lookup'!$A:$A,0),8)),"")</f>
        <v/>
      </c>
      <c r="I15" s="15" t="str">
        <f aca="true">IFERROR(INDIRECT("'Final Calculation Sheet'!$I"&amp;INDEX('Buyer Lookup'!$A:$AZ,MATCH($B$2,'Buyer Lookup'!$A:$A,0),9)),"")</f>
        <v/>
      </c>
      <c r="J15" s="15" t="str">
        <f aca="true">IFERROR(INDIRECT("'Final Calculation Sheet'!$I"&amp;INDEX('Buyer Lookup'!$A:$AZ,MATCH($B$2,'Buyer Lookup'!$A:$A,0),10)),"")</f>
        <v/>
      </c>
      <c r="K15" s="15" t="str">
        <f aca="true">IFERROR(INDIRECT("'Final Calculation Sheet'!$I"&amp;INDEX('Buyer Lookup'!$A:$AZ,MATCH($B$2,'Buyer Lookup'!$A:$A,0),11)),"")</f>
        <v/>
      </c>
      <c r="L15" s="15" t="str">
        <f aca="true">IFERROR(INDIRECT("'Final Calculation Sheet'!$I"&amp;INDEX('Buyer Lookup'!$A:$AZ,MATCH($B$2,'Buyer Lookup'!$A:$A,0),12)),"")</f>
        <v/>
      </c>
      <c r="M15" s="15" t="str">
        <f aca="true">IFERROR(INDIRECT("'Final Calculation Sheet'!$I"&amp;INDEX('Buyer Lookup'!$A:$AZ,MATCH($B$2,'Buyer Lookup'!$A:$A,0),13)),"")</f>
        <v/>
      </c>
      <c r="N15" s="15" t="str">
        <f aca="true">IFERROR(INDIRECT("'Final Calculation Sheet'!$I"&amp;INDEX('Buyer Lookup'!$A:$AZ,MATCH($B$2,'Buyer Lookup'!$A:$A,0),14)),"")</f>
        <v/>
      </c>
    </row>
    <row r="16" customFormat="false" ht="19.5" hidden="false" customHeight="true" outlineLevel="0" collapsed="false">
      <c r="A16" s="10" t="s">
        <v>29</v>
      </c>
      <c r="B16" s="16" t="n">
        <f aca="true">IFERROR(INDIRECT("'Final Calculation Sheet'!$J"&amp;INDEX('Buyer Lookup'!$A:$AZ,MATCH($B$2,'Buyer Lookup'!$A:$A,0),2)),"")</f>
        <v>932305</v>
      </c>
      <c r="C16" s="16" t="n">
        <f aca="true">IFERROR(INDIRECT("'Final Calculation Sheet'!$J"&amp;INDEX('Buyer Lookup'!$A:$AZ,MATCH($B$2,'Buyer Lookup'!$A:$A,0),3)),"")</f>
        <v>0</v>
      </c>
      <c r="D16" s="16" t="str">
        <f aca="true">IFERROR(INDIRECT("'Final Calculation Sheet'!$J"&amp;INDEX('Buyer Lookup'!$A:$AZ,MATCH($B$2,'Buyer Lookup'!$A:$A,0),4)),"")</f>
        <v/>
      </c>
      <c r="E16" s="16" t="str">
        <f aca="true">IFERROR(INDIRECT("'Final Calculation Sheet'!$J"&amp;INDEX('Buyer Lookup'!$A:$AZ,MATCH($B$2,'Buyer Lookup'!$A:$A,0),5)),"")</f>
        <v/>
      </c>
      <c r="F16" s="16" t="str">
        <f aca="true">IFERROR(INDIRECT("'Final Calculation Sheet'!$J"&amp;INDEX('Buyer Lookup'!$A:$AZ,MATCH($B$2,'Buyer Lookup'!$A:$A,0),6)),"")</f>
        <v/>
      </c>
      <c r="G16" s="16" t="str">
        <f aca="true">IFERROR(INDIRECT("'Final Calculation Sheet'!$J"&amp;INDEX('Buyer Lookup'!$A:$AZ,MATCH($B$2,'Buyer Lookup'!$A:$A,0),7)),"")</f>
        <v/>
      </c>
      <c r="H16" s="16" t="str">
        <f aca="true">IFERROR(INDIRECT("'Final Calculation Sheet'!$J"&amp;INDEX('Buyer Lookup'!$A:$AZ,MATCH($B$2,'Buyer Lookup'!$A:$A,0),8)),"")</f>
        <v/>
      </c>
      <c r="I16" s="16" t="str">
        <f aca="true">IFERROR(INDIRECT("'Final Calculation Sheet'!$J"&amp;INDEX('Buyer Lookup'!$A:$AZ,MATCH($B$2,'Buyer Lookup'!$A:$A,0),9)),"")</f>
        <v/>
      </c>
      <c r="J16" s="16" t="str">
        <f aca="true">IFERROR(INDIRECT("'Final Calculation Sheet'!$J"&amp;INDEX('Buyer Lookup'!$A:$AZ,MATCH($B$2,'Buyer Lookup'!$A:$A,0),10)),"")</f>
        <v/>
      </c>
      <c r="K16" s="16" t="str">
        <f aca="true">IFERROR(INDIRECT("'Final Calculation Sheet'!$J"&amp;INDEX('Buyer Lookup'!$A:$AZ,MATCH($B$2,'Buyer Lookup'!$A:$A,0),11)),"")</f>
        <v/>
      </c>
      <c r="L16" s="16" t="str">
        <f aca="true">IFERROR(INDIRECT("'Final Calculation Sheet'!$J"&amp;INDEX('Buyer Lookup'!$A:$AZ,MATCH($B$2,'Buyer Lookup'!$A:$A,0),12)),"")</f>
        <v/>
      </c>
      <c r="M16" s="16" t="str">
        <f aca="true">IFERROR(INDIRECT("'Final Calculation Sheet'!$J"&amp;INDEX('Buyer Lookup'!$A:$AZ,MATCH($B$2,'Buyer Lookup'!$A:$A,0),13)),"")</f>
        <v/>
      </c>
      <c r="N16" s="16" t="str">
        <f aca="true">IFERROR(INDIRECT("'Final Calculation Sheet'!$J"&amp;INDEX('Buyer Lookup'!$A:$AZ,MATCH($B$2,'Buyer Lookup'!$A:$A,0),14)),"")</f>
        <v/>
      </c>
    </row>
    <row r="17" customFormat="false" ht="19.5" hidden="false" customHeight="true" outlineLevel="0" collapsed="false">
      <c r="A17" s="10" t="s">
        <v>30</v>
      </c>
      <c r="B17" s="15" t="n">
        <f aca="true">IFERROR(INDIRECT("'Final Calculation Sheet'!$K"&amp;INDEX('Buyer Lookup'!$A:$AZ,MATCH($B$2,'Buyer Lookup'!$A:$A,0),2)),"")</f>
        <v>18646</v>
      </c>
      <c r="C17" s="15" t="n">
        <f aca="true">IFERROR(INDIRECT("'Final Calculation Sheet'!$K"&amp;INDEX('Buyer Lookup'!$A:$AZ,MATCH($B$2,'Buyer Lookup'!$A:$A,0),3)),"")</f>
        <v>0</v>
      </c>
      <c r="D17" s="15" t="str">
        <f aca="true">IFERROR(INDIRECT("'Final Calculation Sheet'!$K"&amp;INDEX('Buyer Lookup'!$A:$AZ,MATCH($B$2,'Buyer Lookup'!$A:$A,0),4)),"")</f>
        <v/>
      </c>
      <c r="E17" s="15" t="str">
        <f aca="true">IFERROR(INDIRECT("'Final Calculation Sheet'!$K"&amp;INDEX('Buyer Lookup'!$A:$AZ,MATCH($B$2,'Buyer Lookup'!$A:$A,0),5)),"")</f>
        <v/>
      </c>
      <c r="F17" s="15" t="str">
        <f aca="true">IFERROR(INDIRECT("'Final Calculation Sheet'!$K"&amp;INDEX('Buyer Lookup'!$A:$AZ,MATCH($B$2,'Buyer Lookup'!$A:$A,0),6)),"")</f>
        <v/>
      </c>
      <c r="G17" s="15" t="str">
        <f aca="true">IFERROR(INDIRECT("'Final Calculation Sheet'!$K"&amp;INDEX('Buyer Lookup'!$A:$AZ,MATCH($B$2,'Buyer Lookup'!$A:$A,0),7)),"")</f>
        <v/>
      </c>
      <c r="H17" s="15" t="str">
        <f aca="true">IFERROR(INDIRECT("'Final Calculation Sheet'!$K"&amp;INDEX('Buyer Lookup'!$A:$AZ,MATCH($B$2,'Buyer Lookup'!$A:$A,0),8)),"")</f>
        <v/>
      </c>
      <c r="I17" s="15" t="str">
        <f aca="true">IFERROR(INDIRECT("'Final Calculation Sheet'!$K"&amp;INDEX('Buyer Lookup'!$A:$AZ,MATCH($B$2,'Buyer Lookup'!$A:$A,0),9)),"")</f>
        <v/>
      </c>
      <c r="J17" s="15" t="str">
        <f aca="true">IFERROR(INDIRECT("'Final Calculation Sheet'!$K"&amp;INDEX('Buyer Lookup'!$A:$AZ,MATCH($B$2,'Buyer Lookup'!$A:$A,0),10)),"")</f>
        <v/>
      </c>
      <c r="K17" s="15" t="str">
        <f aca="true">IFERROR(INDIRECT("'Final Calculation Sheet'!$K"&amp;INDEX('Buyer Lookup'!$A:$AZ,MATCH($B$2,'Buyer Lookup'!$A:$A,0),11)),"")</f>
        <v/>
      </c>
      <c r="L17" s="15" t="str">
        <f aca="true">IFERROR(INDIRECT("'Final Calculation Sheet'!$K"&amp;INDEX('Buyer Lookup'!$A:$AZ,MATCH($B$2,'Buyer Lookup'!$A:$A,0),12)),"")</f>
        <v/>
      </c>
      <c r="M17" s="15" t="str">
        <f aca="true">IFERROR(INDIRECT("'Final Calculation Sheet'!$K"&amp;INDEX('Buyer Lookup'!$A:$AZ,MATCH($B$2,'Buyer Lookup'!$A:$A,0),13)),"")</f>
        <v/>
      </c>
      <c r="N17" s="15" t="str">
        <f aca="true">IFERROR(INDIRECT("'Final Calculation Sheet'!$K"&amp;INDEX('Buyer Lookup'!$A:$AZ,MATCH($B$2,'Buyer Lookup'!$A:$A,0),14)),"")</f>
        <v/>
      </c>
    </row>
    <row r="18" customFormat="false" ht="19.5" hidden="false" customHeight="true" outlineLevel="0" collapsed="false">
      <c r="A18" s="10" t="s">
        <v>31</v>
      </c>
      <c r="B18" s="16" t="n">
        <f aca="true">IFERROR(INDIRECT("'Final Calculation Sheet'!$L"&amp;INDEX('Buyer Lookup'!$A:$AZ,MATCH($B$2,'Buyer Lookup'!$A:$A,0),2)),"")</f>
        <v>790.089</v>
      </c>
      <c r="C18" s="16" t="n">
        <f aca="true">IFERROR(INDIRECT("'Final Calculation Sheet'!$L"&amp;INDEX('Buyer Lookup'!$A:$AZ,MATCH($B$2,'Buyer Lookup'!$A:$A,0),3)),"")</f>
        <v>0</v>
      </c>
      <c r="D18" s="16" t="str">
        <f aca="true">IFERROR(INDIRECT("'Final Calculation Sheet'!$L"&amp;INDEX('Buyer Lookup'!$A:$AZ,MATCH($B$2,'Buyer Lookup'!$A:$A,0),4)),"")</f>
        <v/>
      </c>
      <c r="E18" s="16" t="str">
        <f aca="true">IFERROR(INDIRECT("'Final Calculation Sheet'!$L"&amp;INDEX('Buyer Lookup'!$A:$AZ,MATCH($B$2,'Buyer Lookup'!$A:$A,0),5)),"")</f>
        <v/>
      </c>
      <c r="F18" s="16" t="str">
        <f aca="true">IFERROR(INDIRECT("'Final Calculation Sheet'!$L"&amp;INDEX('Buyer Lookup'!$A:$AZ,MATCH($B$2,'Buyer Lookup'!$A:$A,0),6)),"")</f>
        <v/>
      </c>
      <c r="G18" s="16" t="str">
        <f aca="true">IFERROR(INDIRECT("'Final Calculation Sheet'!$L"&amp;INDEX('Buyer Lookup'!$A:$AZ,MATCH($B$2,'Buyer Lookup'!$A:$A,0),7)),"")</f>
        <v/>
      </c>
      <c r="H18" s="16" t="str">
        <f aca="true">IFERROR(INDIRECT("'Final Calculation Sheet'!$L"&amp;INDEX('Buyer Lookup'!$A:$AZ,MATCH($B$2,'Buyer Lookup'!$A:$A,0),8)),"")</f>
        <v/>
      </c>
      <c r="I18" s="16" t="str">
        <f aca="true">IFERROR(INDIRECT("'Final Calculation Sheet'!$L"&amp;INDEX('Buyer Lookup'!$A:$AZ,MATCH($B$2,'Buyer Lookup'!$A:$A,0),9)),"")</f>
        <v/>
      </c>
      <c r="J18" s="16" t="str">
        <f aca="true">IFERROR(INDIRECT("'Final Calculation Sheet'!$L"&amp;INDEX('Buyer Lookup'!$A:$AZ,MATCH($B$2,'Buyer Lookup'!$A:$A,0),10)),"")</f>
        <v/>
      </c>
      <c r="K18" s="16" t="str">
        <f aca="true">IFERROR(INDIRECT("'Final Calculation Sheet'!$L"&amp;INDEX('Buyer Lookup'!$A:$AZ,MATCH($B$2,'Buyer Lookup'!$A:$A,0),11)),"")</f>
        <v/>
      </c>
      <c r="L18" s="16" t="str">
        <f aca="true">IFERROR(INDIRECT("'Final Calculation Sheet'!$L"&amp;INDEX('Buyer Lookup'!$A:$AZ,MATCH($B$2,'Buyer Lookup'!$A:$A,0),12)),"")</f>
        <v/>
      </c>
      <c r="M18" s="16" t="str">
        <f aca="true">IFERROR(INDIRECT("'Final Calculation Sheet'!$L"&amp;INDEX('Buyer Lookup'!$A:$AZ,MATCH($B$2,'Buyer Lookup'!$A:$A,0),13)),"")</f>
        <v/>
      </c>
      <c r="N18" s="16" t="str">
        <f aca="true">IFERROR(INDIRECT("'Final Calculation Sheet'!$L"&amp;INDEX('Buyer Lookup'!$A:$AZ,MATCH($B$2,'Buyer Lookup'!$A:$A,0),14)),"")</f>
        <v/>
      </c>
    </row>
    <row r="19" customFormat="false" ht="19.5" hidden="false" customHeight="true" outlineLevel="0" collapsed="false">
      <c r="A19" s="10" t="s">
        <v>32</v>
      </c>
      <c r="B19" s="15" t="n">
        <f aca="true">IFERROR(INDIRECT("'Final Calculation Sheet'!$M"&amp;INDEX('Buyer Lookup'!$A:$AZ,MATCH($B$2,'Buyer Lookup'!$A:$A,0),2)),"")</f>
        <v>20976.86295</v>
      </c>
      <c r="C19" s="15" t="n">
        <f aca="true">IFERROR(INDIRECT("'Final Calculation Sheet'!$M"&amp;INDEX('Buyer Lookup'!$A:$AZ,MATCH($B$2,'Buyer Lookup'!$A:$A,0),3)),"")</f>
        <v>0</v>
      </c>
      <c r="D19" s="15" t="str">
        <f aca="true">IFERROR(INDIRECT("'Final Calculation Sheet'!$M"&amp;INDEX('Buyer Lookup'!$A:$AZ,MATCH($B$2,'Buyer Lookup'!$A:$A,0),4)),"")</f>
        <v/>
      </c>
      <c r="E19" s="15" t="str">
        <f aca="true">IFERROR(INDIRECT("'Final Calculation Sheet'!$M"&amp;INDEX('Buyer Lookup'!$A:$AZ,MATCH($B$2,'Buyer Lookup'!$A:$A,0),5)),"")</f>
        <v/>
      </c>
      <c r="F19" s="15" t="str">
        <f aca="true">IFERROR(INDIRECT("'Final Calculation Sheet'!$M"&amp;INDEX('Buyer Lookup'!$A:$AZ,MATCH($B$2,'Buyer Lookup'!$A:$A,0),6)),"")</f>
        <v/>
      </c>
      <c r="G19" s="15" t="str">
        <f aca="true">IFERROR(INDIRECT("'Final Calculation Sheet'!$M"&amp;INDEX('Buyer Lookup'!$A:$AZ,MATCH($B$2,'Buyer Lookup'!$A:$A,0),7)),"")</f>
        <v/>
      </c>
      <c r="H19" s="15" t="str">
        <f aca="true">IFERROR(INDIRECT("'Final Calculation Sheet'!$M"&amp;INDEX('Buyer Lookup'!$A:$AZ,MATCH($B$2,'Buyer Lookup'!$A:$A,0),8)),"")</f>
        <v/>
      </c>
      <c r="I19" s="15" t="str">
        <f aca="true">IFERROR(INDIRECT("'Final Calculation Sheet'!$M"&amp;INDEX('Buyer Lookup'!$A:$AZ,MATCH($B$2,'Buyer Lookup'!$A:$A,0),9)),"")</f>
        <v/>
      </c>
      <c r="J19" s="15" t="str">
        <f aca="true">IFERROR(INDIRECT("'Final Calculation Sheet'!$M"&amp;INDEX('Buyer Lookup'!$A:$AZ,MATCH($B$2,'Buyer Lookup'!$A:$A,0),10)),"")</f>
        <v/>
      </c>
      <c r="K19" s="15" t="str">
        <f aca="true">IFERROR(INDIRECT("'Final Calculation Sheet'!$M"&amp;INDEX('Buyer Lookup'!$A:$AZ,MATCH($B$2,'Buyer Lookup'!$A:$A,0),11)),"")</f>
        <v/>
      </c>
      <c r="L19" s="15" t="str">
        <f aca="true">IFERROR(INDIRECT("'Final Calculation Sheet'!$M"&amp;INDEX('Buyer Lookup'!$A:$AZ,MATCH($B$2,'Buyer Lookup'!$A:$A,0),12)),"")</f>
        <v/>
      </c>
      <c r="M19" s="15" t="str">
        <f aca="true">IFERROR(INDIRECT("'Final Calculation Sheet'!$M"&amp;INDEX('Buyer Lookup'!$A:$AZ,MATCH($B$2,'Buyer Lookup'!$A:$A,0),13)),"")</f>
        <v/>
      </c>
      <c r="N19" s="15" t="str">
        <f aca="true">IFERROR(INDIRECT("'Final Calculation Sheet'!$M"&amp;INDEX('Buyer Lookup'!$A:$AZ,MATCH($B$2,'Buyer Lookup'!$A:$A,0),14)),"")</f>
        <v/>
      </c>
    </row>
    <row r="20" customFormat="false" ht="19.5" hidden="false" customHeight="true" outlineLevel="0" collapsed="false">
      <c r="A20" s="10" t="s">
        <v>33</v>
      </c>
      <c r="B20" s="16" t="n">
        <f aca="true">IFERROR(INDIRECT("'Final Calculation Sheet'!$N"&amp;INDEX('Buyer Lookup'!$A:$AZ,MATCH($B$2,'Buyer Lookup'!$A:$A,0),2)),"")</f>
        <v>355.54005</v>
      </c>
      <c r="C20" s="16" t="n">
        <f aca="true">IFERROR(INDIRECT("'Final Calculation Sheet'!$N"&amp;INDEX('Buyer Lookup'!$A:$AZ,MATCH($B$2,'Buyer Lookup'!$A:$A,0),3)),"")</f>
        <v>0</v>
      </c>
      <c r="D20" s="16" t="str">
        <f aca="true">IFERROR(INDIRECT("'Final Calculation Sheet'!$N"&amp;INDEX('Buyer Lookup'!$A:$AZ,MATCH($B$2,'Buyer Lookup'!$A:$A,0),4)),"")</f>
        <v/>
      </c>
      <c r="E20" s="16" t="str">
        <f aca="true">IFERROR(INDIRECT("'Final Calculation Sheet'!$N"&amp;INDEX('Buyer Lookup'!$A:$AZ,MATCH($B$2,'Buyer Lookup'!$A:$A,0),5)),"")</f>
        <v/>
      </c>
      <c r="F20" s="16" t="str">
        <f aca="true">IFERROR(INDIRECT("'Final Calculation Sheet'!$N"&amp;INDEX('Buyer Lookup'!$A:$AZ,MATCH($B$2,'Buyer Lookup'!$A:$A,0),6)),"")</f>
        <v/>
      </c>
      <c r="G20" s="16" t="str">
        <f aca="true">IFERROR(INDIRECT("'Final Calculation Sheet'!$N"&amp;INDEX('Buyer Lookup'!$A:$AZ,MATCH($B$2,'Buyer Lookup'!$A:$A,0),7)),"")</f>
        <v/>
      </c>
      <c r="H20" s="16" t="str">
        <f aca="true">IFERROR(INDIRECT("'Final Calculation Sheet'!$N"&amp;INDEX('Buyer Lookup'!$A:$AZ,MATCH($B$2,'Buyer Lookup'!$A:$A,0),8)),"")</f>
        <v/>
      </c>
      <c r="I20" s="16" t="str">
        <f aca="true">IFERROR(INDIRECT("'Final Calculation Sheet'!$N"&amp;INDEX('Buyer Lookup'!$A:$AZ,MATCH($B$2,'Buyer Lookup'!$A:$A,0),9)),"")</f>
        <v/>
      </c>
      <c r="J20" s="16" t="str">
        <f aca="true">IFERROR(INDIRECT("'Final Calculation Sheet'!$N"&amp;INDEX('Buyer Lookup'!$A:$AZ,MATCH($B$2,'Buyer Lookup'!$A:$A,0),10)),"")</f>
        <v/>
      </c>
      <c r="K20" s="16" t="str">
        <f aca="true">IFERROR(INDIRECT("'Final Calculation Sheet'!$N"&amp;INDEX('Buyer Lookup'!$A:$AZ,MATCH($B$2,'Buyer Lookup'!$A:$A,0),11)),"")</f>
        <v/>
      </c>
      <c r="L20" s="16" t="str">
        <f aca="true">IFERROR(INDIRECT("'Final Calculation Sheet'!$N"&amp;INDEX('Buyer Lookup'!$A:$AZ,MATCH($B$2,'Buyer Lookup'!$A:$A,0),12)),"")</f>
        <v/>
      </c>
      <c r="M20" s="16" t="str">
        <f aca="true">IFERROR(INDIRECT("'Final Calculation Sheet'!$N"&amp;INDEX('Buyer Lookup'!$A:$AZ,MATCH($B$2,'Buyer Lookup'!$A:$A,0),13)),"")</f>
        <v/>
      </c>
      <c r="N20" s="16" t="str">
        <f aca="true">IFERROR(INDIRECT("'Final Calculation Sheet'!$N"&amp;INDEX('Buyer Lookup'!$A:$AZ,MATCH($B$2,'Buyer Lookup'!$A:$A,0),14)),"")</f>
        <v/>
      </c>
    </row>
    <row r="21" customFormat="false" ht="19.5" hidden="false" customHeight="true" outlineLevel="0" collapsed="false">
      <c r="A21" s="10" t="s">
        <v>34</v>
      </c>
      <c r="B21" s="15" t="n">
        <f aca="true">IFERROR(INDIRECT("'Final Calculation Sheet'!$O"&amp;INDEX('Buyer Lookup'!$A:$AZ,MATCH($B$2,'Buyer Lookup'!$A:$A,0),2)),"")</f>
        <v>20621.3229</v>
      </c>
      <c r="C21" s="15" t="n">
        <f aca="true">IFERROR(INDIRECT("'Final Calculation Sheet'!$O"&amp;INDEX('Buyer Lookup'!$A:$AZ,MATCH($B$2,'Buyer Lookup'!$A:$A,0),3)),"")</f>
        <v>0</v>
      </c>
      <c r="D21" s="15" t="str">
        <f aca="true">IFERROR(INDIRECT("'Final Calculation Sheet'!$O"&amp;INDEX('Buyer Lookup'!$A:$AZ,MATCH($B$2,'Buyer Lookup'!$A:$A,0),4)),"")</f>
        <v/>
      </c>
      <c r="E21" s="15" t="str">
        <f aca="true">IFERROR(INDIRECT("'Final Calculation Sheet'!$O"&amp;INDEX('Buyer Lookup'!$A:$AZ,MATCH($B$2,'Buyer Lookup'!$A:$A,0),5)),"")</f>
        <v/>
      </c>
      <c r="F21" s="15" t="str">
        <f aca="true">IFERROR(INDIRECT("'Final Calculation Sheet'!$O"&amp;INDEX('Buyer Lookup'!$A:$AZ,MATCH($B$2,'Buyer Lookup'!$A:$A,0),6)),"")</f>
        <v/>
      </c>
      <c r="G21" s="15" t="str">
        <f aca="true">IFERROR(INDIRECT("'Final Calculation Sheet'!$O"&amp;INDEX('Buyer Lookup'!$A:$AZ,MATCH($B$2,'Buyer Lookup'!$A:$A,0),7)),"")</f>
        <v/>
      </c>
      <c r="H21" s="15" t="str">
        <f aca="true">IFERROR(INDIRECT("'Final Calculation Sheet'!$O"&amp;INDEX('Buyer Lookup'!$A:$AZ,MATCH($B$2,'Buyer Lookup'!$A:$A,0),8)),"")</f>
        <v/>
      </c>
      <c r="I21" s="15" t="str">
        <f aca="true">IFERROR(INDIRECT("'Final Calculation Sheet'!$O"&amp;INDEX('Buyer Lookup'!$A:$AZ,MATCH($B$2,'Buyer Lookup'!$A:$A,0),9)),"")</f>
        <v/>
      </c>
      <c r="J21" s="15" t="str">
        <f aca="true">IFERROR(INDIRECT("'Final Calculation Sheet'!$O"&amp;INDEX('Buyer Lookup'!$A:$AZ,MATCH($B$2,'Buyer Lookup'!$A:$A,0),10)),"")</f>
        <v/>
      </c>
      <c r="K21" s="15" t="str">
        <f aca="true">IFERROR(INDIRECT("'Final Calculation Sheet'!$O"&amp;INDEX('Buyer Lookup'!$A:$AZ,MATCH($B$2,'Buyer Lookup'!$A:$A,0),11)),"")</f>
        <v/>
      </c>
      <c r="L21" s="15" t="str">
        <f aca="true">IFERROR(INDIRECT("'Final Calculation Sheet'!$O"&amp;INDEX('Buyer Lookup'!$A:$AZ,MATCH($B$2,'Buyer Lookup'!$A:$A,0),12)),"")</f>
        <v/>
      </c>
      <c r="M21" s="15" t="str">
        <f aca="true">IFERROR(INDIRECT("'Final Calculation Sheet'!$O"&amp;INDEX('Buyer Lookup'!$A:$AZ,MATCH($B$2,'Buyer Lookup'!$A:$A,0),13)),"")</f>
        <v/>
      </c>
      <c r="N21" s="15" t="str">
        <f aca="true">IFERROR(INDIRECT("'Final Calculation Sheet'!$O"&amp;INDEX('Buyer Lookup'!$A:$AZ,MATCH($B$2,'Buyer Lookup'!$A:$A,0),14)),"")</f>
        <v/>
      </c>
    </row>
    <row r="22" customFormat="false" ht="19.5" hidden="false" customHeight="true" outlineLevel="0" collapsed="false">
      <c r="A22" s="10" t="s">
        <v>35</v>
      </c>
      <c r="B22" s="16" t="n">
        <f aca="true">IFERROR(INDIRECT("'Final Calculation Sheet'!$P"&amp;INDEX('Buyer Lookup'!$A:$AZ,MATCH($B$2,'Buyer Lookup'!$A:$A,0),2)),"")</f>
        <v>21411</v>
      </c>
      <c r="C22" s="16" t="n">
        <f aca="true">IFERROR(INDIRECT("'Final Calculation Sheet'!$P"&amp;INDEX('Buyer Lookup'!$A:$AZ,MATCH($B$2,'Buyer Lookup'!$A:$A,0),3)),"")</f>
        <v>0</v>
      </c>
      <c r="D22" s="16" t="str">
        <f aca="true">IFERROR(INDIRECT("'Final Calculation Sheet'!$P"&amp;INDEX('Buyer Lookup'!$A:$AZ,MATCH($B$2,'Buyer Lookup'!$A:$A,0),4)),"")</f>
        <v/>
      </c>
      <c r="E22" s="16" t="str">
        <f aca="true">IFERROR(INDIRECT("'Final Calculation Sheet'!$P"&amp;INDEX('Buyer Lookup'!$A:$AZ,MATCH($B$2,'Buyer Lookup'!$A:$A,0),5)),"")</f>
        <v/>
      </c>
      <c r="F22" s="16" t="str">
        <f aca="true">IFERROR(INDIRECT("'Final Calculation Sheet'!$P"&amp;INDEX('Buyer Lookup'!$A:$AZ,MATCH($B$2,'Buyer Lookup'!$A:$A,0),6)),"")</f>
        <v/>
      </c>
      <c r="G22" s="16" t="str">
        <f aca="true">IFERROR(INDIRECT("'Final Calculation Sheet'!$P"&amp;INDEX('Buyer Lookup'!$A:$AZ,MATCH($B$2,'Buyer Lookup'!$A:$A,0),7)),"")</f>
        <v/>
      </c>
      <c r="H22" s="16" t="str">
        <f aca="true">IFERROR(INDIRECT("'Final Calculation Sheet'!$P"&amp;INDEX('Buyer Lookup'!$A:$AZ,MATCH($B$2,'Buyer Lookup'!$A:$A,0),8)),"")</f>
        <v/>
      </c>
      <c r="I22" s="16" t="str">
        <f aca="true">IFERROR(INDIRECT("'Final Calculation Sheet'!$P"&amp;INDEX('Buyer Lookup'!$A:$AZ,MATCH($B$2,'Buyer Lookup'!$A:$A,0),9)),"")</f>
        <v/>
      </c>
      <c r="J22" s="16" t="str">
        <f aca="true">IFERROR(INDIRECT("'Final Calculation Sheet'!$P"&amp;INDEX('Buyer Lookup'!$A:$AZ,MATCH($B$2,'Buyer Lookup'!$A:$A,0),10)),"")</f>
        <v/>
      </c>
      <c r="K22" s="16" t="str">
        <f aca="true">IFERROR(INDIRECT("'Final Calculation Sheet'!$P"&amp;INDEX('Buyer Lookup'!$A:$AZ,MATCH($B$2,'Buyer Lookup'!$A:$A,0),11)),"")</f>
        <v/>
      </c>
      <c r="L22" s="16" t="str">
        <f aca="true">IFERROR(INDIRECT("'Final Calculation Sheet'!$P"&amp;INDEX('Buyer Lookup'!$A:$AZ,MATCH($B$2,'Buyer Lookup'!$A:$A,0),12)),"")</f>
        <v/>
      </c>
      <c r="M22" s="16" t="str">
        <f aca="true">IFERROR(INDIRECT("'Final Calculation Sheet'!$P"&amp;INDEX('Buyer Lookup'!$A:$AZ,MATCH($B$2,'Buyer Lookup'!$A:$A,0),13)),"")</f>
        <v/>
      </c>
      <c r="N22" s="16" t="str">
        <f aca="true">IFERROR(INDIRECT("'Final Calculation Sheet'!$P"&amp;INDEX('Buyer Lookup'!$A:$AZ,MATCH($B$2,'Buyer Lookup'!$A:$A,0),14)),"")</f>
        <v/>
      </c>
    </row>
    <row r="23" customFormat="false" ht="19.5" hidden="false" customHeight="true" outlineLevel="0" collapsed="false">
      <c r="A23" s="10" t="s">
        <v>36</v>
      </c>
      <c r="B23" s="17" t="n">
        <f aca="true">IFERROR(INDIRECT("'Final Calculation Sheet'!$Q"&amp;INDEX('Buyer Lookup'!$A:$AZ,MATCH($B$2,'Buyer Lookup'!$A:$A,0),2)),"")</f>
        <v>0.02</v>
      </c>
      <c r="C23" s="17" t="n">
        <f aca="true">IFERROR(INDIRECT("'Final Calculation Sheet'!$Q"&amp;INDEX('Buyer Lookup'!$A:$AZ,MATCH($B$2,'Buyer Lookup'!$A:$A,0),3)),"")</f>
        <v>0</v>
      </c>
      <c r="D23" s="17" t="str">
        <f aca="true">IFERROR(INDIRECT("'Final Calculation Sheet'!$Q"&amp;INDEX('Buyer Lookup'!$A:$AZ,MATCH($B$2,'Buyer Lookup'!$A:$A,0),4)),"")</f>
        <v/>
      </c>
      <c r="E23" s="17" t="str">
        <f aca="true">IFERROR(INDIRECT("'Final Calculation Sheet'!$Q"&amp;INDEX('Buyer Lookup'!$A:$AZ,MATCH($B$2,'Buyer Lookup'!$A:$A,0),5)),"")</f>
        <v/>
      </c>
      <c r="F23" s="17" t="str">
        <f aca="true">IFERROR(INDIRECT("'Final Calculation Sheet'!$Q"&amp;INDEX('Buyer Lookup'!$A:$AZ,MATCH($B$2,'Buyer Lookup'!$A:$A,0),6)),"")</f>
        <v/>
      </c>
      <c r="G23" s="17" t="str">
        <f aca="true">IFERROR(INDIRECT("'Final Calculation Sheet'!$Q"&amp;INDEX('Buyer Lookup'!$A:$AZ,MATCH($B$2,'Buyer Lookup'!$A:$A,0),7)),"")</f>
        <v/>
      </c>
      <c r="H23" s="17" t="str">
        <f aca="true">IFERROR(INDIRECT("'Final Calculation Sheet'!$Q"&amp;INDEX('Buyer Lookup'!$A:$AZ,MATCH($B$2,'Buyer Lookup'!$A:$A,0),8)),"")</f>
        <v/>
      </c>
      <c r="I23" s="17" t="str">
        <f aca="true">IFERROR(INDIRECT("'Final Calculation Sheet'!$Q"&amp;INDEX('Buyer Lookup'!$A:$AZ,MATCH($B$2,'Buyer Lookup'!$A:$A,0),9)),"")</f>
        <v/>
      </c>
      <c r="J23" s="17" t="str">
        <f aca="true">IFERROR(INDIRECT("'Final Calculation Sheet'!$Q"&amp;INDEX('Buyer Lookup'!$A:$AZ,MATCH($B$2,'Buyer Lookup'!$A:$A,0),10)),"")</f>
        <v/>
      </c>
      <c r="K23" s="17" t="str">
        <f aca="true">IFERROR(INDIRECT("'Final Calculation Sheet'!$Q"&amp;INDEX('Buyer Lookup'!$A:$AZ,MATCH($B$2,'Buyer Lookup'!$A:$A,0),11)),"")</f>
        <v/>
      </c>
      <c r="L23" s="17" t="str">
        <f aca="true">IFERROR(INDIRECT("'Final Calculation Sheet'!$Q"&amp;INDEX('Buyer Lookup'!$A:$AZ,MATCH($B$2,'Buyer Lookup'!$A:$A,0),12)),"")</f>
        <v/>
      </c>
      <c r="M23" s="17" t="str">
        <f aca="true">IFERROR(INDIRECT("'Final Calculation Sheet'!$Q"&amp;INDEX('Buyer Lookup'!$A:$AZ,MATCH($B$2,'Buyer Lookup'!$A:$A,0),13)),"")</f>
        <v/>
      </c>
      <c r="N23" s="17" t="str">
        <f aca="true">IFERROR(INDIRECT("'Final Calculation Sheet'!$Q"&amp;INDEX('Buyer Lookup'!$A:$AZ,MATCH($B$2,'Buyer Lookup'!$A:$A,0),14)),"")</f>
        <v/>
      </c>
    </row>
    <row r="24" customFormat="false" ht="19.5" hidden="false" customHeight="true" outlineLevel="0" collapsed="false">
      <c r="A24" s="10" t="s">
        <v>37</v>
      </c>
      <c r="B24" s="16" t="n">
        <f aca="true">IFERROR(INDIRECT("'Final Calculation Sheet'!$R"&amp;INDEX('Buyer Lookup'!$A:$AZ,MATCH($B$2,'Buyer Lookup'!$A:$A,0),2)),"")</f>
        <v>15802</v>
      </c>
      <c r="C24" s="16" t="n">
        <f aca="true">IFERROR(INDIRECT("'Final Calculation Sheet'!$R"&amp;INDEX('Buyer Lookup'!$A:$AZ,MATCH($B$2,'Buyer Lookup'!$A:$A,0),3)),"")</f>
        <v>0</v>
      </c>
      <c r="D24" s="16" t="str">
        <f aca="true">IFERROR(INDIRECT("'Final Calculation Sheet'!$R"&amp;INDEX('Buyer Lookup'!$A:$AZ,MATCH($B$2,'Buyer Lookup'!$A:$A,0),4)),"")</f>
        <v/>
      </c>
      <c r="E24" s="16" t="str">
        <f aca="true">IFERROR(INDIRECT("'Final Calculation Sheet'!$R"&amp;INDEX('Buyer Lookup'!$A:$AZ,MATCH($B$2,'Buyer Lookup'!$A:$A,0),5)),"")</f>
        <v/>
      </c>
      <c r="F24" s="16" t="str">
        <f aca="true">IFERROR(INDIRECT("'Final Calculation Sheet'!$R"&amp;INDEX('Buyer Lookup'!$A:$AZ,MATCH($B$2,'Buyer Lookup'!$A:$A,0),6)),"")</f>
        <v/>
      </c>
      <c r="G24" s="16" t="str">
        <f aca="true">IFERROR(INDIRECT("'Final Calculation Sheet'!$R"&amp;INDEX('Buyer Lookup'!$A:$AZ,MATCH($B$2,'Buyer Lookup'!$A:$A,0),7)),"")</f>
        <v/>
      </c>
      <c r="H24" s="16" t="str">
        <f aca="true">IFERROR(INDIRECT("'Final Calculation Sheet'!$R"&amp;INDEX('Buyer Lookup'!$A:$AZ,MATCH($B$2,'Buyer Lookup'!$A:$A,0),8)),"")</f>
        <v/>
      </c>
      <c r="I24" s="16" t="str">
        <f aca="true">IFERROR(INDIRECT("'Final Calculation Sheet'!$R"&amp;INDEX('Buyer Lookup'!$A:$AZ,MATCH($B$2,'Buyer Lookup'!$A:$A,0),9)),"")</f>
        <v/>
      </c>
      <c r="J24" s="16" t="str">
        <f aca="true">IFERROR(INDIRECT("'Final Calculation Sheet'!$R"&amp;INDEX('Buyer Lookup'!$A:$AZ,MATCH($B$2,'Buyer Lookup'!$A:$A,0),10)),"")</f>
        <v/>
      </c>
      <c r="K24" s="16" t="str">
        <f aca="true">IFERROR(INDIRECT("'Final Calculation Sheet'!$R"&amp;INDEX('Buyer Lookup'!$A:$AZ,MATCH($B$2,'Buyer Lookup'!$A:$A,0),11)),"")</f>
        <v/>
      </c>
      <c r="L24" s="16" t="str">
        <f aca="true">IFERROR(INDIRECT("'Final Calculation Sheet'!$R"&amp;INDEX('Buyer Lookup'!$A:$AZ,MATCH($B$2,'Buyer Lookup'!$A:$A,0),12)),"")</f>
        <v/>
      </c>
      <c r="M24" s="16" t="str">
        <f aca="true">IFERROR(INDIRECT("'Final Calculation Sheet'!$R"&amp;INDEX('Buyer Lookup'!$A:$AZ,MATCH($B$2,'Buyer Lookup'!$A:$A,0),13)),"")</f>
        <v/>
      </c>
      <c r="N24" s="16" t="str">
        <f aca="true">IFERROR(INDIRECT("'Final Calculation Sheet'!$R"&amp;INDEX('Buyer Lookup'!$A:$AZ,MATCH($B$2,'Buyer Lookup'!$A:$A,0),14)),"")</f>
        <v/>
      </c>
    </row>
    <row r="25" customFormat="false" ht="19.5" hidden="false" customHeight="true" outlineLevel="0" collapsed="false">
      <c r="A25" s="10" t="s">
        <v>38</v>
      </c>
      <c r="B25" s="15" t="n">
        <f aca="true">IFERROR(INDIRECT("'Final Calculation Sheet'!$S"&amp;INDEX('Buyer Lookup'!$A:$AZ,MATCH($B$2,'Buyer Lookup'!$A:$A,0),2)),"")</f>
        <v>913738</v>
      </c>
      <c r="C25" s="15" t="n">
        <f aca="true">IFERROR(INDIRECT("'Final Calculation Sheet'!$S"&amp;INDEX('Buyer Lookup'!$A:$AZ,MATCH($B$2,'Buyer Lookup'!$A:$A,0),3)),"")</f>
        <v>0</v>
      </c>
      <c r="D25" s="15" t="str">
        <f aca="true">IFERROR(INDIRECT("'Final Calculation Sheet'!$S"&amp;INDEX('Buyer Lookup'!$A:$AZ,MATCH($B$2,'Buyer Lookup'!$A:$A,0),4)),"")</f>
        <v/>
      </c>
      <c r="E25" s="15" t="str">
        <f aca="true">IFERROR(INDIRECT("'Final Calculation Sheet'!$S"&amp;INDEX('Buyer Lookup'!$A:$AZ,MATCH($B$2,'Buyer Lookup'!$A:$A,0),5)),"")</f>
        <v/>
      </c>
      <c r="F25" s="15" t="str">
        <f aca="true">IFERROR(INDIRECT("'Final Calculation Sheet'!$S"&amp;INDEX('Buyer Lookup'!$A:$AZ,MATCH($B$2,'Buyer Lookup'!$A:$A,0),6)),"")</f>
        <v/>
      </c>
      <c r="G25" s="15" t="str">
        <f aca="true">IFERROR(INDIRECT("'Final Calculation Sheet'!$S"&amp;INDEX('Buyer Lookup'!$A:$AZ,MATCH($B$2,'Buyer Lookup'!$A:$A,0),7)),"")</f>
        <v/>
      </c>
      <c r="H25" s="15" t="str">
        <f aca="true">IFERROR(INDIRECT("'Final Calculation Sheet'!$S"&amp;INDEX('Buyer Lookup'!$A:$AZ,MATCH($B$2,'Buyer Lookup'!$A:$A,0),8)),"")</f>
        <v/>
      </c>
      <c r="I25" s="15" t="str">
        <f aca="true">IFERROR(INDIRECT("'Final Calculation Sheet'!$S"&amp;INDEX('Buyer Lookup'!$A:$AZ,MATCH($B$2,'Buyer Lookup'!$A:$A,0),9)),"")</f>
        <v/>
      </c>
      <c r="J25" s="15" t="str">
        <f aca="true">IFERROR(INDIRECT("'Final Calculation Sheet'!$S"&amp;INDEX('Buyer Lookup'!$A:$AZ,MATCH($B$2,'Buyer Lookup'!$A:$A,0),10)),"")</f>
        <v/>
      </c>
      <c r="K25" s="15" t="str">
        <f aca="true">IFERROR(INDIRECT("'Final Calculation Sheet'!$S"&amp;INDEX('Buyer Lookup'!$A:$AZ,MATCH($B$2,'Buyer Lookup'!$A:$A,0),11)),"")</f>
        <v/>
      </c>
      <c r="L25" s="15" t="str">
        <f aca="true">IFERROR(INDIRECT("'Final Calculation Sheet'!$S"&amp;INDEX('Buyer Lookup'!$A:$AZ,MATCH($B$2,'Buyer Lookup'!$A:$A,0),12)),"")</f>
        <v/>
      </c>
      <c r="M25" s="15" t="str">
        <f aca="true">IFERROR(INDIRECT("'Final Calculation Sheet'!$S"&amp;INDEX('Buyer Lookup'!$A:$AZ,MATCH($B$2,'Buyer Lookup'!$A:$A,0),13)),"")</f>
        <v/>
      </c>
      <c r="N25" s="15" t="str">
        <f aca="true">IFERROR(INDIRECT("'Final Calculation Sheet'!$S"&amp;INDEX('Buyer Lookup'!$A:$AZ,MATCH($B$2,'Buyer Lookup'!$A:$A,0),14)),"")</f>
        <v/>
      </c>
    </row>
    <row r="26" customFormat="false" ht="19.5" hidden="false" customHeight="true" outlineLevel="0" collapsed="false"/>
    <row r="27" customFormat="false" ht="21.75" hidden="false" customHeight="true" outlineLevel="0" collapsed="false">
      <c r="A27" s="7" t="s">
        <v>39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customFormat="false" ht="19.5" hidden="false" customHeight="true" outlineLevel="0" collapsed="false">
      <c r="A28" s="10" t="s">
        <v>40</v>
      </c>
      <c r="B28" s="16" t="n">
        <f aca="true">IFERROR(INDIRECT("'Final Calculation Sheet'!$T"&amp;INDEX('Buyer Lookup'!$A:$AZ,MATCH($B$2,'Buyer Lookup'!$A:$A,0),2)),"")</f>
        <v>197522</v>
      </c>
      <c r="C28" s="16" t="n">
        <f aca="true">IFERROR(INDIRECT("'Final Calculation Sheet'!$T"&amp;INDEX('Buyer Lookup'!$A:$AZ,MATCH($B$2,'Buyer Lookup'!$A:$A,0),3)),"")</f>
        <v>0</v>
      </c>
      <c r="D28" s="16" t="str">
        <f aca="true">IFERROR(INDIRECT("'Final Calculation Sheet'!$T"&amp;INDEX('Buyer Lookup'!$A:$AZ,MATCH($B$2,'Buyer Lookup'!$A:$A,0),4)),"")</f>
        <v/>
      </c>
      <c r="E28" s="16" t="str">
        <f aca="true">IFERROR(INDIRECT("'Final Calculation Sheet'!$T"&amp;INDEX('Buyer Lookup'!$A:$AZ,MATCH($B$2,'Buyer Lookup'!$A:$A,0),5)),"")</f>
        <v/>
      </c>
      <c r="F28" s="16" t="str">
        <f aca="true">IFERROR(INDIRECT("'Final Calculation Sheet'!$T"&amp;INDEX('Buyer Lookup'!$A:$AZ,MATCH($B$2,'Buyer Lookup'!$A:$A,0),6)),"")</f>
        <v/>
      </c>
      <c r="G28" s="16" t="str">
        <f aca="true">IFERROR(INDIRECT("'Final Calculation Sheet'!$T"&amp;INDEX('Buyer Lookup'!$A:$AZ,MATCH($B$2,'Buyer Lookup'!$A:$A,0),7)),"")</f>
        <v/>
      </c>
      <c r="H28" s="16" t="str">
        <f aca="true">IFERROR(INDIRECT("'Final Calculation Sheet'!$T"&amp;INDEX('Buyer Lookup'!$A:$AZ,MATCH($B$2,'Buyer Lookup'!$A:$A,0),8)),"")</f>
        <v/>
      </c>
      <c r="I28" s="16" t="str">
        <f aca="true">IFERROR(INDIRECT("'Final Calculation Sheet'!$T"&amp;INDEX('Buyer Lookup'!$A:$AZ,MATCH($B$2,'Buyer Lookup'!$A:$A,0),9)),"")</f>
        <v/>
      </c>
      <c r="J28" s="16" t="str">
        <f aca="true">IFERROR(INDIRECT("'Final Calculation Sheet'!$T"&amp;INDEX('Buyer Lookup'!$A:$AZ,MATCH($B$2,'Buyer Lookup'!$A:$A,0),10)),"")</f>
        <v/>
      </c>
      <c r="K28" s="16" t="str">
        <f aca="true">IFERROR(INDIRECT("'Final Calculation Sheet'!$T"&amp;INDEX('Buyer Lookup'!$A:$AZ,MATCH($B$2,'Buyer Lookup'!$A:$A,0),11)),"")</f>
        <v/>
      </c>
      <c r="L28" s="16" t="str">
        <f aca="true">IFERROR(INDIRECT("'Final Calculation Sheet'!$T"&amp;INDEX('Buyer Lookup'!$A:$AZ,MATCH($B$2,'Buyer Lookup'!$A:$A,0),12)),"")</f>
        <v/>
      </c>
      <c r="M28" s="16" t="str">
        <f aca="true">IFERROR(INDIRECT("'Final Calculation Sheet'!$T"&amp;INDEX('Buyer Lookup'!$A:$AZ,MATCH($B$2,'Buyer Lookup'!$A:$A,0),13)),"")</f>
        <v/>
      </c>
      <c r="N28" s="16" t="str">
        <f aca="true">IFERROR(INDIRECT("'Final Calculation Sheet'!$T"&amp;INDEX('Buyer Lookup'!$A:$AZ,MATCH($B$2,'Buyer Lookup'!$A:$A,0),14)),"")</f>
        <v/>
      </c>
    </row>
    <row r="29" customFormat="false" ht="19.5" hidden="false" customHeight="true" outlineLevel="0" collapsed="false">
      <c r="A29" s="10" t="s">
        <v>41</v>
      </c>
      <c r="B29" s="15" t="n">
        <f aca="true">IFERROR(INDIRECT("'Final Calculation Sheet'!$U"&amp;INDEX('Buyer Lookup'!$A:$AZ,MATCH($B$2,'Buyer Lookup'!$A:$A,0),2)),"")</f>
        <v>197522</v>
      </c>
      <c r="C29" s="15" t="n">
        <f aca="true">IFERROR(INDIRECT("'Final Calculation Sheet'!$U"&amp;INDEX('Buyer Lookup'!$A:$AZ,MATCH($B$2,'Buyer Lookup'!$A:$A,0),3)),"")</f>
        <v>0</v>
      </c>
      <c r="D29" s="15" t="str">
        <f aca="true">IFERROR(INDIRECT("'Final Calculation Sheet'!$U"&amp;INDEX('Buyer Lookup'!$A:$AZ,MATCH($B$2,'Buyer Lookup'!$A:$A,0),4)),"")</f>
        <v/>
      </c>
      <c r="E29" s="15" t="str">
        <f aca="true">IFERROR(INDIRECT("'Final Calculation Sheet'!$U"&amp;INDEX('Buyer Lookup'!$A:$AZ,MATCH($B$2,'Buyer Lookup'!$A:$A,0),5)),"")</f>
        <v/>
      </c>
      <c r="F29" s="15" t="str">
        <f aca="true">IFERROR(INDIRECT("'Final Calculation Sheet'!$U"&amp;INDEX('Buyer Lookup'!$A:$AZ,MATCH($B$2,'Buyer Lookup'!$A:$A,0),6)),"")</f>
        <v/>
      </c>
      <c r="G29" s="15" t="str">
        <f aca="true">IFERROR(INDIRECT("'Final Calculation Sheet'!$U"&amp;INDEX('Buyer Lookup'!$A:$AZ,MATCH($B$2,'Buyer Lookup'!$A:$A,0),7)),"")</f>
        <v/>
      </c>
      <c r="H29" s="15" t="str">
        <f aca="true">IFERROR(INDIRECT("'Final Calculation Sheet'!$U"&amp;INDEX('Buyer Lookup'!$A:$AZ,MATCH($B$2,'Buyer Lookup'!$A:$A,0),8)),"")</f>
        <v/>
      </c>
      <c r="I29" s="15" t="str">
        <f aca="true">IFERROR(INDIRECT("'Final Calculation Sheet'!$U"&amp;INDEX('Buyer Lookup'!$A:$AZ,MATCH($B$2,'Buyer Lookup'!$A:$A,0),9)),"")</f>
        <v/>
      </c>
      <c r="J29" s="15" t="str">
        <f aca="true">IFERROR(INDIRECT("'Final Calculation Sheet'!$U"&amp;INDEX('Buyer Lookup'!$A:$AZ,MATCH($B$2,'Buyer Lookup'!$A:$A,0),10)),"")</f>
        <v/>
      </c>
      <c r="K29" s="15" t="str">
        <f aca="true">IFERROR(INDIRECT("'Final Calculation Sheet'!$U"&amp;INDEX('Buyer Lookup'!$A:$AZ,MATCH($B$2,'Buyer Lookup'!$A:$A,0),11)),"")</f>
        <v/>
      </c>
      <c r="L29" s="15" t="str">
        <f aca="true">IFERROR(INDIRECT("'Final Calculation Sheet'!$U"&amp;INDEX('Buyer Lookup'!$A:$AZ,MATCH($B$2,'Buyer Lookup'!$A:$A,0),12)),"")</f>
        <v/>
      </c>
      <c r="M29" s="15" t="str">
        <f aca="true">IFERROR(INDIRECT("'Final Calculation Sheet'!$U"&amp;INDEX('Buyer Lookup'!$A:$AZ,MATCH($B$2,'Buyer Lookup'!$A:$A,0),13)),"")</f>
        <v/>
      </c>
      <c r="N29" s="15" t="str">
        <f aca="true">IFERROR(INDIRECT("'Final Calculation Sheet'!$U"&amp;INDEX('Buyer Lookup'!$A:$AZ,MATCH($B$2,'Buyer Lookup'!$A:$A,0),14)),"")</f>
        <v/>
      </c>
    </row>
    <row r="30" customFormat="false" ht="19.5" hidden="false" customHeight="true" outlineLevel="0" collapsed="false">
      <c r="A30" s="10" t="s">
        <v>42</v>
      </c>
      <c r="B30" s="14" t="str">
        <f aca="true">IFERROR(INDIRECT("'Final Calculation Sheet'!$V"&amp;INDEX('Buyer Lookup'!$A:$AZ,MATCH($B$2,'Buyer Lookup'!$A:$A,0),2)),"")</f>
        <v>24.08.2026</v>
      </c>
      <c r="C30" s="14" t="n">
        <f aca="true">IFERROR(INDIRECT("'Final Calculation Sheet'!$V"&amp;INDEX('Buyer Lookup'!$A:$AZ,MATCH($B$2,'Buyer Lookup'!$A:$A,0),3)),"")</f>
        <v>0</v>
      </c>
      <c r="D30" s="14" t="str">
        <f aca="true">IFERROR(INDIRECT("'Final Calculation Sheet'!$V"&amp;INDEX('Buyer Lookup'!$A:$AZ,MATCH($B$2,'Buyer Lookup'!$A:$A,0),4)),"")</f>
        <v/>
      </c>
      <c r="E30" s="14" t="str">
        <f aca="true">IFERROR(INDIRECT("'Final Calculation Sheet'!$V"&amp;INDEX('Buyer Lookup'!$A:$AZ,MATCH($B$2,'Buyer Lookup'!$A:$A,0),5)),"")</f>
        <v/>
      </c>
      <c r="F30" s="14" t="str">
        <f aca="true">IFERROR(INDIRECT("'Final Calculation Sheet'!$V"&amp;INDEX('Buyer Lookup'!$A:$AZ,MATCH($B$2,'Buyer Lookup'!$A:$A,0),6)),"")</f>
        <v/>
      </c>
      <c r="G30" s="14" t="str">
        <f aca="true">IFERROR(INDIRECT("'Final Calculation Sheet'!$V"&amp;INDEX('Buyer Lookup'!$A:$AZ,MATCH($B$2,'Buyer Lookup'!$A:$A,0),7)),"")</f>
        <v/>
      </c>
      <c r="H30" s="14" t="str">
        <f aca="true">IFERROR(INDIRECT("'Final Calculation Sheet'!$V"&amp;INDEX('Buyer Lookup'!$A:$AZ,MATCH($B$2,'Buyer Lookup'!$A:$A,0),8)),"")</f>
        <v/>
      </c>
      <c r="I30" s="14" t="str">
        <f aca="true">IFERROR(INDIRECT("'Final Calculation Sheet'!$V"&amp;INDEX('Buyer Lookup'!$A:$AZ,MATCH($B$2,'Buyer Lookup'!$A:$A,0),9)),"")</f>
        <v/>
      </c>
      <c r="J30" s="14" t="str">
        <f aca="true">IFERROR(INDIRECT("'Final Calculation Sheet'!$V"&amp;INDEX('Buyer Lookup'!$A:$AZ,MATCH($B$2,'Buyer Lookup'!$A:$A,0),10)),"")</f>
        <v/>
      </c>
      <c r="K30" s="14" t="str">
        <f aca="true">IFERROR(INDIRECT("'Final Calculation Sheet'!$V"&amp;INDEX('Buyer Lookup'!$A:$AZ,MATCH($B$2,'Buyer Lookup'!$A:$A,0),11)),"")</f>
        <v/>
      </c>
      <c r="L30" s="14" t="str">
        <f aca="true">IFERROR(INDIRECT("'Final Calculation Sheet'!$V"&amp;INDEX('Buyer Lookup'!$A:$AZ,MATCH($B$2,'Buyer Lookup'!$A:$A,0),12)),"")</f>
        <v/>
      </c>
      <c r="M30" s="14" t="str">
        <f aca="true">IFERROR(INDIRECT("'Final Calculation Sheet'!$V"&amp;INDEX('Buyer Lookup'!$A:$AZ,MATCH($B$2,'Buyer Lookup'!$A:$A,0),13)),"")</f>
        <v/>
      </c>
      <c r="N30" s="14" t="str">
        <f aca="true">IFERROR(INDIRECT("'Final Calculation Sheet'!$V"&amp;INDEX('Buyer Lookup'!$A:$AZ,MATCH($B$2,'Buyer Lookup'!$A:$A,0),14)),"")</f>
        <v/>
      </c>
    </row>
    <row r="31" customFormat="false" ht="19.5" hidden="false" customHeight="true" outlineLevel="0" collapsed="false"/>
    <row r="32" customFormat="false" ht="21.75" hidden="false" customHeight="true" outlineLevel="0" collapsed="false">
      <c r="A32" s="7" t="s">
        <v>43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9.5" hidden="false" customHeight="true" outlineLevel="0" collapsed="false">
      <c r="A33" s="10" t="s">
        <v>44</v>
      </c>
      <c r="B33" s="15" t="n">
        <f aca="true">IFERROR(INDIRECT("'Final Calculation Sheet'!$W"&amp;INDEX('Buyer Lookup'!$A:$AZ,MATCH($B$2,'Buyer Lookup'!$A:$A,0),2)),"")</f>
        <v>716215</v>
      </c>
      <c r="C33" s="15" t="n">
        <f aca="true">IFERROR(INDIRECT("'Final Calculation Sheet'!$W"&amp;INDEX('Buyer Lookup'!$A:$AZ,MATCH($B$2,'Buyer Lookup'!$A:$A,0),3)),"")</f>
        <v>0</v>
      </c>
      <c r="D33" s="15" t="str">
        <f aca="true">IFERROR(INDIRECT("'Final Calculation Sheet'!$W"&amp;INDEX('Buyer Lookup'!$A:$AZ,MATCH($B$2,'Buyer Lookup'!$A:$A,0),4)),"")</f>
        <v/>
      </c>
      <c r="E33" s="15" t="str">
        <f aca="true">IFERROR(INDIRECT("'Final Calculation Sheet'!$W"&amp;INDEX('Buyer Lookup'!$A:$AZ,MATCH($B$2,'Buyer Lookup'!$A:$A,0),5)),"")</f>
        <v/>
      </c>
      <c r="F33" s="15" t="str">
        <f aca="true">IFERROR(INDIRECT("'Final Calculation Sheet'!$W"&amp;INDEX('Buyer Lookup'!$A:$AZ,MATCH($B$2,'Buyer Lookup'!$A:$A,0),6)),"")</f>
        <v/>
      </c>
      <c r="G33" s="15" t="str">
        <f aca="true">IFERROR(INDIRECT("'Final Calculation Sheet'!$W"&amp;INDEX('Buyer Lookup'!$A:$AZ,MATCH($B$2,'Buyer Lookup'!$A:$A,0),7)),"")</f>
        <v/>
      </c>
      <c r="H33" s="15" t="str">
        <f aca="true">IFERROR(INDIRECT("'Final Calculation Sheet'!$W"&amp;INDEX('Buyer Lookup'!$A:$AZ,MATCH($B$2,'Buyer Lookup'!$A:$A,0),8)),"")</f>
        <v/>
      </c>
      <c r="I33" s="15" t="str">
        <f aca="true">IFERROR(INDIRECT("'Final Calculation Sheet'!$W"&amp;INDEX('Buyer Lookup'!$A:$AZ,MATCH($B$2,'Buyer Lookup'!$A:$A,0),9)),"")</f>
        <v/>
      </c>
      <c r="J33" s="15" t="str">
        <f aca="true">IFERROR(INDIRECT("'Final Calculation Sheet'!$W"&amp;INDEX('Buyer Lookup'!$A:$AZ,MATCH($B$2,'Buyer Lookup'!$A:$A,0),10)),"")</f>
        <v/>
      </c>
      <c r="K33" s="15" t="str">
        <f aca="true">IFERROR(INDIRECT("'Final Calculation Sheet'!$W"&amp;INDEX('Buyer Lookup'!$A:$AZ,MATCH($B$2,'Buyer Lookup'!$A:$A,0),11)),"")</f>
        <v/>
      </c>
      <c r="L33" s="15" t="str">
        <f aca="true">IFERROR(INDIRECT("'Final Calculation Sheet'!$W"&amp;INDEX('Buyer Lookup'!$A:$AZ,MATCH($B$2,'Buyer Lookup'!$A:$A,0),12)),"")</f>
        <v/>
      </c>
      <c r="M33" s="15" t="str">
        <f aca="true">IFERROR(INDIRECT("'Final Calculation Sheet'!$W"&amp;INDEX('Buyer Lookup'!$A:$AZ,MATCH($B$2,'Buyer Lookup'!$A:$A,0),13)),"")</f>
        <v/>
      </c>
      <c r="N33" s="15" t="str">
        <f aca="true">IFERROR(INDIRECT("'Final Calculation Sheet'!$W"&amp;INDEX('Buyer Lookup'!$A:$AZ,MATCH($B$2,'Buyer Lookup'!$A:$A,0),14)),"")</f>
        <v/>
      </c>
    </row>
    <row r="34" customFormat="false" ht="19.5" hidden="false" customHeight="true" outlineLevel="0" collapsed="false">
      <c r="A34" s="10" t="s">
        <v>45</v>
      </c>
      <c r="B34" s="16" t="n">
        <f aca="true">IFERROR(INDIRECT("'Final Calculation Sheet'!$X"&amp;INDEX('Buyer Lookup'!$A:$AZ,MATCH($B$2,'Buyer Lookup'!$A:$A,0),2)),"")</f>
        <v>716216</v>
      </c>
      <c r="C34" s="16" t="n">
        <f aca="true">IFERROR(INDIRECT("'Final Calculation Sheet'!$X"&amp;INDEX('Buyer Lookup'!$A:$AZ,MATCH($B$2,'Buyer Lookup'!$A:$A,0),3)),"")</f>
        <v>0</v>
      </c>
      <c r="D34" s="16" t="str">
        <f aca="true">IFERROR(INDIRECT("'Final Calculation Sheet'!$X"&amp;INDEX('Buyer Lookup'!$A:$AZ,MATCH($B$2,'Buyer Lookup'!$A:$A,0),4)),"")</f>
        <v/>
      </c>
      <c r="E34" s="16" t="str">
        <f aca="true">IFERROR(INDIRECT("'Final Calculation Sheet'!$X"&amp;INDEX('Buyer Lookup'!$A:$AZ,MATCH($B$2,'Buyer Lookup'!$A:$A,0),5)),"")</f>
        <v/>
      </c>
      <c r="F34" s="16" t="str">
        <f aca="true">IFERROR(INDIRECT("'Final Calculation Sheet'!$X"&amp;INDEX('Buyer Lookup'!$A:$AZ,MATCH($B$2,'Buyer Lookup'!$A:$A,0),6)),"")</f>
        <v/>
      </c>
      <c r="G34" s="16" t="str">
        <f aca="true">IFERROR(INDIRECT("'Final Calculation Sheet'!$X"&amp;INDEX('Buyer Lookup'!$A:$AZ,MATCH($B$2,'Buyer Lookup'!$A:$A,0),7)),"")</f>
        <v/>
      </c>
      <c r="H34" s="16" t="str">
        <f aca="true">IFERROR(INDIRECT("'Final Calculation Sheet'!$X"&amp;INDEX('Buyer Lookup'!$A:$AZ,MATCH($B$2,'Buyer Lookup'!$A:$A,0),8)),"")</f>
        <v/>
      </c>
      <c r="I34" s="16" t="str">
        <f aca="true">IFERROR(INDIRECT("'Final Calculation Sheet'!$X"&amp;INDEX('Buyer Lookup'!$A:$AZ,MATCH($B$2,'Buyer Lookup'!$A:$A,0),9)),"")</f>
        <v/>
      </c>
      <c r="J34" s="16" t="str">
        <f aca="true">IFERROR(INDIRECT("'Final Calculation Sheet'!$X"&amp;INDEX('Buyer Lookup'!$A:$AZ,MATCH($B$2,'Buyer Lookup'!$A:$A,0),10)),"")</f>
        <v/>
      </c>
      <c r="K34" s="16" t="str">
        <f aca="true">IFERROR(INDIRECT("'Final Calculation Sheet'!$X"&amp;INDEX('Buyer Lookup'!$A:$AZ,MATCH($B$2,'Buyer Lookup'!$A:$A,0),11)),"")</f>
        <v/>
      </c>
      <c r="L34" s="16" t="str">
        <f aca="true">IFERROR(INDIRECT("'Final Calculation Sheet'!$X"&amp;INDEX('Buyer Lookup'!$A:$AZ,MATCH($B$2,'Buyer Lookup'!$A:$A,0),12)),"")</f>
        <v/>
      </c>
      <c r="M34" s="16" t="str">
        <f aca="true">IFERROR(INDIRECT("'Final Calculation Sheet'!$X"&amp;INDEX('Buyer Lookup'!$A:$AZ,MATCH($B$2,'Buyer Lookup'!$A:$A,0),13)),"")</f>
        <v/>
      </c>
      <c r="N34" s="16" t="str">
        <f aca="true">IFERROR(INDIRECT("'Final Calculation Sheet'!$X"&amp;INDEX('Buyer Lookup'!$A:$AZ,MATCH($B$2,'Buyer Lookup'!$A:$A,0),14)),"")</f>
        <v/>
      </c>
    </row>
    <row r="35" customFormat="false" ht="19.5" hidden="false" customHeight="true" outlineLevel="0" collapsed="false">
      <c r="A35" s="10" t="s">
        <v>46</v>
      </c>
      <c r="B35" s="12" t="str">
        <f aca="true">IFERROR(INDIRECT("'Final Calculation Sheet'!$Y"&amp;INDEX('Buyer Lookup'!$A:$AZ,MATCH($B$2,'Buyer Lookup'!$A:$A,0),2)),"")</f>
        <v>18.08.2026</v>
      </c>
      <c r="C35" s="12" t="n">
        <f aca="true">IFERROR(INDIRECT("'Final Calculation Sheet'!$Y"&amp;INDEX('Buyer Lookup'!$A:$AZ,MATCH($B$2,'Buyer Lookup'!$A:$A,0),3)),"")</f>
        <v>0</v>
      </c>
      <c r="D35" s="12" t="str">
        <f aca="true">IFERROR(INDIRECT("'Final Calculation Sheet'!$Y"&amp;INDEX('Buyer Lookup'!$A:$AZ,MATCH($B$2,'Buyer Lookup'!$A:$A,0),4)),"")</f>
        <v/>
      </c>
      <c r="E35" s="12" t="str">
        <f aca="true">IFERROR(INDIRECT("'Final Calculation Sheet'!$Y"&amp;INDEX('Buyer Lookup'!$A:$AZ,MATCH($B$2,'Buyer Lookup'!$A:$A,0),5)),"")</f>
        <v/>
      </c>
      <c r="F35" s="12" t="str">
        <f aca="true">IFERROR(INDIRECT("'Final Calculation Sheet'!$Y"&amp;INDEX('Buyer Lookup'!$A:$AZ,MATCH($B$2,'Buyer Lookup'!$A:$A,0),6)),"")</f>
        <v/>
      </c>
      <c r="G35" s="12" t="str">
        <f aca="true">IFERROR(INDIRECT("'Final Calculation Sheet'!$Y"&amp;INDEX('Buyer Lookup'!$A:$AZ,MATCH($B$2,'Buyer Lookup'!$A:$A,0),7)),"")</f>
        <v/>
      </c>
      <c r="H35" s="12" t="str">
        <f aca="true">IFERROR(INDIRECT("'Final Calculation Sheet'!$Y"&amp;INDEX('Buyer Lookup'!$A:$AZ,MATCH($B$2,'Buyer Lookup'!$A:$A,0),8)),"")</f>
        <v/>
      </c>
      <c r="I35" s="12" t="str">
        <f aca="true">IFERROR(INDIRECT("'Final Calculation Sheet'!$Y"&amp;INDEX('Buyer Lookup'!$A:$AZ,MATCH($B$2,'Buyer Lookup'!$A:$A,0),9)),"")</f>
        <v/>
      </c>
      <c r="J35" s="12" t="str">
        <f aca="true">IFERROR(INDIRECT("'Final Calculation Sheet'!$Y"&amp;INDEX('Buyer Lookup'!$A:$AZ,MATCH($B$2,'Buyer Lookup'!$A:$A,0),10)),"")</f>
        <v/>
      </c>
      <c r="K35" s="12" t="str">
        <f aca="true">IFERROR(INDIRECT("'Final Calculation Sheet'!$Y"&amp;INDEX('Buyer Lookup'!$A:$AZ,MATCH($B$2,'Buyer Lookup'!$A:$A,0),11)),"")</f>
        <v/>
      </c>
      <c r="L35" s="12" t="str">
        <f aca="true">IFERROR(INDIRECT("'Final Calculation Sheet'!$Y"&amp;INDEX('Buyer Lookup'!$A:$AZ,MATCH($B$2,'Buyer Lookup'!$A:$A,0),12)),"")</f>
        <v/>
      </c>
      <c r="M35" s="12" t="str">
        <f aca="true">IFERROR(INDIRECT("'Final Calculation Sheet'!$Y"&amp;INDEX('Buyer Lookup'!$A:$AZ,MATCH($B$2,'Buyer Lookup'!$A:$A,0),13)),"")</f>
        <v/>
      </c>
      <c r="N35" s="12" t="str">
        <f aca="true">IFERROR(INDIRECT("'Final Calculation Sheet'!$Y"&amp;INDEX('Buyer Lookup'!$A:$AZ,MATCH($B$2,'Buyer Lookup'!$A:$A,0),14)),"")</f>
        <v/>
      </c>
    </row>
    <row r="36" customFormat="false" ht="19.5" hidden="false" customHeight="true" outlineLevel="0" collapsed="false"/>
    <row r="37" customFormat="false" ht="21.75" hidden="false" customHeight="true" outlineLevel="0" collapsed="false">
      <c r="A37" s="7" t="s">
        <v>47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customFormat="false" ht="19.5" hidden="false" customHeight="true" outlineLevel="0" collapsed="false">
      <c r="A38" s="10" t="s">
        <v>48</v>
      </c>
      <c r="B38" s="16" t="n">
        <f aca="true">IFERROR(INDIRECT("'Final Calculation Sheet'!$Z"&amp;INDEX('Buyer Lookup'!$A:$AZ,MATCH($B$2,'Buyer Lookup'!$A:$A,0),2)),"")</f>
        <v>0</v>
      </c>
      <c r="C38" s="16" t="n">
        <f aca="true">IFERROR(INDIRECT("'Final Calculation Sheet'!$Z"&amp;INDEX('Buyer Lookup'!$A:$AZ,MATCH($B$2,'Buyer Lookup'!$A:$A,0),3)),"")</f>
        <v>0</v>
      </c>
      <c r="D38" s="16" t="str">
        <f aca="true">IFERROR(INDIRECT("'Final Calculation Sheet'!$Z"&amp;INDEX('Buyer Lookup'!$A:$AZ,MATCH($B$2,'Buyer Lookup'!$A:$A,0),4)),"")</f>
        <v/>
      </c>
      <c r="E38" s="16" t="str">
        <f aca="true">IFERROR(INDIRECT("'Final Calculation Sheet'!$Z"&amp;INDEX('Buyer Lookup'!$A:$AZ,MATCH($B$2,'Buyer Lookup'!$A:$A,0),5)),"")</f>
        <v/>
      </c>
      <c r="F38" s="16" t="str">
        <f aca="true">IFERROR(INDIRECT("'Final Calculation Sheet'!$Z"&amp;INDEX('Buyer Lookup'!$A:$AZ,MATCH($B$2,'Buyer Lookup'!$A:$A,0),6)),"")</f>
        <v/>
      </c>
      <c r="G38" s="16" t="str">
        <f aca="true">IFERROR(INDIRECT("'Final Calculation Sheet'!$Z"&amp;INDEX('Buyer Lookup'!$A:$AZ,MATCH($B$2,'Buyer Lookup'!$A:$A,0),7)),"")</f>
        <v/>
      </c>
      <c r="H38" s="16" t="str">
        <f aca="true">IFERROR(INDIRECT("'Final Calculation Sheet'!$Z"&amp;INDEX('Buyer Lookup'!$A:$AZ,MATCH($B$2,'Buyer Lookup'!$A:$A,0),8)),"")</f>
        <v/>
      </c>
      <c r="I38" s="16" t="str">
        <f aca="true">IFERROR(INDIRECT("'Final Calculation Sheet'!$Z"&amp;INDEX('Buyer Lookup'!$A:$AZ,MATCH($B$2,'Buyer Lookup'!$A:$A,0),9)),"")</f>
        <v/>
      </c>
      <c r="J38" s="16" t="str">
        <f aca="true">IFERROR(INDIRECT("'Final Calculation Sheet'!$Z"&amp;INDEX('Buyer Lookup'!$A:$AZ,MATCH($B$2,'Buyer Lookup'!$A:$A,0),10)),"")</f>
        <v/>
      </c>
      <c r="K38" s="16" t="str">
        <f aca="true">IFERROR(INDIRECT("'Final Calculation Sheet'!$Z"&amp;INDEX('Buyer Lookup'!$A:$AZ,MATCH($B$2,'Buyer Lookup'!$A:$A,0),11)),"")</f>
        <v/>
      </c>
      <c r="L38" s="16" t="str">
        <f aca="true">IFERROR(INDIRECT("'Final Calculation Sheet'!$Z"&amp;INDEX('Buyer Lookup'!$A:$AZ,MATCH($B$2,'Buyer Lookup'!$A:$A,0),12)),"")</f>
        <v/>
      </c>
      <c r="M38" s="16" t="str">
        <f aca="true">IFERROR(INDIRECT("'Final Calculation Sheet'!$Z"&amp;INDEX('Buyer Lookup'!$A:$AZ,MATCH($B$2,'Buyer Lookup'!$A:$A,0),13)),"")</f>
        <v/>
      </c>
      <c r="N38" s="16" t="str">
        <f aca="true">IFERROR(INDIRECT("'Final Calculation Sheet'!$Z"&amp;INDEX('Buyer Lookup'!$A:$AZ,MATCH($B$2,'Buyer Lookup'!$A:$A,0),14)),"")</f>
        <v/>
      </c>
    </row>
    <row r="39" customFormat="false" ht="19.5" hidden="false" customHeight="true" outlineLevel="0" collapsed="false">
      <c r="A39" s="10" t="s">
        <v>49</v>
      </c>
      <c r="B39" s="15" t="n">
        <f aca="true">IFERROR(INDIRECT("'Final Calculation Sheet'!$AA"&amp;INDEX('Buyer Lookup'!$A:$AZ,MATCH($B$2,'Buyer Lookup'!$A:$A,0),2)),"")</f>
        <v>0</v>
      </c>
      <c r="C39" s="15" t="n">
        <f aca="true">IFERROR(INDIRECT("'Final Calculation Sheet'!$AA"&amp;INDEX('Buyer Lookup'!$A:$AZ,MATCH($B$2,'Buyer Lookup'!$A:$A,0),3)),"")</f>
        <v>0</v>
      </c>
      <c r="D39" s="15" t="str">
        <f aca="true">IFERROR(INDIRECT("'Final Calculation Sheet'!$AA"&amp;INDEX('Buyer Lookup'!$A:$AZ,MATCH($B$2,'Buyer Lookup'!$A:$A,0),4)),"")</f>
        <v/>
      </c>
      <c r="E39" s="15" t="str">
        <f aca="true">IFERROR(INDIRECT("'Final Calculation Sheet'!$AA"&amp;INDEX('Buyer Lookup'!$A:$AZ,MATCH($B$2,'Buyer Lookup'!$A:$A,0),5)),"")</f>
        <v/>
      </c>
      <c r="F39" s="15" t="str">
        <f aca="true">IFERROR(INDIRECT("'Final Calculation Sheet'!$AA"&amp;INDEX('Buyer Lookup'!$A:$AZ,MATCH($B$2,'Buyer Lookup'!$A:$A,0),6)),"")</f>
        <v/>
      </c>
      <c r="G39" s="15" t="str">
        <f aca="true">IFERROR(INDIRECT("'Final Calculation Sheet'!$AA"&amp;INDEX('Buyer Lookup'!$A:$AZ,MATCH($B$2,'Buyer Lookup'!$A:$A,0),7)),"")</f>
        <v/>
      </c>
      <c r="H39" s="15" t="str">
        <f aca="true">IFERROR(INDIRECT("'Final Calculation Sheet'!$AA"&amp;INDEX('Buyer Lookup'!$A:$AZ,MATCH($B$2,'Buyer Lookup'!$A:$A,0),8)),"")</f>
        <v/>
      </c>
      <c r="I39" s="15" t="str">
        <f aca="true">IFERROR(INDIRECT("'Final Calculation Sheet'!$AA"&amp;INDEX('Buyer Lookup'!$A:$AZ,MATCH($B$2,'Buyer Lookup'!$A:$A,0),9)),"")</f>
        <v/>
      </c>
      <c r="J39" s="15" t="str">
        <f aca="true">IFERROR(INDIRECT("'Final Calculation Sheet'!$AA"&amp;INDEX('Buyer Lookup'!$A:$AZ,MATCH($B$2,'Buyer Lookup'!$A:$A,0),10)),"")</f>
        <v/>
      </c>
      <c r="K39" s="15" t="str">
        <f aca="true">IFERROR(INDIRECT("'Final Calculation Sheet'!$AA"&amp;INDEX('Buyer Lookup'!$A:$AZ,MATCH($B$2,'Buyer Lookup'!$A:$A,0),11)),"")</f>
        <v/>
      </c>
      <c r="L39" s="15" t="str">
        <f aca="true">IFERROR(INDIRECT("'Final Calculation Sheet'!$AA"&amp;INDEX('Buyer Lookup'!$A:$AZ,MATCH($B$2,'Buyer Lookup'!$A:$A,0),12)),"")</f>
        <v/>
      </c>
      <c r="M39" s="15" t="str">
        <f aca="true">IFERROR(INDIRECT("'Final Calculation Sheet'!$AA"&amp;INDEX('Buyer Lookup'!$A:$AZ,MATCH($B$2,'Buyer Lookup'!$A:$A,0),13)),"")</f>
        <v/>
      </c>
      <c r="N39" s="15" t="str">
        <f aca="true">IFERROR(INDIRECT("'Final Calculation Sheet'!$AA"&amp;INDEX('Buyer Lookup'!$A:$AZ,MATCH($B$2,'Buyer Lookup'!$A:$A,0),14)),"")</f>
        <v/>
      </c>
    </row>
    <row r="40" customFormat="false" ht="19.5" hidden="false" customHeight="true" outlineLevel="0" collapsed="false">
      <c r="A40" s="10" t="s">
        <v>50</v>
      </c>
      <c r="B40" s="14" t="n">
        <f aca="true">IFERROR(INDIRECT("'Final Calculation Sheet'!$AB"&amp;INDEX('Buyer Lookup'!$A:$AZ,MATCH($B$2,'Buyer Lookup'!$A:$A,0),2)),"")</f>
        <v>0</v>
      </c>
      <c r="C40" s="14" t="n">
        <f aca="true">IFERROR(INDIRECT("'Final Calculation Sheet'!$AB"&amp;INDEX('Buyer Lookup'!$A:$AZ,MATCH($B$2,'Buyer Lookup'!$A:$A,0),3)),"")</f>
        <v>0</v>
      </c>
      <c r="D40" s="14" t="str">
        <f aca="true">IFERROR(INDIRECT("'Final Calculation Sheet'!$AB"&amp;INDEX('Buyer Lookup'!$A:$AZ,MATCH($B$2,'Buyer Lookup'!$A:$A,0),4)),"")</f>
        <v/>
      </c>
      <c r="E40" s="14" t="str">
        <f aca="true">IFERROR(INDIRECT("'Final Calculation Sheet'!$AB"&amp;INDEX('Buyer Lookup'!$A:$AZ,MATCH($B$2,'Buyer Lookup'!$A:$A,0),5)),"")</f>
        <v/>
      </c>
      <c r="F40" s="14" t="str">
        <f aca="true">IFERROR(INDIRECT("'Final Calculation Sheet'!$AB"&amp;INDEX('Buyer Lookup'!$A:$AZ,MATCH($B$2,'Buyer Lookup'!$A:$A,0),6)),"")</f>
        <v/>
      </c>
      <c r="G40" s="14" t="str">
        <f aca="true">IFERROR(INDIRECT("'Final Calculation Sheet'!$AB"&amp;INDEX('Buyer Lookup'!$A:$AZ,MATCH($B$2,'Buyer Lookup'!$A:$A,0),7)),"")</f>
        <v/>
      </c>
      <c r="H40" s="14" t="str">
        <f aca="true">IFERROR(INDIRECT("'Final Calculation Sheet'!$AB"&amp;INDEX('Buyer Lookup'!$A:$AZ,MATCH($B$2,'Buyer Lookup'!$A:$A,0),8)),"")</f>
        <v/>
      </c>
      <c r="I40" s="14" t="str">
        <f aca="true">IFERROR(INDIRECT("'Final Calculation Sheet'!$AB"&amp;INDEX('Buyer Lookup'!$A:$AZ,MATCH($B$2,'Buyer Lookup'!$A:$A,0),9)),"")</f>
        <v/>
      </c>
      <c r="J40" s="14" t="str">
        <f aca="true">IFERROR(INDIRECT("'Final Calculation Sheet'!$AB"&amp;INDEX('Buyer Lookup'!$A:$AZ,MATCH($B$2,'Buyer Lookup'!$A:$A,0),10)),"")</f>
        <v/>
      </c>
      <c r="K40" s="14" t="str">
        <f aca="true">IFERROR(INDIRECT("'Final Calculation Sheet'!$AB"&amp;INDEX('Buyer Lookup'!$A:$AZ,MATCH($B$2,'Buyer Lookup'!$A:$A,0),11)),"")</f>
        <v/>
      </c>
      <c r="L40" s="14" t="str">
        <f aca="true">IFERROR(INDIRECT("'Final Calculation Sheet'!$AB"&amp;INDEX('Buyer Lookup'!$A:$AZ,MATCH($B$2,'Buyer Lookup'!$A:$A,0),12)),"")</f>
        <v/>
      </c>
      <c r="M40" s="14" t="str">
        <f aca="true">IFERROR(INDIRECT("'Final Calculation Sheet'!$AB"&amp;INDEX('Buyer Lookup'!$A:$AZ,MATCH($B$2,'Buyer Lookup'!$A:$A,0),13)),"")</f>
        <v/>
      </c>
      <c r="N40" s="14" t="str">
        <f aca="true">IFERROR(INDIRECT("'Final Calculation Sheet'!$AB"&amp;INDEX('Buyer Lookup'!$A:$AZ,MATCH($B$2,'Buyer Lookup'!$A:$A,0),14)),"")</f>
        <v/>
      </c>
    </row>
    <row r="41" customFormat="false" ht="19.5" hidden="false" customHeight="true" outlineLevel="0" collapsed="false"/>
    <row r="42" customFormat="false" ht="21.75" hidden="false" customHeight="true" outlineLevel="0" collapsed="false">
      <c r="A42" s="7" t="s">
        <v>51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customFormat="false" ht="19.5" hidden="false" customHeight="true" outlineLevel="0" collapsed="false">
      <c r="A43" s="10" t="s">
        <v>52</v>
      </c>
      <c r="B43" s="15" t="n">
        <f aca="true">IFERROR(INDIRECT("'Final Calculation Sheet'!$AC"&amp;INDEX('Buyer Lookup'!$A:$AZ,MATCH($B$2,'Buyer Lookup'!$A:$A,0),2)),"")</f>
        <v>0</v>
      </c>
      <c r="C43" s="15" t="n">
        <f aca="true">IFERROR(INDIRECT("'Final Calculation Sheet'!$AC"&amp;INDEX('Buyer Lookup'!$A:$AZ,MATCH($B$2,'Buyer Lookup'!$A:$A,0),3)),"")</f>
        <v>0</v>
      </c>
      <c r="D43" s="15" t="str">
        <f aca="true">IFERROR(INDIRECT("'Final Calculation Sheet'!$AC"&amp;INDEX('Buyer Lookup'!$A:$AZ,MATCH($B$2,'Buyer Lookup'!$A:$A,0),4)),"")</f>
        <v/>
      </c>
      <c r="E43" s="15" t="str">
        <f aca="true">IFERROR(INDIRECT("'Final Calculation Sheet'!$AC"&amp;INDEX('Buyer Lookup'!$A:$AZ,MATCH($B$2,'Buyer Lookup'!$A:$A,0),5)),"")</f>
        <v/>
      </c>
      <c r="F43" s="15" t="str">
        <f aca="true">IFERROR(INDIRECT("'Final Calculation Sheet'!$AC"&amp;INDEX('Buyer Lookup'!$A:$AZ,MATCH($B$2,'Buyer Lookup'!$A:$A,0),6)),"")</f>
        <v/>
      </c>
      <c r="G43" s="15" t="str">
        <f aca="true">IFERROR(INDIRECT("'Final Calculation Sheet'!$AC"&amp;INDEX('Buyer Lookup'!$A:$AZ,MATCH($B$2,'Buyer Lookup'!$A:$A,0),7)),"")</f>
        <v/>
      </c>
      <c r="H43" s="15" t="str">
        <f aca="true">IFERROR(INDIRECT("'Final Calculation Sheet'!$AC"&amp;INDEX('Buyer Lookup'!$A:$AZ,MATCH($B$2,'Buyer Lookup'!$A:$A,0),8)),"")</f>
        <v/>
      </c>
      <c r="I43" s="15" t="str">
        <f aca="true">IFERROR(INDIRECT("'Final Calculation Sheet'!$AC"&amp;INDEX('Buyer Lookup'!$A:$AZ,MATCH($B$2,'Buyer Lookup'!$A:$A,0),9)),"")</f>
        <v/>
      </c>
      <c r="J43" s="15" t="str">
        <f aca="true">IFERROR(INDIRECT("'Final Calculation Sheet'!$AC"&amp;INDEX('Buyer Lookup'!$A:$AZ,MATCH($B$2,'Buyer Lookup'!$A:$A,0),10)),"")</f>
        <v/>
      </c>
      <c r="K43" s="15" t="str">
        <f aca="true">IFERROR(INDIRECT("'Final Calculation Sheet'!$AC"&amp;INDEX('Buyer Lookup'!$A:$AZ,MATCH($B$2,'Buyer Lookup'!$A:$A,0),11)),"")</f>
        <v/>
      </c>
      <c r="L43" s="15" t="str">
        <f aca="true">IFERROR(INDIRECT("'Final Calculation Sheet'!$AC"&amp;INDEX('Buyer Lookup'!$A:$AZ,MATCH($B$2,'Buyer Lookup'!$A:$A,0),12)),"")</f>
        <v/>
      </c>
      <c r="M43" s="15" t="str">
        <f aca="true">IFERROR(INDIRECT("'Final Calculation Sheet'!$AC"&amp;INDEX('Buyer Lookup'!$A:$AZ,MATCH($B$2,'Buyer Lookup'!$A:$A,0),13)),"")</f>
        <v/>
      </c>
      <c r="N43" s="15" t="str">
        <f aca="true">IFERROR(INDIRECT("'Final Calculation Sheet'!$AC"&amp;INDEX('Buyer Lookup'!$A:$AZ,MATCH($B$2,'Buyer Lookup'!$A:$A,0),14)),"")</f>
        <v/>
      </c>
    </row>
    <row r="44" customFormat="false" ht="19.5" hidden="false" customHeight="true" outlineLevel="0" collapsed="false">
      <c r="A44" s="10" t="s">
        <v>53</v>
      </c>
      <c r="B44" s="16" t="n">
        <f aca="true">IFERROR(INDIRECT("'Final Calculation Sheet'!$AD"&amp;INDEX('Buyer Lookup'!$A:$AZ,MATCH($B$2,'Buyer Lookup'!$A:$A,0),2)),"")</f>
        <v>0</v>
      </c>
      <c r="C44" s="16" t="n">
        <f aca="true">IFERROR(INDIRECT("'Final Calculation Sheet'!$AD"&amp;INDEX('Buyer Lookup'!$A:$AZ,MATCH($B$2,'Buyer Lookup'!$A:$A,0),3)),"")</f>
        <v>0</v>
      </c>
      <c r="D44" s="16" t="str">
        <f aca="true">IFERROR(INDIRECT("'Final Calculation Sheet'!$AD"&amp;INDEX('Buyer Lookup'!$A:$AZ,MATCH($B$2,'Buyer Lookup'!$A:$A,0),4)),"")</f>
        <v/>
      </c>
      <c r="E44" s="16" t="str">
        <f aca="true">IFERROR(INDIRECT("'Final Calculation Sheet'!$AD"&amp;INDEX('Buyer Lookup'!$A:$AZ,MATCH($B$2,'Buyer Lookup'!$A:$A,0),5)),"")</f>
        <v/>
      </c>
      <c r="F44" s="16" t="str">
        <f aca="true">IFERROR(INDIRECT("'Final Calculation Sheet'!$AD"&amp;INDEX('Buyer Lookup'!$A:$AZ,MATCH($B$2,'Buyer Lookup'!$A:$A,0),6)),"")</f>
        <v/>
      </c>
      <c r="G44" s="16" t="str">
        <f aca="true">IFERROR(INDIRECT("'Final Calculation Sheet'!$AD"&amp;INDEX('Buyer Lookup'!$A:$AZ,MATCH($B$2,'Buyer Lookup'!$A:$A,0),7)),"")</f>
        <v/>
      </c>
      <c r="H44" s="16" t="str">
        <f aca="true">IFERROR(INDIRECT("'Final Calculation Sheet'!$AD"&amp;INDEX('Buyer Lookup'!$A:$AZ,MATCH($B$2,'Buyer Lookup'!$A:$A,0),8)),"")</f>
        <v/>
      </c>
      <c r="I44" s="16" t="str">
        <f aca="true">IFERROR(INDIRECT("'Final Calculation Sheet'!$AD"&amp;INDEX('Buyer Lookup'!$A:$AZ,MATCH($B$2,'Buyer Lookup'!$A:$A,0),9)),"")</f>
        <v/>
      </c>
      <c r="J44" s="16" t="str">
        <f aca="true">IFERROR(INDIRECT("'Final Calculation Sheet'!$AD"&amp;INDEX('Buyer Lookup'!$A:$AZ,MATCH($B$2,'Buyer Lookup'!$A:$A,0),10)),"")</f>
        <v/>
      </c>
      <c r="K44" s="16" t="str">
        <f aca="true">IFERROR(INDIRECT("'Final Calculation Sheet'!$AD"&amp;INDEX('Buyer Lookup'!$A:$AZ,MATCH($B$2,'Buyer Lookup'!$A:$A,0),11)),"")</f>
        <v/>
      </c>
      <c r="L44" s="16" t="str">
        <f aca="true">IFERROR(INDIRECT("'Final Calculation Sheet'!$AD"&amp;INDEX('Buyer Lookup'!$A:$AZ,MATCH($B$2,'Buyer Lookup'!$A:$A,0),12)),"")</f>
        <v/>
      </c>
      <c r="M44" s="16" t="str">
        <f aca="true">IFERROR(INDIRECT("'Final Calculation Sheet'!$AD"&amp;INDEX('Buyer Lookup'!$A:$AZ,MATCH($B$2,'Buyer Lookup'!$A:$A,0),13)),"")</f>
        <v/>
      </c>
      <c r="N44" s="16" t="str">
        <f aca="true">IFERROR(INDIRECT("'Final Calculation Sheet'!$AD"&amp;INDEX('Buyer Lookup'!$A:$AZ,MATCH($B$2,'Buyer Lookup'!$A:$A,0),14)),"")</f>
        <v/>
      </c>
    </row>
    <row r="45" customFormat="false" ht="19.5" hidden="false" customHeight="true" outlineLevel="0" collapsed="false"/>
    <row r="46" customFormat="false" ht="21.75" hidden="false" customHeight="true" outlineLevel="0" collapsed="false">
      <c r="A46" s="7" t="s">
        <v>54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customFormat="false" ht="19.5" hidden="false" customHeight="true" outlineLevel="0" collapsed="false">
      <c r="A47" s="10" t="s">
        <v>55</v>
      </c>
      <c r="B47" s="12" t="str">
        <f aca="true">IFERROR(INDIRECT("'Final Calculation Sheet'!$AE"&amp;INDEX('Buyer Lookup'!$A:$AZ,MATCH($B$2,'Buyer Lookup'!$A:$A,0),2)),"")</f>
        <v>DR2640100029</v>
      </c>
      <c r="C47" s="12" t="n">
        <f aca="true">IFERROR(INDIRECT("'Final Calculation Sheet'!$AE"&amp;INDEX('Buyer Lookup'!$A:$AZ,MATCH($B$2,'Buyer Lookup'!$A:$A,0),3)),"")</f>
        <v>0</v>
      </c>
      <c r="D47" s="12" t="str">
        <f aca="true">IFERROR(INDIRECT("'Final Calculation Sheet'!$AE"&amp;INDEX('Buyer Lookup'!$A:$AZ,MATCH($B$2,'Buyer Lookup'!$A:$A,0),4)),"")</f>
        <v/>
      </c>
      <c r="E47" s="12" t="str">
        <f aca="true">IFERROR(INDIRECT("'Final Calculation Sheet'!$AE"&amp;INDEX('Buyer Lookup'!$A:$AZ,MATCH($B$2,'Buyer Lookup'!$A:$A,0),5)),"")</f>
        <v/>
      </c>
      <c r="F47" s="12" t="str">
        <f aca="true">IFERROR(INDIRECT("'Final Calculation Sheet'!$AE"&amp;INDEX('Buyer Lookup'!$A:$AZ,MATCH($B$2,'Buyer Lookup'!$A:$A,0),6)),"")</f>
        <v/>
      </c>
      <c r="G47" s="12" t="str">
        <f aca="true">IFERROR(INDIRECT("'Final Calculation Sheet'!$AE"&amp;INDEX('Buyer Lookup'!$A:$AZ,MATCH($B$2,'Buyer Lookup'!$A:$A,0),7)),"")</f>
        <v/>
      </c>
      <c r="H47" s="12" t="str">
        <f aca="true">IFERROR(INDIRECT("'Final Calculation Sheet'!$AE"&amp;INDEX('Buyer Lookup'!$A:$AZ,MATCH($B$2,'Buyer Lookup'!$A:$A,0),8)),"")</f>
        <v/>
      </c>
      <c r="I47" s="12" t="str">
        <f aca="true">IFERROR(INDIRECT("'Final Calculation Sheet'!$AE"&amp;INDEX('Buyer Lookup'!$A:$AZ,MATCH($B$2,'Buyer Lookup'!$A:$A,0),9)),"")</f>
        <v/>
      </c>
      <c r="J47" s="12" t="str">
        <f aca="true">IFERROR(INDIRECT("'Final Calculation Sheet'!$AE"&amp;INDEX('Buyer Lookup'!$A:$AZ,MATCH($B$2,'Buyer Lookup'!$A:$A,0),10)),"")</f>
        <v/>
      </c>
      <c r="K47" s="12" t="str">
        <f aca="true">IFERROR(INDIRECT("'Final Calculation Sheet'!$AE"&amp;INDEX('Buyer Lookup'!$A:$AZ,MATCH($B$2,'Buyer Lookup'!$A:$A,0),11)),"")</f>
        <v/>
      </c>
      <c r="L47" s="12" t="str">
        <f aca="true">IFERROR(INDIRECT("'Final Calculation Sheet'!$AE"&amp;INDEX('Buyer Lookup'!$A:$AZ,MATCH($B$2,'Buyer Lookup'!$A:$A,0),12)),"")</f>
        <v/>
      </c>
      <c r="M47" s="12" t="str">
        <f aca="true">IFERROR(INDIRECT("'Final Calculation Sheet'!$AE"&amp;INDEX('Buyer Lookup'!$A:$AZ,MATCH($B$2,'Buyer Lookup'!$A:$A,0),13)),"")</f>
        <v/>
      </c>
      <c r="N47" s="12" t="str">
        <f aca="true">IFERROR(INDIRECT("'Final Calculation Sheet'!$AE"&amp;INDEX('Buyer Lookup'!$A:$AZ,MATCH($B$2,'Buyer Lookup'!$A:$A,0),14)),"")</f>
        <v/>
      </c>
    </row>
    <row r="48" customFormat="false" ht="19.5" hidden="false" customHeight="true" outlineLevel="0" collapsed="false">
      <c r="A48" s="10" t="s">
        <v>56</v>
      </c>
      <c r="B48" s="14" t="n">
        <f aca="true">IFERROR(INDIRECT("'Final Calculation Sheet'!$AF"&amp;INDEX('Buyer Lookup'!$A:$AZ,MATCH($B$2,'Buyer Lookup'!$A:$A,0),2)),"")</f>
        <v>1800003271</v>
      </c>
      <c r="C48" s="14" t="n">
        <f aca="true">IFERROR(INDIRECT("'Final Calculation Sheet'!$AF"&amp;INDEX('Buyer Lookup'!$A:$AZ,MATCH($B$2,'Buyer Lookup'!$A:$A,0),3)),"")</f>
        <v>0</v>
      </c>
      <c r="D48" s="14" t="str">
        <f aca="true">IFERROR(INDIRECT("'Final Calculation Sheet'!$AF"&amp;INDEX('Buyer Lookup'!$A:$AZ,MATCH($B$2,'Buyer Lookup'!$A:$A,0),4)),"")</f>
        <v/>
      </c>
      <c r="E48" s="14" t="str">
        <f aca="true">IFERROR(INDIRECT("'Final Calculation Sheet'!$AF"&amp;INDEX('Buyer Lookup'!$A:$AZ,MATCH($B$2,'Buyer Lookup'!$A:$A,0),5)),"")</f>
        <v/>
      </c>
      <c r="F48" s="14" t="str">
        <f aca="true">IFERROR(INDIRECT("'Final Calculation Sheet'!$AF"&amp;INDEX('Buyer Lookup'!$A:$AZ,MATCH($B$2,'Buyer Lookup'!$A:$A,0),6)),"")</f>
        <v/>
      </c>
      <c r="G48" s="14" t="str">
        <f aca="true">IFERROR(INDIRECT("'Final Calculation Sheet'!$AF"&amp;INDEX('Buyer Lookup'!$A:$AZ,MATCH($B$2,'Buyer Lookup'!$A:$A,0),7)),"")</f>
        <v/>
      </c>
      <c r="H48" s="14" t="str">
        <f aca="true">IFERROR(INDIRECT("'Final Calculation Sheet'!$AF"&amp;INDEX('Buyer Lookup'!$A:$AZ,MATCH($B$2,'Buyer Lookup'!$A:$A,0),8)),"")</f>
        <v/>
      </c>
      <c r="I48" s="14" t="str">
        <f aca="true">IFERROR(INDIRECT("'Final Calculation Sheet'!$AF"&amp;INDEX('Buyer Lookup'!$A:$AZ,MATCH($B$2,'Buyer Lookup'!$A:$A,0),9)),"")</f>
        <v/>
      </c>
      <c r="J48" s="14" t="str">
        <f aca="true">IFERROR(INDIRECT("'Final Calculation Sheet'!$AF"&amp;INDEX('Buyer Lookup'!$A:$AZ,MATCH($B$2,'Buyer Lookup'!$A:$A,0),10)),"")</f>
        <v/>
      </c>
      <c r="K48" s="14" t="str">
        <f aca="true">IFERROR(INDIRECT("'Final Calculation Sheet'!$AF"&amp;INDEX('Buyer Lookup'!$A:$AZ,MATCH($B$2,'Buyer Lookup'!$A:$A,0),11)),"")</f>
        <v/>
      </c>
      <c r="L48" s="14" t="str">
        <f aca="true">IFERROR(INDIRECT("'Final Calculation Sheet'!$AF"&amp;INDEX('Buyer Lookup'!$A:$AZ,MATCH($B$2,'Buyer Lookup'!$A:$A,0),12)),"")</f>
        <v/>
      </c>
      <c r="M48" s="14" t="str">
        <f aca="true">IFERROR(INDIRECT("'Final Calculation Sheet'!$AF"&amp;INDEX('Buyer Lookup'!$A:$AZ,MATCH($B$2,'Buyer Lookup'!$A:$A,0),13)),"")</f>
        <v/>
      </c>
      <c r="N48" s="14" t="str">
        <f aca="true">IFERROR(INDIRECT("'Final Calculation Sheet'!$AF"&amp;INDEX('Buyer Lookup'!$A:$AZ,MATCH($B$2,'Buyer Lookup'!$A:$A,0),14)),"")</f>
        <v/>
      </c>
    </row>
    <row r="49" customFormat="false" ht="19.5" hidden="false" customHeight="true" outlineLevel="0" collapsed="false">
      <c r="A49" s="10" t="s">
        <v>57</v>
      </c>
      <c r="B49" s="12" t="str">
        <f aca="true">IFERROR(INDIRECT("'Final Calculation Sheet'!$AG"&amp;INDEX('Buyer Lookup'!$A:$AZ,MATCH($B$2,'Buyer Lookup'!$A:$A,0),2)),"")</f>
        <v>24.08.2026</v>
      </c>
      <c r="C49" s="12" t="n">
        <f aca="true">IFERROR(INDIRECT("'Final Calculation Sheet'!$AG"&amp;INDEX('Buyer Lookup'!$A:$AZ,MATCH($B$2,'Buyer Lookup'!$A:$A,0),3)),"")</f>
        <v>0</v>
      </c>
      <c r="D49" s="12" t="str">
        <f aca="true">IFERROR(INDIRECT("'Final Calculation Sheet'!$AG"&amp;INDEX('Buyer Lookup'!$A:$AZ,MATCH($B$2,'Buyer Lookup'!$A:$A,0),4)),"")</f>
        <v/>
      </c>
      <c r="E49" s="12" t="str">
        <f aca="true">IFERROR(INDIRECT("'Final Calculation Sheet'!$AG"&amp;INDEX('Buyer Lookup'!$A:$AZ,MATCH($B$2,'Buyer Lookup'!$A:$A,0),5)),"")</f>
        <v/>
      </c>
      <c r="F49" s="12" t="str">
        <f aca="true">IFERROR(INDIRECT("'Final Calculation Sheet'!$AG"&amp;INDEX('Buyer Lookup'!$A:$AZ,MATCH($B$2,'Buyer Lookup'!$A:$A,0),6)),"")</f>
        <v/>
      </c>
      <c r="G49" s="12" t="str">
        <f aca="true">IFERROR(INDIRECT("'Final Calculation Sheet'!$AG"&amp;INDEX('Buyer Lookup'!$A:$AZ,MATCH($B$2,'Buyer Lookup'!$A:$A,0),7)),"")</f>
        <v/>
      </c>
      <c r="H49" s="12" t="str">
        <f aca="true">IFERROR(INDIRECT("'Final Calculation Sheet'!$AG"&amp;INDEX('Buyer Lookup'!$A:$AZ,MATCH($B$2,'Buyer Lookup'!$A:$A,0),8)),"")</f>
        <v/>
      </c>
      <c r="I49" s="12" t="str">
        <f aca="true">IFERROR(INDIRECT("'Final Calculation Sheet'!$AG"&amp;INDEX('Buyer Lookup'!$A:$AZ,MATCH($B$2,'Buyer Lookup'!$A:$A,0),9)),"")</f>
        <v/>
      </c>
      <c r="J49" s="12" t="str">
        <f aca="true">IFERROR(INDIRECT("'Final Calculation Sheet'!$AG"&amp;INDEX('Buyer Lookup'!$A:$AZ,MATCH($B$2,'Buyer Lookup'!$A:$A,0),10)),"")</f>
        <v/>
      </c>
      <c r="K49" s="12" t="str">
        <f aca="true">IFERROR(INDIRECT("'Final Calculation Sheet'!$AG"&amp;INDEX('Buyer Lookup'!$A:$AZ,MATCH($B$2,'Buyer Lookup'!$A:$A,0),11)),"")</f>
        <v/>
      </c>
      <c r="L49" s="12" t="str">
        <f aca="true">IFERROR(INDIRECT("'Final Calculation Sheet'!$AG"&amp;INDEX('Buyer Lookup'!$A:$AZ,MATCH($B$2,'Buyer Lookup'!$A:$A,0),12)),"")</f>
        <v/>
      </c>
      <c r="M49" s="12" t="str">
        <f aca="true">IFERROR(INDIRECT("'Final Calculation Sheet'!$AG"&amp;INDEX('Buyer Lookup'!$A:$AZ,MATCH($B$2,'Buyer Lookup'!$A:$A,0),13)),"")</f>
        <v/>
      </c>
      <c r="N49" s="12" t="str">
        <f aca="true">IFERROR(INDIRECT("'Final Calculation Sheet'!$AG"&amp;INDEX('Buyer Lookup'!$A:$AZ,MATCH($B$2,'Buyer Lookup'!$A:$A,0),14)),"")</f>
        <v/>
      </c>
    </row>
    <row r="51" customFormat="false" ht="21.75" hidden="false" customHeight="true" outlineLevel="0" collapsed="false">
      <c r="A51" s="18" t="s">
        <v>58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customFormat="false" ht="19.5" hidden="false" customHeight="true" outlineLevel="0" collapsed="false">
      <c r="A52" s="10" t="s">
        <v>59</v>
      </c>
      <c r="B52" s="19" t="n">
        <f aca="false">IFERROR(COUNTA(INDEX('Buyer Lookup'!$B:$AZ,MATCH($B$2,'Buyer Lookup'!$A:$A,0),0)),"0")</f>
        <v>2</v>
      </c>
      <c r="C52" s="20" t="s">
        <v>60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customFormat="false" ht="19.5" hidden="false" customHeight="true" outlineLevel="0" collapsed="false">
      <c r="A53" s="10" t="s">
        <v>61</v>
      </c>
      <c r="B53" s="21" t="n">
        <f aca="true">IFERROR(INDIRECT("'Final Calculation Sheet'!$H"&amp;INDEX('Buyer Lookup'!$A:$AZ,MATCH($B$2,'Buyer Lookup'!$A:$A,0),2)),0)+IFERROR(INDIRECT("'Final Calculation Sheet'!$H"&amp;INDEX('Buyer Lookup'!$A:$AZ,MATCH($B$2,'Buyer Lookup'!$A:$A,0),3)),0)+IFERROR(INDIRECT("'Final Calculation Sheet'!$H"&amp;INDEX('Buyer Lookup'!$A:$AZ,MATCH($B$2,'Buyer Lookup'!$A:$A,0),4)),0)+IFERROR(INDIRECT("'Final Calculation Sheet'!$H"&amp;INDEX('Buyer Lookup'!$A:$AZ,MATCH($B$2,'Buyer Lookup'!$A:$A,0),5)),0)+IFERROR(INDIRECT("'Final Calculation Sheet'!$H"&amp;INDEX('Buyer Lookup'!$A:$AZ,MATCH($B$2,'Buyer Lookup'!$A:$A,0),6)),0)+IFERROR(INDIRECT("'Final Calculation Sheet'!$H"&amp;INDEX('Buyer Lookup'!$A:$AZ,MATCH($B$2,'Buyer Lookup'!$A:$A,0),7)),0)+IFERROR(INDIRECT("'Final Calculation Sheet'!$H"&amp;INDEX('Buyer Lookup'!$A:$AZ,MATCH($B$2,'Buyer Lookup'!$A:$A,0),8)),0)+IFERROR(INDIRECT("'Final Calculation Sheet'!$H"&amp;INDEX('Buyer Lookup'!$A:$AZ,MATCH($B$2,'Buyer Lookup'!$A:$A,0),9)),0)+IFERROR(INDIRECT("'Final Calculation Sheet'!$H"&amp;INDEX('Buyer Lookup'!$A:$AZ,MATCH($B$2,'Buyer Lookup'!$A:$A,0),10)),0)+IFERROR(INDIRECT("'Final Calculation Sheet'!$H"&amp;INDEX('Buyer Lookup'!$A:$AZ,MATCH($B$2,'Buyer Lookup'!$A:$A,0),11)),0)+IFERROR(INDIRECT("'Final Calculation Sheet'!$H"&amp;INDEX('Buyer Lookup'!$A:$AZ,MATCH($B$2,'Buyer Lookup'!$A:$A,0),12)),0)+IFERROR(INDIRECT("'Final Calculation Sheet'!$H"&amp;INDEX('Buyer Lookup'!$A:$AZ,MATCH($B$2,'Buyer Lookup'!$A:$A,0),13)),0)+IFERROR(INDIRECT("'Final Calculation Sheet'!$H"&amp;INDEX('Buyer Lookup'!$A:$AZ,MATCH($B$2,'Buyer Lookup'!$A:$A,0),14)),0)</f>
        <v>790089</v>
      </c>
      <c r="C53" s="20" t="s">
        <v>62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customFormat="false" ht="19.5" hidden="false" customHeight="true" outlineLevel="0" collapsed="false">
      <c r="A54" s="10" t="s">
        <v>63</v>
      </c>
      <c r="B54" s="21" t="n">
        <f aca="true">IFERROR(INDIRECT("'Final Calculation Sheet'!$J"&amp;INDEX('Buyer Lookup'!$A:$AZ,MATCH($B$2,'Buyer Lookup'!$A:$A,0),2)),0)+IFERROR(INDIRECT("'Final Calculation Sheet'!$J"&amp;INDEX('Buyer Lookup'!$A:$AZ,MATCH($B$2,'Buyer Lookup'!$A:$A,0),3)),0)+IFERROR(INDIRECT("'Final Calculation Sheet'!$J"&amp;INDEX('Buyer Lookup'!$A:$AZ,MATCH($B$2,'Buyer Lookup'!$A:$A,0),4)),0)+IFERROR(INDIRECT("'Final Calculation Sheet'!$J"&amp;INDEX('Buyer Lookup'!$A:$AZ,MATCH($B$2,'Buyer Lookup'!$A:$A,0),5)),0)+IFERROR(INDIRECT("'Final Calculation Sheet'!$J"&amp;INDEX('Buyer Lookup'!$A:$AZ,MATCH($B$2,'Buyer Lookup'!$A:$A,0),6)),0)+IFERROR(INDIRECT("'Final Calculation Sheet'!$J"&amp;INDEX('Buyer Lookup'!$A:$AZ,MATCH($B$2,'Buyer Lookup'!$A:$A,0),7)),0)+IFERROR(INDIRECT("'Final Calculation Sheet'!$J"&amp;INDEX('Buyer Lookup'!$A:$AZ,MATCH($B$2,'Buyer Lookup'!$A:$A,0),8)),0)+IFERROR(INDIRECT("'Final Calculation Sheet'!$J"&amp;INDEX('Buyer Lookup'!$A:$AZ,MATCH($B$2,'Buyer Lookup'!$A:$A,0),9)),0)+IFERROR(INDIRECT("'Final Calculation Sheet'!$J"&amp;INDEX('Buyer Lookup'!$A:$AZ,MATCH($B$2,'Buyer Lookup'!$A:$A,0),10)),0)+IFERROR(INDIRECT("'Final Calculation Sheet'!$J"&amp;INDEX('Buyer Lookup'!$A:$AZ,MATCH($B$2,'Buyer Lookup'!$A:$A,0),11)),0)+IFERROR(INDIRECT("'Final Calculation Sheet'!$J"&amp;INDEX('Buyer Lookup'!$A:$AZ,MATCH($B$2,'Buyer Lookup'!$A:$A,0),12)),0)+IFERROR(INDIRECT("'Final Calculation Sheet'!$J"&amp;INDEX('Buyer Lookup'!$A:$AZ,MATCH($B$2,'Buyer Lookup'!$A:$A,0),13)),0)+IFERROR(INDIRECT("'Final Calculation Sheet'!$J"&amp;INDEX('Buyer Lookup'!$A:$AZ,MATCH($B$2,'Buyer Lookup'!$A:$A,0),14)),0)</f>
        <v>932305</v>
      </c>
      <c r="C54" s="20" t="s">
        <v>62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55" customFormat="false" ht="19.5" hidden="false" customHeight="true" outlineLevel="0" collapsed="false">
      <c r="A55" s="10" t="s">
        <v>64</v>
      </c>
      <c r="B55" s="21" t="n">
        <f aca="true">IFERROR(INDIRECT("'Final Calculation Sheet'!$K"&amp;INDEX('Buyer Lookup'!$A:$AZ,MATCH($B$2,'Buyer Lookup'!$A:$A,0),2)),0)+IFERROR(INDIRECT("'Final Calculation Sheet'!$K"&amp;INDEX('Buyer Lookup'!$A:$AZ,MATCH($B$2,'Buyer Lookup'!$A:$A,0),3)),0)+IFERROR(INDIRECT("'Final Calculation Sheet'!$K"&amp;INDEX('Buyer Lookup'!$A:$AZ,MATCH($B$2,'Buyer Lookup'!$A:$A,0),4)),0)+IFERROR(INDIRECT("'Final Calculation Sheet'!$K"&amp;INDEX('Buyer Lookup'!$A:$AZ,MATCH($B$2,'Buyer Lookup'!$A:$A,0),5)),0)+IFERROR(INDIRECT("'Final Calculation Sheet'!$K"&amp;INDEX('Buyer Lookup'!$A:$AZ,MATCH($B$2,'Buyer Lookup'!$A:$A,0),6)),0)+IFERROR(INDIRECT("'Final Calculation Sheet'!$K"&amp;INDEX('Buyer Lookup'!$A:$AZ,MATCH($B$2,'Buyer Lookup'!$A:$A,0),7)),0)+IFERROR(INDIRECT("'Final Calculation Sheet'!$K"&amp;INDEX('Buyer Lookup'!$A:$AZ,MATCH($B$2,'Buyer Lookup'!$A:$A,0),8)),0)+IFERROR(INDIRECT("'Final Calculation Sheet'!$K"&amp;INDEX('Buyer Lookup'!$A:$AZ,MATCH($B$2,'Buyer Lookup'!$A:$A,0),9)),0)+IFERROR(INDIRECT("'Final Calculation Sheet'!$K"&amp;INDEX('Buyer Lookup'!$A:$AZ,MATCH($B$2,'Buyer Lookup'!$A:$A,0),10)),0)+IFERROR(INDIRECT("'Final Calculation Sheet'!$K"&amp;INDEX('Buyer Lookup'!$A:$AZ,MATCH($B$2,'Buyer Lookup'!$A:$A,0),11)),0)+IFERROR(INDIRECT("'Final Calculation Sheet'!$K"&amp;INDEX('Buyer Lookup'!$A:$AZ,MATCH($B$2,'Buyer Lookup'!$A:$A,0),12)),0)+IFERROR(INDIRECT("'Final Calculation Sheet'!$K"&amp;INDEX('Buyer Lookup'!$A:$AZ,MATCH($B$2,'Buyer Lookup'!$A:$A,0),13)),0)+IFERROR(INDIRECT("'Final Calculation Sheet'!$K"&amp;INDEX('Buyer Lookup'!$A:$AZ,MATCH($B$2,'Buyer Lookup'!$A:$A,0),14)),0)</f>
        <v>18646</v>
      </c>
      <c r="C55" s="20" t="s">
        <v>62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  <row r="56" customFormat="false" ht="19.5" hidden="false" customHeight="true" outlineLevel="0" collapsed="false">
      <c r="A56" s="10" t="s">
        <v>38</v>
      </c>
      <c r="B56" s="21" t="n">
        <f aca="true">IFERROR(INDIRECT("'Final Calculation Sheet'!$S"&amp;INDEX('Buyer Lookup'!$A:$AZ,MATCH($B$2,'Buyer Lookup'!$A:$A,0),2)),0)+IFERROR(INDIRECT("'Final Calculation Sheet'!$S"&amp;INDEX('Buyer Lookup'!$A:$AZ,MATCH($B$2,'Buyer Lookup'!$A:$A,0),3)),0)+IFERROR(INDIRECT("'Final Calculation Sheet'!$S"&amp;INDEX('Buyer Lookup'!$A:$AZ,MATCH($B$2,'Buyer Lookup'!$A:$A,0),4)),0)+IFERROR(INDIRECT("'Final Calculation Sheet'!$S"&amp;INDEX('Buyer Lookup'!$A:$AZ,MATCH($B$2,'Buyer Lookup'!$A:$A,0),5)),0)+IFERROR(INDIRECT("'Final Calculation Sheet'!$S"&amp;INDEX('Buyer Lookup'!$A:$AZ,MATCH($B$2,'Buyer Lookup'!$A:$A,0),6)),0)+IFERROR(INDIRECT("'Final Calculation Sheet'!$S"&amp;INDEX('Buyer Lookup'!$A:$AZ,MATCH($B$2,'Buyer Lookup'!$A:$A,0),7)),0)+IFERROR(INDIRECT("'Final Calculation Sheet'!$S"&amp;INDEX('Buyer Lookup'!$A:$AZ,MATCH($B$2,'Buyer Lookup'!$A:$A,0),8)),0)+IFERROR(INDIRECT("'Final Calculation Sheet'!$S"&amp;INDEX('Buyer Lookup'!$A:$AZ,MATCH($B$2,'Buyer Lookup'!$A:$A,0),9)),0)+IFERROR(INDIRECT("'Final Calculation Sheet'!$S"&amp;INDEX('Buyer Lookup'!$A:$AZ,MATCH($B$2,'Buyer Lookup'!$A:$A,0),10)),0)+IFERROR(INDIRECT("'Final Calculation Sheet'!$S"&amp;INDEX('Buyer Lookup'!$A:$AZ,MATCH($B$2,'Buyer Lookup'!$A:$A,0),11)),0)+IFERROR(INDIRECT("'Final Calculation Sheet'!$S"&amp;INDEX('Buyer Lookup'!$A:$AZ,MATCH($B$2,'Buyer Lookup'!$A:$A,0),12)),0)+IFERROR(INDIRECT("'Final Calculation Sheet'!$S"&amp;INDEX('Buyer Lookup'!$A:$AZ,MATCH($B$2,'Buyer Lookup'!$A:$A,0),13)),0)+IFERROR(INDIRECT("'Final Calculation Sheet'!$S"&amp;INDEX('Buyer Lookup'!$A:$AZ,MATCH($B$2,'Buyer Lookup'!$A:$A,0),14)),0)</f>
        <v>913738</v>
      </c>
      <c r="C56" s="20" t="s">
        <v>62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</row>
    <row r="57" customFormat="false" ht="19.5" hidden="false" customHeight="true" outlineLevel="0" collapsed="false">
      <c r="A57" s="10" t="s">
        <v>65</v>
      </c>
      <c r="B57" s="21" t="n">
        <f aca="true">IFERROR(INDIRECT("'Final Calculation Sheet'!$T"&amp;INDEX('Buyer Lookup'!$A:$AZ,MATCH($B$2,'Buyer Lookup'!$A:$A,0),2)),0)+IFERROR(INDIRECT("'Final Calculation Sheet'!$T"&amp;INDEX('Buyer Lookup'!$A:$AZ,MATCH($B$2,'Buyer Lookup'!$A:$A,0),3)),0)+IFERROR(INDIRECT("'Final Calculation Sheet'!$T"&amp;INDEX('Buyer Lookup'!$A:$AZ,MATCH($B$2,'Buyer Lookup'!$A:$A,0),4)),0)+IFERROR(INDIRECT("'Final Calculation Sheet'!$T"&amp;INDEX('Buyer Lookup'!$A:$AZ,MATCH($B$2,'Buyer Lookup'!$A:$A,0),5)),0)+IFERROR(INDIRECT("'Final Calculation Sheet'!$T"&amp;INDEX('Buyer Lookup'!$A:$AZ,MATCH($B$2,'Buyer Lookup'!$A:$A,0),6)),0)+IFERROR(INDIRECT("'Final Calculation Sheet'!$T"&amp;INDEX('Buyer Lookup'!$A:$AZ,MATCH($B$2,'Buyer Lookup'!$A:$A,0),7)),0)+IFERROR(INDIRECT("'Final Calculation Sheet'!$T"&amp;INDEX('Buyer Lookup'!$A:$AZ,MATCH($B$2,'Buyer Lookup'!$A:$A,0),8)),0)+IFERROR(INDIRECT("'Final Calculation Sheet'!$T"&amp;INDEX('Buyer Lookup'!$A:$AZ,MATCH($B$2,'Buyer Lookup'!$A:$A,0),9)),0)+IFERROR(INDIRECT("'Final Calculation Sheet'!$T"&amp;INDEX('Buyer Lookup'!$A:$AZ,MATCH($B$2,'Buyer Lookup'!$A:$A,0),10)),0)+IFERROR(INDIRECT("'Final Calculation Sheet'!$T"&amp;INDEX('Buyer Lookup'!$A:$AZ,MATCH($B$2,'Buyer Lookup'!$A:$A,0),11)),0)+IFERROR(INDIRECT("'Final Calculation Sheet'!$T"&amp;INDEX('Buyer Lookup'!$A:$AZ,MATCH($B$2,'Buyer Lookup'!$A:$A,0),12)),0)+IFERROR(INDIRECT("'Final Calculation Sheet'!$T"&amp;INDEX('Buyer Lookup'!$A:$AZ,MATCH($B$2,'Buyer Lookup'!$A:$A,0),13)),0)+IFERROR(INDIRECT("'Final Calculation Sheet'!$T"&amp;INDEX('Buyer Lookup'!$A:$AZ,MATCH($B$2,'Buyer Lookup'!$A:$A,0),14)),0)</f>
        <v>197522</v>
      </c>
      <c r="C57" s="20" t="s">
        <v>62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 customFormat="false" ht="19.5" hidden="false" customHeight="true" outlineLevel="0" collapsed="false">
      <c r="A58" s="10" t="s">
        <v>66</v>
      </c>
      <c r="B58" s="21" t="n">
        <f aca="true">IFERROR(INDIRECT("'Final Calculation Sheet'!$U"&amp;INDEX('Buyer Lookup'!$A:$AZ,MATCH($B$2,'Buyer Lookup'!$A:$A,0),2)),0)+IFERROR(INDIRECT("'Final Calculation Sheet'!$U"&amp;INDEX('Buyer Lookup'!$A:$AZ,MATCH($B$2,'Buyer Lookup'!$A:$A,0),3)),0)+IFERROR(INDIRECT("'Final Calculation Sheet'!$U"&amp;INDEX('Buyer Lookup'!$A:$AZ,MATCH($B$2,'Buyer Lookup'!$A:$A,0),4)),0)+IFERROR(INDIRECT("'Final Calculation Sheet'!$U"&amp;INDEX('Buyer Lookup'!$A:$AZ,MATCH($B$2,'Buyer Lookup'!$A:$A,0),5)),0)+IFERROR(INDIRECT("'Final Calculation Sheet'!$U"&amp;INDEX('Buyer Lookup'!$A:$AZ,MATCH($B$2,'Buyer Lookup'!$A:$A,0),6)),0)+IFERROR(INDIRECT("'Final Calculation Sheet'!$U"&amp;INDEX('Buyer Lookup'!$A:$AZ,MATCH($B$2,'Buyer Lookup'!$A:$A,0),7)),0)+IFERROR(INDIRECT("'Final Calculation Sheet'!$U"&amp;INDEX('Buyer Lookup'!$A:$AZ,MATCH($B$2,'Buyer Lookup'!$A:$A,0),8)),0)+IFERROR(INDIRECT("'Final Calculation Sheet'!$U"&amp;INDEX('Buyer Lookup'!$A:$AZ,MATCH($B$2,'Buyer Lookup'!$A:$A,0),9)),0)+IFERROR(INDIRECT("'Final Calculation Sheet'!$U"&amp;INDEX('Buyer Lookup'!$A:$AZ,MATCH($B$2,'Buyer Lookup'!$A:$A,0),10)),0)+IFERROR(INDIRECT("'Final Calculation Sheet'!$U"&amp;INDEX('Buyer Lookup'!$A:$AZ,MATCH($B$2,'Buyer Lookup'!$A:$A,0),11)),0)+IFERROR(INDIRECT("'Final Calculation Sheet'!$U"&amp;INDEX('Buyer Lookup'!$A:$AZ,MATCH($B$2,'Buyer Lookup'!$A:$A,0),12)),0)+IFERROR(INDIRECT("'Final Calculation Sheet'!$U"&amp;INDEX('Buyer Lookup'!$A:$AZ,MATCH($B$2,'Buyer Lookup'!$A:$A,0),13)),0)+IFERROR(INDIRECT("'Final Calculation Sheet'!$U"&amp;INDEX('Buyer Lookup'!$A:$AZ,MATCH($B$2,'Buyer Lookup'!$A:$A,0),14)),0)</f>
        <v>197522</v>
      </c>
      <c r="C58" s="20" t="s">
        <v>62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</row>
    <row r="59" customFormat="false" ht="19.5" hidden="false" customHeight="true" outlineLevel="0" collapsed="false">
      <c r="A59" s="10" t="s">
        <v>67</v>
      </c>
      <c r="B59" s="21" t="n">
        <f aca="true">IFERROR(INDIRECT("'Final Calculation Sheet'!$W"&amp;INDEX('Buyer Lookup'!$A:$AZ,MATCH($B$2,'Buyer Lookup'!$A:$A,0),2)),0)+IFERROR(INDIRECT("'Final Calculation Sheet'!$W"&amp;INDEX('Buyer Lookup'!$A:$AZ,MATCH($B$2,'Buyer Lookup'!$A:$A,0),3)),0)+IFERROR(INDIRECT("'Final Calculation Sheet'!$W"&amp;INDEX('Buyer Lookup'!$A:$AZ,MATCH($B$2,'Buyer Lookup'!$A:$A,0),4)),0)+IFERROR(INDIRECT("'Final Calculation Sheet'!$W"&amp;INDEX('Buyer Lookup'!$A:$AZ,MATCH($B$2,'Buyer Lookup'!$A:$A,0),5)),0)+IFERROR(INDIRECT("'Final Calculation Sheet'!$W"&amp;INDEX('Buyer Lookup'!$A:$AZ,MATCH($B$2,'Buyer Lookup'!$A:$A,0),6)),0)+IFERROR(INDIRECT("'Final Calculation Sheet'!$W"&amp;INDEX('Buyer Lookup'!$A:$AZ,MATCH($B$2,'Buyer Lookup'!$A:$A,0),7)),0)+IFERROR(INDIRECT("'Final Calculation Sheet'!$W"&amp;INDEX('Buyer Lookup'!$A:$AZ,MATCH($B$2,'Buyer Lookup'!$A:$A,0),8)),0)+IFERROR(INDIRECT("'Final Calculation Sheet'!$W"&amp;INDEX('Buyer Lookup'!$A:$AZ,MATCH($B$2,'Buyer Lookup'!$A:$A,0),9)),0)+IFERROR(INDIRECT("'Final Calculation Sheet'!$W"&amp;INDEX('Buyer Lookup'!$A:$AZ,MATCH($B$2,'Buyer Lookup'!$A:$A,0),10)),0)+IFERROR(INDIRECT("'Final Calculation Sheet'!$W"&amp;INDEX('Buyer Lookup'!$A:$AZ,MATCH($B$2,'Buyer Lookup'!$A:$A,0),11)),0)+IFERROR(INDIRECT("'Final Calculation Sheet'!$W"&amp;INDEX('Buyer Lookup'!$A:$AZ,MATCH($B$2,'Buyer Lookup'!$A:$A,0),12)),0)+IFERROR(INDIRECT("'Final Calculation Sheet'!$W"&amp;INDEX('Buyer Lookup'!$A:$AZ,MATCH($B$2,'Buyer Lookup'!$A:$A,0),13)),0)+IFERROR(INDIRECT("'Final Calculation Sheet'!$W"&amp;INDEX('Buyer Lookup'!$A:$AZ,MATCH($B$2,'Buyer Lookup'!$A:$A,0),14)),0)</f>
        <v>716215</v>
      </c>
      <c r="C59" s="20" t="s">
        <v>62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</row>
    <row r="60" customFormat="false" ht="19.5" hidden="false" customHeight="true" outlineLevel="0" collapsed="false">
      <c r="A60" s="10" t="s">
        <v>68</v>
      </c>
      <c r="B60" s="21" t="n">
        <f aca="true">IFERROR(INDIRECT("'Final Calculation Sheet'!$X"&amp;INDEX('Buyer Lookup'!$A:$AZ,MATCH($B$2,'Buyer Lookup'!$A:$A,0),2)),0)+IFERROR(INDIRECT("'Final Calculation Sheet'!$X"&amp;INDEX('Buyer Lookup'!$A:$AZ,MATCH($B$2,'Buyer Lookup'!$A:$A,0),3)),0)+IFERROR(INDIRECT("'Final Calculation Sheet'!$X"&amp;INDEX('Buyer Lookup'!$A:$AZ,MATCH($B$2,'Buyer Lookup'!$A:$A,0),4)),0)+IFERROR(INDIRECT("'Final Calculation Sheet'!$X"&amp;INDEX('Buyer Lookup'!$A:$AZ,MATCH($B$2,'Buyer Lookup'!$A:$A,0),5)),0)+IFERROR(INDIRECT("'Final Calculation Sheet'!$X"&amp;INDEX('Buyer Lookup'!$A:$AZ,MATCH($B$2,'Buyer Lookup'!$A:$A,0),6)),0)+IFERROR(INDIRECT("'Final Calculation Sheet'!$X"&amp;INDEX('Buyer Lookup'!$A:$AZ,MATCH($B$2,'Buyer Lookup'!$A:$A,0),7)),0)+IFERROR(INDIRECT("'Final Calculation Sheet'!$X"&amp;INDEX('Buyer Lookup'!$A:$AZ,MATCH($B$2,'Buyer Lookup'!$A:$A,0),8)),0)+IFERROR(INDIRECT("'Final Calculation Sheet'!$X"&amp;INDEX('Buyer Lookup'!$A:$AZ,MATCH($B$2,'Buyer Lookup'!$A:$A,0),9)),0)+IFERROR(INDIRECT("'Final Calculation Sheet'!$X"&amp;INDEX('Buyer Lookup'!$A:$AZ,MATCH($B$2,'Buyer Lookup'!$A:$A,0),10)),0)+IFERROR(INDIRECT("'Final Calculation Sheet'!$X"&amp;INDEX('Buyer Lookup'!$A:$AZ,MATCH($B$2,'Buyer Lookup'!$A:$A,0),11)),0)+IFERROR(INDIRECT("'Final Calculation Sheet'!$X"&amp;INDEX('Buyer Lookup'!$A:$AZ,MATCH($B$2,'Buyer Lookup'!$A:$A,0),12)),0)+IFERROR(INDIRECT("'Final Calculation Sheet'!$X"&amp;INDEX('Buyer Lookup'!$A:$AZ,MATCH($B$2,'Buyer Lookup'!$A:$A,0),13)),0)+IFERROR(INDIRECT("'Final Calculation Sheet'!$X"&amp;INDEX('Buyer Lookup'!$A:$AZ,MATCH($B$2,'Buyer Lookup'!$A:$A,0),14)),0)</f>
        <v>716216</v>
      </c>
      <c r="C60" s="20" t="s">
        <v>62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 customFormat="false" ht="19.5" hidden="false" customHeight="true" outlineLevel="0" collapsed="false">
      <c r="A61" s="10" t="s">
        <v>69</v>
      </c>
      <c r="B61" s="21" t="n">
        <f aca="true">IFERROR(INDIRECT("'Final Calculation Sheet'!$Z"&amp;INDEX('Buyer Lookup'!$A:$AZ,MATCH($B$2,'Buyer Lookup'!$A:$A,0),2)),0)+IFERROR(INDIRECT("'Final Calculation Sheet'!$Z"&amp;INDEX('Buyer Lookup'!$A:$AZ,MATCH($B$2,'Buyer Lookup'!$A:$A,0),3)),0)+IFERROR(INDIRECT("'Final Calculation Sheet'!$Z"&amp;INDEX('Buyer Lookup'!$A:$AZ,MATCH($B$2,'Buyer Lookup'!$A:$A,0),4)),0)+IFERROR(INDIRECT("'Final Calculation Sheet'!$Z"&amp;INDEX('Buyer Lookup'!$A:$AZ,MATCH($B$2,'Buyer Lookup'!$A:$A,0),5)),0)+IFERROR(INDIRECT("'Final Calculation Sheet'!$Z"&amp;INDEX('Buyer Lookup'!$A:$AZ,MATCH($B$2,'Buyer Lookup'!$A:$A,0),6)),0)+IFERROR(INDIRECT("'Final Calculation Sheet'!$Z"&amp;INDEX('Buyer Lookup'!$A:$AZ,MATCH($B$2,'Buyer Lookup'!$A:$A,0),7)),0)+IFERROR(INDIRECT("'Final Calculation Sheet'!$Z"&amp;INDEX('Buyer Lookup'!$A:$AZ,MATCH($B$2,'Buyer Lookup'!$A:$A,0),8)),0)+IFERROR(INDIRECT("'Final Calculation Sheet'!$Z"&amp;INDEX('Buyer Lookup'!$A:$AZ,MATCH($B$2,'Buyer Lookup'!$A:$A,0),9)),0)+IFERROR(INDIRECT("'Final Calculation Sheet'!$Z"&amp;INDEX('Buyer Lookup'!$A:$AZ,MATCH($B$2,'Buyer Lookup'!$A:$A,0),10)),0)+IFERROR(INDIRECT("'Final Calculation Sheet'!$Z"&amp;INDEX('Buyer Lookup'!$A:$AZ,MATCH($B$2,'Buyer Lookup'!$A:$A,0),11)),0)+IFERROR(INDIRECT("'Final Calculation Sheet'!$Z"&amp;INDEX('Buyer Lookup'!$A:$AZ,MATCH($B$2,'Buyer Lookup'!$A:$A,0),12)),0)+IFERROR(INDIRECT("'Final Calculation Sheet'!$Z"&amp;INDEX('Buyer Lookup'!$A:$AZ,MATCH($B$2,'Buyer Lookup'!$A:$A,0),13)),0)+IFERROR(INDIRECT("'Final Calculation Sheet'!$Z"&amp;INDEX('Buyer Lookup'!$A:$AZ,MATCH($B$2,'Buyer Lookup'!$A:$A,0),14)),0)</f>
        <v>0</v>
      </c>
      <c r="C61" s="20" t="s">
        <v>62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</row>
    <row r="62" customFormat="false" ht="19.5" hidden="false" customHeight="true" outlineLevel="0" collapsed="false">
      <c r="A62" s="10" t="s">
        <v>70</v>
      </c>
      <c r="B62" s="21" t="n">
        <f aca="true">IFERROR(INDIRECT("'Final Calculation Sheet'!$AA"&amp;INDEX('Buyer Lookup'!$A:$AZ,MATCH($B$2,'Buyer Lookup'!$A:$A,0),2)),0)+IFERROR(INDIRECT("'Final Calculation Sheet'!$AA"&amp;INDEX('Buyer Lookup'!$A:$AZ,MATCH($B$2,'Buyer Lookup'!$A:$A,0),3)),0)+IFERROR(INDIRECT("'Final Calculation Sheet'!$AA"&amp;INDEX('Buyer Lookup'!$A:$AZ,MATCH($B$2,'Buyer Lookup'!$A:$A,0),4)),0)+IFERROR(INDIRECT("'Final Calculation Sheet'!$AA"&amp;INDEX('Buyer Lookup'!$A:$AZ,MATCH($B$2,'Buyer Lookup'!$A:$A,0),5)),0)+IFERROR(INDIRECT("'Final Calculation Sheet'!$AA"&amp;INDEX('Buyer Lookup'!$A:$AZ,MATCH($B$2,'Buyer Lookup'!$A:$A,0),6)),0)+IFERROR(INDIRECT("'Final Calculation Sheet'!$AA"&amp;INDEX('Buyer Lookup'!$A:$AZ,MATCH($B$2,'Buyer Lookup'!$A:$A,0),7)),0)+IFERROR(INDIRECT("'Final Calculation Sheet'!$AA"&amp;INDEX('Buyer Lookup'!$A:$AZ,MATCH($B$2,'Buyer Lookup'!$A:$A,0),8)),0)+IFERROR(INDIRECT("'Final Calculation Sheet'!$AA"&amp;INDEX('Buyer Lookup'!$A:$AZ,MATCH($B$2,'Buyer Lookup'!$A:$A,0),9)),0)+IFERROR(INDIRECT("'Final Calculation Sheet'!$AA"&amp;INDEX('Buyer Lookup'!$A:$AZ,MATCH($B$2,'Buyer Lookup'!$A:$A,0),10)),0)+IFERROR(INDIRECT("'Final Calculation Sheet'!$AA"&amp;INDEX('Buyer Lookup'!$A:$AZ,MATCH($B$2,'Buyer Lookup'!$A:$A,0),11)),0)+IFERROR(INDIRECT("'Final Calculation Sheet'!$AA"&amp;INDEX('Buyer Lookup'!$A:$AZ,MATCH($B$2,'Buyer Lookup'!$A:$A,0),12)),0)+IFERROR(INDIRECT("'Final Calculation Sheet'!$AA"&amp;INDEX('Buyer Lookup'!$A:$AZ,MATCH($B$2,'Buyer Lookup'!$A:$A,0),13)),0)+IFERROR(INDIRECT("'Final Calculation Sheet'!$AA"&amp;INDEX('Buyer Lookup'!$A:$AZ,MATCH($B$2,'Buyer Lookup'!$A:$A,0),14)),0)</f>
        <v>0</v>
      </c>
      <c r="C62" s="20" t="s">
        <v>62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</row>
    <row r="63" customFormat="false" ht="19.5" hidden="false" customHeight="true" outlineLevel="0" collapsed="false">
      <c r="A63" s="10" t="s">
        <v>52</v>
      </c>
      <c r="B63" s="21" t="n">
        <f aca="true">IFERROR(INDIRECT("'Final Calculation Sheet'!$AC"&amp;INDEX('Buyer Lookup'!$A:$AZ,MATCH($B$2,'Buyer Lookup'!$A:$A,0),2)),0)+IFERROR(INDIRECT("'Final Calculation Sheet'!$AC"&amp;INDEX('Buyer Lookup'!$A:$AZ,MATCH($B$2,'Buyer Lookup'!$A:$A,0),3)),0)+IFERROR(INDIRECT("'Final Calculation Sheet'!$AC"&amp;INDEX('Buyer Lookup'!$A:$AZ,MATCH($B$2,'Buyer Lookup'!$A:$A,0),4)),0)+IFERROR(INDIRECT("'Final Calculation Sheet'!$AC"&amp;INDEX('Buyer Lookup'!$A:$AZ,MATCH($B$2,'Buyer Lookup'!$A:$A,0),5)),0)+IFERROR(INDIRECT("'Final Calculation Sheet'!$AC"&amp;INDEX('Buyer Lookup'!$A:$AZ,MATCH($B$2,'Buyer Lookup'!$A:$A,0),6)),0)+IFERROR(INDIRECT("'Final Calculation Sheet'!$AC"&amp;INDEX('Buyer Lookup'!$A:$AZ,MATCH($B$2,'Buyer Lookup'!$A:$A,0),7)),0)+IFERROR(INDIRECT("'Final Calculation Sheet'!$AC"&amp;INDEX('Buyer Lookup'!$A:$AZ,MATCH($B$2,'Buyer Lookup'!$A:$A,0),8)),0)+IFERROR(INDIRECT("'Final Calculation Sheet'!$AC"&amp;INDEX('Buyer Lookup'!$A:$AZ,MATCH($B$2,'Buyer Lookup'!$A:$A,0),9)),0)+IFERROR(INDIRECT("'Final Calculation Sheet'!$AC"&amp;INDEX('Buyer Lookup'!$A:$AZ,MATCH($B$2,'Buyer Lookup'!$A:$A,0),10)),0)+IFERROR(INDIRECT("'Final Calculation Sheet'!$AC"&amp;INDEX('Buyer Lookup'!$A:$AZ,MATCH($B$2,'Buyer Lookup'!$A:$A,0),11)),0)+IFERROR(INDIRECT("'Final Calculation Sheet'!$AC"&amp;INDEX('Buyer Lookup'!$A:$AZ,MATCH($B$2,'Buyer Lookup'!$A:$A,0),12)),0)+IFERROR(INDIRECT("'Final Calculation Sheet'!$AC"&amp;INDEX('Buyer Lookup'!$A:$AZ,MATCH($B$2,'Buyer Lookup'!$A:$A,0),13)),0)+IFERROR(INDIRECT("'Final Calculation Sheet'!$AC"&amp;INDEX('Buyer Lookup'!$A:$AZ,MATCH($B$2,'Buyer Lookup'!$A:$A,0),14)),0)</f>
        <v>0</v>
      </c>
      <c r="C63" s="20" t="s">
        <v>62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</row>
    <row r="64" customFormat="false" ht="19.5" hidden="false" customHeight="true" outlineLevel="0" collapsed="false">
      <c r="A64" s="10" t="s">
        <v>71</v>
      </c>
      <c r="B64" s="21" t="n">
        <f aca="true">IFERROR(INDIRECT("'Final Calculation Sheet'!$AD"&amp;INDEX('Buyer Lookup'!$A:$AZ,MATCH($B$2,'Buyer Lookup'!$A:$A,0),2)),0)+IFERROR(INDIRECT("'Final Calculation Sheet'!$AD"&amp;INDEX('Buyer Lookup'!$A:$AZ,MATCH($B$2,'Buyer Lookup'!$A:$A,0),3)),0)+IFERROR(INDIRECT("'Final Calculation Sheet'!$AD"&amp;INDEX('Buyer Lookup'!$A:$AZ,MATCH($B$2,'Buyer Lookup'!$A:$A,0),4)),0)+IFERROR(INDIRECT("'Final Calculation Sheet'!$AD"&amp;INDEX('Buyer Lookup'!$A:$AZ,MATCH($B$2,'Buyer Lookup'!$A:$A,0),5)),0)+IFERROR(INDIRECT("'Final Calculation Sheet'!$AD"&amp;INDEX('Buyer Lookup'!$A:$AZ,MATCH($B$2,'Buyer Lookup'!$A:$A,0),6)),0)+IFERROR(INDIRECT("'Final Calculation Sheet'!$AD"&amp;INDEX('Buyer Lookup'!$A:$AZ,MATCH($B$2,'Buyer Lookup'!$A:$A,0),7)),0)+IFERROR(INDIRECT("'Final Calculation Sheet'!$AD"&amp;INDEX('Buyer Lookup'!$A:$AZ,MATCH($B$2,'Buyer Lookup'!$A:$A,0),8)),0)+IFERROR(INDIRECT("'Final Calculation Sheet'!$AD"&amp;INDEX('Buyer Lookup'!$A:$AZ,MATCH($B$2,'Buyer Lookup'!$A:$A,0),9)),0)+IFERROR(INDIRECT("'Final Calculation Sheet'!$AD"&amp;INDEX('Buyer Lookup'!$A:$AZ,MATCH($B$2,'Buyer Lookup'!$A:$A,0),10)),0)+IFERROR(INDIRECT("'Final Calculation Sheet'!$AD"&amp;INDEX('Buyer Lookup'!$A:$AZ,MATCH($B$2,'Buyer Lookup'!$A:$A,0),11)),0)+IFERROR(INDIRECT("'Final Calculation Sheet'!$AD"&amp;INDEX('Buyer Lookup'!$A:$AZ,MATCH($B$2,'Buyer Lookup'!$A:$A,0),12)),0)+IFERROR(INDIRECT("'Final Calculation Sheet'!$AD"&amp;INDEX('Buyer Lookup'!$A:$AZ,MATCH($B$2,'Buyer Lookup'!$A:$A,0),13)),0)+IFERROR(INDIRECT("'Final Calculation Sheet'!$AD"&amp;INDEX('Buyer Lookup'!$A:$AZ,MATCH($B$2,'Buyer Lookup'!$A:$A,0),14)),0)</f>
        <v>0</v>
      </c>
      <c r="C64" s="20" t="s">
        <v>62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</row>
  </sheetData>
  <mergeCells count="23">
    <mergeCell ref="A1:F1"/>
    <mergeCell ref="B3:F3"/>
    <mergeCell ref="A5:N5"/>
    <mergeCell ref="A13:N13"/>
    <mergeCell ref="A27:N27"/>
    <mergeCell ref="A32:N32"/>
    <mergeCell ref="A37:N37"/>
    <mergeCell ref="A42:N42"/>
    <mergeCell ref="A46:N46"/>
    <mergeCell ref="A51:N51"/>
    <mergeCell ref="C52:N52"/>
    <mergeCell ref="C53:N53"/>
    <mergeCell ref="C54:N54"/>
    <mergeCell ref="C55:N55"/>
    <mergeCell ref="C56:N56"/>
    <mergeCell ref="C57:N57"/>
    <mergeCell ref="C58:N58"/>
    <mergeCell ref="C59:N59"/>
    <mergeCell ref="C60:N60"/>
    <mergeCell ref="C61:N61"/>
    <mergeCell ref="C62:N62"/>
    <mergeCell ref="C63:N63"/>
    <mergeCell ref="C64:N64"/>
  </mergeCells>
  <dataValidations count="1">
    <dataValidation allowBlank="true" error="Please select a buyer from the dropdown list." errorStyle="stop" errorTitle="Invalid Buyer" operator="between" showDropDown="false" showErrorMessage="true" showInputMessage="false" sqref="B2" type="list">
      <formula1>'Buyer Lookup'!$A$1:$A$13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O5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28"/>
    <col collapsed="false" customWidth="true" hidden="false" outlineLevel="0" max="14" min="2" style="1" width="17"/>
    <col collapsed="false" customWidth="true" hidden="false" outlineLevel="0" max="15" min="15" style="1" width="18"/>
  </cols>
  <sheetData>
    <row r="1" customFormat="false" ht="36" hidden="false" customHeight="true" outlineLevel="0" collapsed="false">
      <c r="A1" s="22" t="s">
        <v>72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customFormat="false" ht="19.5" hidden="false" customHeight="true" outlineLevel="0" collapsed="false">
      <c r="A2" s="23" t="s">
        <v>73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customFormat="false" ht="24" hidden="false" customHeight="true" outlineLevel="0" collapsed="false">
      <c r="A3" s="9" t="s">
        <v>74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24" t="s">
        <v>75</v>
      </c>
    </row>
    <row r="4" customFormat="false" ht="25.5" hidden="false" customHeight="true" outlineLevel="0" collapsed="false">
      <c r="A4" s="25" t="s">
        <v>76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customFormat="false" ht="18" hidden="false" customHeight="true" outlineLevel="0" collapsed="false">
      <c r="A5" s="26" t="s">
        <v>77</v>
      </c>
      <c r="B5" s="27" t="n">
        <v>1763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9" t="s">
        <v>78</v>
      </c>
    </row>
    <row r="6" customFormat="false" ht="18" hidden="false" customHeight="true" outlineLevel="0" collapsed="false">
      <c r="A6" s="30" t="s">
        <v>79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customFormat="false" ht="16.5" hidden="false" customHeight="true" outlineLevel="1" collapsed="false">
      <c r="A7" s="32" t="s">
        <v>80</v>
      </c>
      <c r="B7" s="33" t="n">
        <v>1763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5"/>
    </row>
    <row r="8" customFormat="false" ht="16.5" hidden="false" customHeight="true" outlineLevel="1" collapsed="false">
      <c r="A8" s="32" t="s">
        <v>81</v>
      </c>
      <c r="B8" s="36" t="s">
        <v>82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5"/>
    </row>
    <row r="9" customFormat="false" ht="16.5" hidden="false" customHeight="true" outlineLevel="1" collapsed="false">
      <c r="A9" s="32" t="s">
        <v>83</v>
      </c>
      <c r="B9" s="33" t="n">
        <v>21980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5"/>
    </row>
    <row r="10" customFormat="false" ht="16.5" hidden="false" customHeight="true" outlineLevel="1" collapsed="false">
      <c r="A10" s="32" t="s">
        <v>84</v>
      </c>
      <c r="B10" s="37" t="n">
        <v>669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5"/>
    </row>
    <row r="11" customFormat="false" ht="16.5" hidden="false" customHeight="true" outlineLevel="1" collapsed="false">
      <c r="A11" s="32" t="s">
        <v>85</v>
      </c>
      <c r="B11" s="38" t="s">
        <v>86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5"/>
    </row>
    <row r="12" customFormat="false" ht="16.5" hidden="false" customHeight="true" outlineLevel="1" collapsed="false">
      <c r="A12" s="32" t="s">
        <v>87</v>
      </c>
      <c r="B12" s="39" t="n">
        <v>1181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5"/>
    </row>
    <row r="13" customFormat="false" ht="18" hidden="false" customHeight="true" outlineLevel="0" collapsed="false">
      <c r="A13" s="30" t="s">
        <v>88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</row>
    <row r="14" customFormat="false" ht="16.5" hidden="false" customHeight="true" outlineLevel="1" collapsed="false">
      <c r="A14" s="32" t="s">
        <v>89</v>
      </c>
      <c r="B14" s="39" t="n">
        <v>790089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40" t="n">
        <f aca="false">B14</f>
        <v>790089</v>
      </c>
    </row>
    <row r="15" customFormat="false" ht="16.5" hidden="false" customHeight="true" outlineLevel="1" collapsed="false">
      <c r="A15" s="32" t="s">
        <v>90</v>
      </c>
      <c r="B15" s="41" t="n">
        <v>142216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40" t="n">
        <f aca="false">B15</f>
        <v>142216</v>
      </c>
    </row>
    <row r="16" customFormat="false" ht="16.5" hidden="false" customHeight="true" outlineLevel="1" collapsed="false">
      <c r="A16" s="32" t="s">
        <v>91</v>
      </c>
      <c r="B16" s="39" t="n">
        <v>932305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40" t="n">
        <f aca="false">B16</f>
        <v>932305</v>
      </c>
    </row>
    <row r="17" customFormat="false" ht="16.5" hidden="false" customHeight="true" outlineLevel="1" collapsed="false">
      <c r="A17" s="32" t="s">
        <v>92</v>
      </c>
      <c r="B17" s="41" t="n">
        <v>18646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40" t="n">
        <f aca="false">B17</f>
        <v>18646</v>
      </c>
    </row>
    <row r="18" customFormat="false" ht="16.5" hidden="false" customHeight="true" outlineLevel="1" collapsed="false">
      <c r="A18" s="32" t="s">
        <v>93</v>
      </c>
      <c r="B18" s="39" t="n">
        <v>790.089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40" t="n">
        <f aca="false">B18</f>
        <v>790.089</v>
      </c>
    </row>
    <row r="19" customFormat="false" ht="16.5" hidden="false" customHeight="true" outlineLevel="1" collapsed="false">
      <c r="A19" s="32" t="s">
        <v>94</v>
      </c>
      <c r="B19" s="41" t="n">
        <v>20976.86295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40" t="n">
        <f aca="false">B19</f>
        <v>20976.86295</v>
      </c>
    </row>
    <row r="20" customFormat="false" ht="16.5" hidden="false" customHeight="true" outlineLevel="1" collapsed="false">
      <c r="A20" s="32" t="s">
        <v>95</v>
      </c>
      <c r="B20" s="39" t="n">
        <v>355.54005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40" t="n">
        <f aca="false">B20</f>
        <v>355.54005</v>
      </c>
    </row>
    <row r="21" customFormat="false" ht="16.5" hidden="false" customHeight="true" outlineLevel="1" collapsed="false">
      <c r="A21" s="32" t="s">
        <v>96</v>
      </c>
      <c r="B21" s="41" t="n">
        <v>20621.3229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40" t="n">
        <f aca="false">B21</f>
        <v>20621.3229</v>
      </c>
    </row>
    <row r="22" customFormat="false" ht="16.5" hidden="false" customHeight="true" outlineLevel="1" collapsed="false">
      <c r="A22" s="32" t="s">
        <v>97</v>
      </c>
      <c r="B22" s="39" t="n">
        <v>21411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40" t="n">
        <f aca="false">B22</f>
        <v>21411</v>
      </c>
    </row>
    <row r="23" customFormat="false" ht="16.5" hidden="false" customHeight="true" outlineLevel="1" collapsed="false">
      <c r="A23" s="32" t="s">
        <v>98</v>
      </c>
      <c r="B23" s="42" t="n">
        <v>0.02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5"/>
    </row>
    <row r="24" customFormat="false" ht="16.5" hidden="false" customHeight="true" outlineLevel="1" collapsed="false">
      <c r="A24" s="32" t="s">
        <v>99</v>
      </c>
      <c r="B24" s="39" t="n">
        <v>15802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40" t="n">
        <f aca="false">B24</f>
        <v>15802</v>
      </c>
    </row>
    <row r="25" customFormat="false" ht="16.5" hidden="false" customHeight="true" outlineLevel="1" collapsed="false">
      <c r="A25" s="32" t="s">
        <v>100</v>
      </c>
      <c r="B25" s="41" t="n">
        <v>913738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40" t="n">
        <f aca="false">B25</f>
        <v>913738</v>
      </c>
    </row>
    <row r="26" customFormat="false" ht="18" hidden="false" customHeight="true" outlineLevel="0" collapsed="false">
      <c r="A26" s="30" t="s">
        <v>101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</row>
    <row r="27" customFormat="false" ht="16.5" hidden="false" customHeight="true" outlineLevel="1" collapsed="false">
      <c r="A27" s="32" t="s">
        <v>102</v>
      </c>
      <c r="B27" s="41" t="n">
        <v>197522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40" t="n">
        <f aca="false">B27</f>
        <v>197522</v>
      </c>
    </row>
    <row r="28" customFormat="false" ht="16.5" hidden="false" customHeight="true" outlineLevel="1" collapsed="false">
      <c r="A28" s="32" t="s">
        <v>103</v>
      </c>
      <c r="B28" s="39" t="n">
        <v>197522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40" t="n">
        <f aca="false">B28</f>
        <v>197522</v>
      </c>
    </row>
    <row r="29" customFormat="false" ht="16.5" hidden="false" customHeight="true" outlineLevel="1" collapsed="false">
      <c r="A29" s="32" t="s">
        <v>104</v>
      </c>
      <c r="B29" s="38" t="s">
        <v>105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5"/>
    </row>
    <row r="30" customFormat="false" ht="18" hidden="false" customHeight="true" outlineLevel="0" collapsed="false">
      <c r="A30" s="30" t="s">
        <v>106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</row>
    <row r="31" customFormat="false" ht="16.5" hidden="false" customHeight="true" outlineLevel="1" collapsed="false">
      <c r="A31" s="32" t="s">
        <v>107</v>
      </c>
      <c r="B31" s="41" t="n">
        <v>716215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40" t="n">
        <f aca="false">B31</f>
        <v>716215</v>
      </c>
    </row>
    <row r="32" customFormat="false" ht="16.5" hidden="false" customHeight="true" outlineLevel="1" collapsed="false">
      <c r="A32" s="32" t="s">
        <v>108</v>
      </c>
      <c r="B32" s="39" t="n">
        <v>716216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40" t="n">
        <f aca="false">B32</f>
        <v>716216</v>
      </c>
    </row>
    <row r="33" customFormat="false" ht="16.5" hidden="false" customHeight="true" outlineLevel="1" collapsed="false">
      <c r="A33" s="32" t="s">
        <v>109</v>
      </c>
      <c r="B33" s="38" t="s">
        <v>110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5"/>
    </row>
    <row r="34" customFormat="false" ht="18" hidden="false" customHeight="true" outlineLevel="0" collapsed="false">
      <c r="A34" s="30" t="s">
        <v>111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</row>
    <row r="35" customFormat="false" ht="16.5" hidden="false" customHeight="true" outlineLevel="1" collapsed="false">
      <c r="A35" s="32" t="s">
        <v>112</v>
      </c>
      <c r="B35" s="41" t="n">
        <v>0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40" t="n">
        <f aca="false">B35</f>
        <v>0</v>
      </c>
    </row>
    <row r="36" customFormat="false" ht="16.5" hidden="false" customHeight="true" outlineLevel="1" collapsed="false">
      <c r="A36" s="32" t="s">
        <v>113</v>
      </c>
      <c r="B36" s="39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40" t="n">
        <f aca="false">B36</f>
        <v>0</v>
      </c>
    </row>
    <row r="37" customFormat="false" ht="16.5" hidden="false" customHeight="true" outlineLevel="1" collapsed="false">
      <c r="A37" s="32" t="s">
        <v>114</v>
      </c>
      <c r="B37" s="38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5"/>
    </row>
    <row r="38" customFormat="false" ht="18" hidden="false" customHeight="true" outlineLevel="0" collapsed="false">
      <c r="A38" s="30" t="s">
        <v>115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</row>
    <row r="39" customFormat="false" ht="16.5" hidden="false" customHeight="true" outlineLevel="1" collapsed="false">
      <c r="A39" s="32" t="s">
        <v>116</v>
      </c>
      <c r="B39" s="41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40" t="n">
        <f aca="false">B39</f>
        <v>0</v>
      </c>
    </row>
    <row r="40" customFormat="false" ht="16.5" hidden="false" customHeight="true" outlineLevel="1" collapsed="false">
      <c r="A40" s="32" t="s">
        <v>117</v>
      </c>
      <c r="B40" s="39" t="n">
        <v>0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40" t="n">
        <f aca="false">B40</f>
        <v>0</v>
      </c>
    </row>
    <row r="41" customFormat="false" ht="18" hidden="false" customHeight="true" outlineLevel="0" collapsed="false">
      <c r="A41" s="30" t="s">
        <v>118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</row>
    <row r="42" customFormat="false" ht="16.5" hidden="false" customHeight="true" outlineLevel="1" collapsed="false">
      <c r="A42" s="32" t="s">
        <v>119</v>
      </c>
      <c r="B42" s="36" t="s">
        <v>120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5"/>
    </row>
    <row r="43" customFormat="false" ht="16.5" hidden="false" customHeight="true" outlineLevel="1" collapsed="false">
      <c r="A43" s="32" t="s">
        <v>121</v>
      </c>
      <c r="B43" s="38" t="n">
        <v>1800003271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5"/>
    </row>
    <row r="44" customFormat="false" ht="16.5" hidden="false" customHeight="true" outlineLevel="1" collapsed="false">
      <c r="A44" s="32" t="s">
        <v>122</v>
      </c>
      <c r="B44" s="36" t="s">
        <v>105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5"/>
    </row>
    <row r="45" customFormat="false" ht="19.5" hidden="false" customHeight="true" outlineLevel="0" collapsed="false">
      <c r="A45" s="43" t="s">
        <v>123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5" t="n">
        <v>790089</v>
      </c>
    </row>
    <row r="46" customFormat="false" ht="6" hidden="false" customHeight="true" outlineLevel="0" collapsed="false"/>
    <row r="47" customFormat="false" ht="25.5" hidden="false" customHeight="true" outlineLevel="0" collapsed="false">
      <c r="A47" s="25" t="s">
        <v>124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customFormat="false" ht="18" hidden="false" customHeight="true" outlineLevel="0" collapsed="false">
      <c r="A48" s="26" t="s">
        <v>77</v>
      </c>
      <c r="B48" s="27" t="n">
        <v>1875</v>
      </c>
      <c r="C48" s="27" t="n">
        <v>1876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9" t="s">
        <v>78</v>
      </c>
    </row>
    <row r="49" customFormat="false" ht="18" hidden="false" customHeight="true" outlineLevel="0" collapsed="false">
      <c r="A49" s="30" t="s">
        <v>79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</row>
    <row r="50" customFormat="false" ht="16.5" hidden="false" customHeight="true" outlineLevel="1" collapsed="false">
      <c r="A50" s="32" t="s">
        <v>80</v>
      </c>
      <c r="B50" s="37" t="n">
        <v>1875</v>
      </c>
      <c r="C50" s="37" t="n">
        <v>1876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5"/>
    </row>
    <row r="51" customFormat="false" ht="16.5" hidden="false" customHeight="true" outlineLevel="1" collapsed="false">
      <c r="A51" s="32" t="s">
        <v>81</v>
      </c>
      <c r="B51" s="38" t="s">
        <v>125</v>
      </c>
      <c r="C51" s="38" t="s">
        <v>126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5"/>
    </row>
    <row r="52" customFormat="false" ht="16.5" hidden="false" customHeight="true" outlineLevel="1" collapsed="false">
      <c r="A52" s="32" t="s">
        <v>83</v>
      </c>
      <c r="B52" s="37" t="n">
        <v>21977</v>
      </c>
      <c r="C52" s="37" t="n">
        <v>21977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5"/>
    </row>
    <row r="53" customFormat="false" ht="16.5" hidden="false" customHeight="true" outlineLevel="1" collapsed="false">
      <c r="A53" s="32" t="s">
        <v>84</v>
      </c>
      <c r="B53" s="33" t="n">
        <v>28</v>
      </c>
      <c r="C53" s="33" t="n">
        <v>3000</v>
      </c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5"/>
    </row>
    <row r="54" customFormat="false" ht="16.5" hidden="false" customHeight="true" outlineLevel="1" collapsed="false">
      <c r="A54" s="32" t="s">
        <v>85</v>
      </c>
      <c r="B54" s="36" t="s">
        <v>86</v>
      </c>
      <c r="C54" s="36" t="s">
        <v>86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5"/>
    </row>
    <row r="55" customFormat="false" ht="16.5" hidden="false" customHeight="true" outlineLevel="1" collapsed="false">
      <c r="A55" s="32" t="s">
        <v>87</v>
      </c>
      <c r="B55" s="41" t="n">
        <v>1456</v>
      </c>
      <c r="C55" s="41" t="n">
        <v>66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5"/>
    </row>
    <row r="56" customFormat="false" ht="18" hidden="false" customHeight="true" outlineLevel="0" collapsed="false">
      <c r="A56" s="30" t="s">
        <v>88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</row>
    <row r="57" customFormat="false" ht="16.5" hidden="false" customHeight="true" outlineLevel="1" collapsed="false">
      <c r="A57" s="32" t="s">
        <v>89</v>
      </c>
      <c r="B57" s="41" t="n">
        <v>40768</v>
      </c>
      <c r="C57" s="41" t="n">
        <v>198000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40" t="n">
        <f aca="false">B57+C57</f>
        <v>238768</v>
      </c>
    </row>
    <row r="58" customFormat="false" ht="16.5" hidden="false" customHeight="true" outlineLevel="1" collapsed="false">
      <c r="A58" s="32" t="s">
        <v>90</v>
      </c>
      <c r="B58" s="39" t="n">
        <v>7338</v>
      </c>
      <c r="C58" s="39" t="n">
        <v>35640</v>
      </c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40" t="n">
        <f aca="false">B58+C58</f>
        <v>42978</v>
      </c>
    </row>
    <row r="59" customFormat="false" ht="16.5" hidden="false" customHeight="true" outlineLevel="1" collapsed="false">
      <c r="A59" s="32" t="s">
        <v>91</v>
      </c>
      <c r="B59" s="41" t="n">
        <v>48106</v>
      </c>
      <c r="C59" s="41" t="n">
        <v>233640</v>
      </c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40" t="n">
        <f aca="false">B59+C59</f>
        <v>281746</v>
      </c>
    </row>
    <row r="60" customFormat="false" ht="16.5" hidden="false" customHeight="true" outlineLevel="1" collapsed="false">
      <c r="A60" s="32" t="s">
        <v>92</v>
      </c>
      <c r="B60" s="39" t="n">
        <v>962</v>
      </c>
      <c r="C60" s="39" t="n">
        <v>4673</v>
      </c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40" t="n">
        <f aca="false">B60+C60</f>
        <v>5635</v>
      </c>
    </row>
    <row r="61" customFormat="false" ht="16.5" hidden="false" customHeight="true" outlineLevel="1" collapsed="false">
      <c r="A61" s="32" t="s">
        <v>93</v>
      </c>
      <c r="B61" s="41" t="n">
        <v>40.768</v>
      </c>
      <c r="C61" s="41" t="n">
        <v>198</v>
      </c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40" t="n">
        <f aca="false">B61+C61</f>
        <v>238.768</v>
      </c>
    </row>
    <row r="62" customFormat="false" ht="16.5" hidden="false" customHeight="true" outlineLevel="1" collapsed="false">
      <c r="A62" s="32" t="s">
        <v>94</v>
      </c>
      <c r="B62" s="39" t="n">
        <v>1082.3904</v>
      </c>
      <c r="C62" s="39" t="n">
        <v>5256.9</v>
      </c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40" t="n">
        <f aca="false">B62+C62</f>
        <v>6339.2904</v>
      </c>
    </row>
    <row r="63" customFormat="false" ht="16.5" hidden="false" customHeight="true" outlineLevel="1" collapsed="false">
      <c r="A63" s="32" t="s">
        <v>95</v>
      </c>
      <c r="B63" s="41" t="n">
        <v>18.3456</v>
      </c>
      <c r="C63" s="41" t="n">
        <v>89.1</v>
      </c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40" t="n">
        <f aca="false">B63+C63</f>
        <v>107.4456</v>
      </c>
    </row>
    <row r="64" customFormat="false" ht="16.5" hidden="false" customHeight="true" outlineLevel="1" collapsed="false">
      <c r="A64" s="32" t="s">
        <v>96</v>
      </c>
      <c r="B64" s="39" t="n">
        <v>1064.0448</v>
      </c>
      <c r="C64" s="39" t="n">
        <v>5167.8</v>
      </c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40" t="n">
        <f aca="false">B64+C64</f>
        <v>6231.8448</v>
      </c>
    </row>
    <row r="65" customFormat="false" ht="16.5" hidden="false" customHeight="true" outlineLevel="1" collapsed="false">
      <c r="A65" s="32" t="s">
        <v>97</v>
      </c>
      <c r="B65" s="41" t="n">
        <v>1105</v>
      </c>
      <c r="C65" s="41" t="n">
        <v>5366</v>
      </c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40" t="n">
        <f aca="false">B65+C65</f>
        <v>6471</v>
      </c>
    </row>
    <row r="66" customFormat="false" ht="16.5" hidden="false" customHeight="true" outlineLevel="1" collapsed="false">
      <c r="A66" s="32" t="s">
        <v>98</v>
      </c>
      <c r="B66" s="46" t="n">
        <v>0</v>
      </c>
      <c r="C66" s="46" t="n">
        <v>0</v>
      </c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5"/>
    </row>
    <row r="67" customFormat="false" ht="16.5" hidden="false" customHeight="true" outlineLevel="1" collapsed="false">
      <c r="A67" s="32" t="s">
        <v>99</v>
      </c>
      <c r="B67" s="41" t="n">
        <v>0</v>
      </c>
      <c r="C67" s="41" t="n">
        <v>0</v>
      </c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40" t="n">
        <f aca="false">B67+C67</f>
        <v>0</v>
      </c>
    </row>
    <row r="68" customFormat="false" ht="16.5" hidden="false" customHeight="true" outlineLevel="1" collapsed="false">
      <c r="A68" s="32" t="s">
        <v>100</v>
      </c>
      <c r="B68" s="39" t="n">
        <v>47964</v>
      </c>
      <c r="C68" s="39" t="n">
        <v>232947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40" t="n">
        <f aca="false">B68+C68</f>
        <v>280911</v>
      </c>
    </row>
    <row r="69" customFormat="false" ht="18" hidden="false" customHeight="true" outlineLevel="0" collapsed="false">
      <c r="A69" s="30" t="s">
        <v>101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</row>
    <row r="70" customFormat="false" ht="16.5" hidden="false" customHeight="true" outlineLevel="1" collapsed="false">
      <c r="A70" s="32" t="s">
        <v>102</v>
      </c>
      <c r="B70" s="39" t="n">
        <v>10192</v>
      </c>
      <c r="C70" s="39" t="n">
        <v>49500</v>
      </c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40" t="n">
        <f aca="false">B70+C70</f>
        <v>59692</v>
      </c>
    </row>
    <row r="71" customFormat="false" ht="16.5" hidden="false" customHeight="true" outlineLevel="1" collapsed="false">
      <c r="A71" s="32" t="s">
        <v>103</v>
      </c>
      <c r="B71" s="41" t="n">
        <v>10192</v>
      </c>
      <c r="C71" s="41" t="n">
        <v>49500</v>
      </c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40" t="n">
        <f aca="false">B71+C71</f>
        <v>59692</v>
      </c>
    </row>
    <row r="72" customFormat="false" ht="16.5" hidden="false" customHeight="true" outlineLevel="1" collapsed="false">
      <c r="A72" s="32" t="s">
        <v>104</v>
      </c>
      <c r="B72" s="36" t="s">
        <v>127</v>
      </c>
      <c r="C72" s="36" t="s">
        <v>127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5"/>
    </row>
    <row r="73" customFormat="false" ht="18" hidden="false" customHeight="true" outlineLevel="0" collapsed="false">
      <c r="A73" s="30" t="s">
        <v>106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</row>
    <row r="74" customFormat="false" ht="16.5" hidden="false" customHeight="true" outlineLevel="1" collapsed="false">
      <c r="A74" s="32" t="s">
        <v>107</v>
      </c>
      <c r="B74" s="39" t="n">
        <v>37772</v>
      </c>
      <c r="C74" s="39" t="n">
        <v>183447</v>
      </c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40" t="n">
        <f aca="false">B74+C74</f>
        <v>221219</v>
      </c>
    </row>
    <row r="75" customFormat="false" ht="16.5" hidden="false" customHeight="true" outlineLevel="1" collapsed="false">
      <c r="A75" s="32" t="s">
        <v>108</v>
      </c>
      <c r="B75" s="41" t="n">
        <v>37772</v>
      </c>
      <c r="C75" s="41" t="n">
        <v>183446</v>
      </c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40" t="n">
        <f aca="false">B75+C75</f>
        <v>221218</v>
      </c>
    </row>
    <row r="76" customFormat="false" ht="16.5" hidden="false" customHeight="true" outlineLevel="1" collapsed="false">
      <c r="A76" s="32" t="s">
        <v>109</v>
      </c>
      <c r="B76" s="36" t="s">
        <v>128</v>
      </c>
      <c r="C76" s="36" t="s">
        <v>128</v>
      </c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5"/>
    </row>
    <row r="77" customFormat="false" ht="18" hidden="false" customHeight="true" outlineLevel="0" collapsed="false">
      <c r="A77" s="30" t="s">
        <v>111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</row>
    <row r="78" customFormat="false" ht="16.5" hidden="false" customHeight="true" outlineLevel="1" collapsed="false">
      <c r="A78" s="32" t="s">
        <v>112</v>
      </c>
      <c r="B78" s="39" t="n">
        <v>0</v>
      </c>
      <c r="C78" s="39" t="n">
        <v>0</v>
      </c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40" t="n">
        <f aca="false">B78+C78</f>
        <v>0</v>
      </c>
    </row>
    <row r="79" customFormat="false" ht="16.5" hidden="false" customHeight="true" outlineLevel="1" collapsed="false">
      <c r="A79" s="32" t="s">
        <v>113</v>
      </c>
      <c r="B79" s="41"/>
      <c r="C79" s="41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40" t="n">
        <f aca="false">B79+C79</f>
        <v>0</v>
      </c>
    </row>
    <row r="80" customFormat="false" ht="16.5" hidden="false" customHeight="true" outlineLevel="1" collapsed="false">
      <c r="A80" s="32" t="s">
        <v>114</v>
      </c>
      <c r="B80" s="36"/>
      <c r="C80" s="36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5"/>
    </row>
    <row r="81" customFormat="false" ht="18" hidden="false" customHeight="true" outlineLevel="0" collapsed="false">
      <c r="A81" s="30" t="s">
        <v>115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</row>
    <row r="82" customFormat="false" ht="16.5" hidden="false" customHeight="true" outlineLevel="1" collapsed="false">
      <c r="A82" s="32" t="s">
        <v>116</v>
      </c>
      <c r="B82" s="39"/>
      <c r="C82" s="39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40" t="n">
        <f aca="false">B82+C82</f>
        <v>0</v>
      </c>
    </row>
    <row r="83" customFormat="false" ht="16.5" hidden="false" customHeight="true" outlineLevel="1" collapsed="false">
      <c r="A83" s="32" t="s">
        <v>117</v>
      </c>
      <c r="B83" s="41" t="n">
        <v>0</v>
      </c>
      <c r="C83" s="41" t="n">
        <v>1</v>
      </c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40" t="n">
        <f aca="false">B83+C83</f>
        <v>1</v>
      </c>
    </row>
    <row r="84" customFormat="false" ht="18" hidden="false" customHeight="true" outlineLevel="0" collapsed="false">
      <c r="A84" s="30" t="s">
        <v>118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</row>
    <row r="85" customFormat="false" ht="16.5" hidden="false" customHeight="true" outlineLevel="1" collapsed="false">
      <c r="A85" s="32" t="s">
        <v>119</v>
      </c>
      <c r="B85" s="38" t="s">
        <v>129</v>
      </c>
      <c r="C85" s="38" t="s">
        <v>130</v>
      </c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5"/>
    </row>
    <row r="86" customFormat="false" ht="16.5" hidden="false" customHeight="true" outlineLevel="1" collapsed="false">
      <c r="A86" s="32" t="s">
        <v>121</v>
      </c>
      <c r="B86" s="36" t="n">
        <v>1800003346</v>
      </c>
      <c r="C86" s="36" t="n">
        <v>1800003347</v>
      </c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5"/>
    </row>
    <row r="87" customFormat="false" ht="16.5" hidden="false" customHeight="true" outlineLevel="1" collapsed="false">
      <c r="A87" s="32" t="s">
        <v>122</v>
      </c>
      <c r="B87" s="38" t="s">
        <v>131</v>
      </c>
      <c r="C87" s="38" t="s">
        <v>131</v>
      </c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5"/>
    </row>
    <row r="88" customFormat="false" ht="19.5" hidden="false" customHeight="true" outlineLevel="0" collapsed="false">
      <c r="A88" s="43" t="s">
        <v>132</v>
      </c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5" t="n">
        <v>238768</v>
      </c>
    </row>
    <row r="89" customFormat="false" ht="6" hidden="false" customHeight="true" outlineLevel="0" collapsed="false"/>
    <row r="90" customFormat="false" ht="25.5" hidden="false" customHeight="true" outlineLevel="0" collapsed="false">
      <c r="A90" s="25" t="s">
        <v>133</v>
      </c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customFormat="false" ht="18" hidden="false" customHeight="true" outlineLevel="0" collapsed="false">
      <c r="A91" s="26" t="s">
        <v>77</v>
      </c>
      <c r="B91" s="27" t="n">
        <v>2008</v>
      </c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9" t="s">
        <v>78</v>
      </c>
    </row>
    <row r="92" customFormat="false" ht="18" hidden="false" customHeight="true" outlineLevel="0" collapsed="false">
      <c r="A92" s="30" t="s">
        <v>79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</row>
    <row r="93" customFormat="false" ht="16.5" hidden="false" customHeight="true" outlineLevel="1" collapsed="false">
      <c r="A93" s="32" t="s">
        <v>80</v>
      </c>
      <c r="B93" s="33" t="n">
        <v>2008</v>
      </c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5"/>
    </row>
    <row r="94" customFormat="false" ht="16.5" hidden="false" customHeight="true" outlineLevel="1" collapsed="false">
      <c r="A94" s="32" t="s">
        <v>81</v>
      </c>
      <c r="B94" s="36" t="s">
        <v>134</v>
      </c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5"/>
    </row>
    <row r="95" customFormat="false" ht="16.5" hidden="false" customHeight="true" outlineLevel="1" collapsed="false">
      <c r="A95" s="32" t="s">
        <v>83</v>
      </c>
      <c r="B95" s="33" t="n">
        <v>21977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5"/>
    </row>
    <row r="96" customFormat="false" ht="16.5" hidden="false" customHeight="true" outlineLevel="1" collapsed="false">
      <c r="A96" s="32" t="s">
        <v>84</v>
      </c>
      <c r="B96" s="37" t="n">
        <v>250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5"/>
    </row>
    <row r="97" customFormat="false" ht="16.5" hidden="false" customHeight="true" outlineLevel="1" collapsed="false">
      <c r="A97" s="32" t="s">
        <v>85</v>
      </c>
      <c r="B97" s="38" t="s">
        <v>135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5"/>
    </row>
    <row r="98" customFormat="false" ht="16.5" hidden="false" customHeight="true" outlineLevel="1" collapsed="false">
      <c r="A98" s="32" t="s">
        <v>87</v>
      </c>
      <c r="B98" s="39" t="n">
        <v>543</v>
      </c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5"/>
    </row>
    <row r="99" customFormat="false" ht="18" hidden="false" customHeight="true" outlineLevel="0" collapsed="false">
      <c r="A99" s="30" t="s">
        <v>88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</row>
    <row r="100" customFormat="false" ht="16.5" hidden="false" customHeight="true" outlineLevel="1" collapsed="false">
      <c r="A100" s="32" t="s">
        <v>89</v>
      </c>
      <c r="B100" s="39" t="n">
        <v>135750</v>
      </c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40" t="n">
        <f aca="false">B100</f>
        <v>135750</v>
      </c>
    </row>
    <row r="101" customFormat="false" ht="16.5" hidden="false" customHeight="true" outlineLevel="1" collapsed="false">
      <c r="A101" s="32" t="s">
        <v>90</v>
      </c>
      <c r="B101" s="41" t="n">
        <v>24435</v>
      </c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40" t="n">
        <f aca="false">B101</f>
        <v>24435</v>
      </c>
    </row>
    <row r="102" customFormat="false" ht="16.5" hidden="false" customHeight="true" outlineLevel="1" collapsed="false">
      <c r="A102" s="32" t="s">
        <v>91</v>
      </c>
      <c r="B102" s="39" t="n">
        <v>160185</v>
      </c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40" t="n">
        <f aca="false">B102</f>
        <v>160185</v>
      </c>
    </row>
    <row r="103" customFormat="false" ht="16.5" hidden="false" customHeight="true" outlineLevel="1" collapsed="false">
      <c r="A103" s="32" t="s">
        <v>92</v>
      </c>
      <c r="B103" s="41" t="n">
        <v>3204</v>
      </c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40" t="n">
        <f aca="false">B103</f>
        <v>3204</v>
      </c>
    </row>
    <row r="104" customFormat="false" ht="16.5" hidden="false" customHeight="true" outlineLevel="1" collapsed="false">
      <c r="A104" s="32" t="s">
        <v>93</v>
      </c>
      <c r="B104" s="39" t="n">
        <v>135.75</v>
      </c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40" t="n">
        <f aca="false">B104</f>
        <v>135.75</v>
      </c>
    </row>
    <row r="105" customFormat="false" ht="16.5" hidden="false" customHeight="true" outlineLevel="1" collapsed="false">
      <c r="A105" s="32" t="s">
        <v>94</v>
      </c>
      <c r="B105" s="41" t="n">
        <v>3604.1625</v>
      </c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40" t="n">
        <f aca="false">B105</f>
        <v>3604.1625</v>
      </c>
    </row>
    <row r="106" customFormat="false" ht="16.5" hidden="false" customHeight="true" outlineLevel="1" collapsed="false">
      <c r="A106" s="32" t="s">
        <v>95</v>
      </c>
      <c r="B106" s="39" t="n">
        <v>61.0875</v>
      </c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40" t="n">
        <f aca="false">B106</f>
        <v>61.0875</v>
      </c>
    </row>
    <row r="107" customFormat="false" ht="16.5" hidden="false" customHeight="true" outlineLevel="1" collapsed="false">
      <c r="A107" s="32" t="s">
        <v>96</v>
      </c>
      <c r="B107" s="41" t="n">
        <v>3543.075</v>
      </c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40" t="n">
        <f aca="false">B107</f>
        <v>3543.075</v>
      </c>
    </row>
    <row r="108" customFormat="false" ht="16.5" hidden="false" customHeight="true" outlineLevel="1" collapsed="false">
      <c r="A108" s="32" t="s">
        <v>97</v>
      </c>
      <c r="B108" s="39" t="n">
        <v>3679</v>
      </c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40" t="n">
        <f aca="false">B108</f>
        <v>3679</v>
      </c>
    </row>
    <row r="109" customFormat="false" ht="16.5" hidden="false" customHeight="true" outlineLevel="1" collapsed="false">
      <c r="A109" s="32" t="s">
        <v>98</v>
      </c>
      <c r="B109" s="42" t="n">
        <v>0</v>
      </c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5"/>
    </row>
    <row r="110" customFormat="false" ht="16.5" hidden="false" customHeight="true" outlineLevel="1" collapsed="false">
      <c r="A110" s="32" t="s">
        <v>99</v>
      </c>
      <c r="B110" s="39" t="n">
        <v>0</v>
      </c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40" t="n">
        <f aca="false">B110</f>
        <v>0</v>
      </c>
    </row>
    <row r="111" customFormat="false" ht="16.5" hidden="false" customHeight="true" outlineLevel="1" collapsed="false">
      <c r="A111" s="32" t="s">
        <v>100</v>
      </c>
      <c r="B111" s="41" t="n">
        <v>159710</v>
      </c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40" t="n">
        <f aca="false">B111</f>
        <v>159710</v>
      </c>
    </row>
    <row r="112" customFormat="false" ht="18" hidden="false" customHeight="true" outlineLevel="0" collapsed="false">
      <c r="A112" s="30" t="s">
        <v>101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</row>
    <row r="113" customFormat="false" ht="16.5" hidden="false" customHeight="true" outlineLevel="1" collapsed="false">
      <c r="A113" s="32" t="s">
        <v>102</v>
      </c>
      <c r="B113" s="41" t="n">
        <v>33938</v>
      </c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40" t="n">
        <f aca="false">B113</f>
        <v>33938</v>
      </c>
    </row>
    <row r="114" customFormat="false" ht="16.5" hidden="false" customHeight="true" outlineLevel="1" collapsed="false">
      <c r="A114" s="32" t="s">
        <v>103</v>
      </c>
      <c r="B114" s="39" t="n">
        <v>33938</v>
      </c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40" t="n">
        <f aca="false">B114</f>
        <v>33938</v>
      </c>
    </row>
    <row r="115" customFormat="false" ht="16.5" hidden="false" customHeight="true" outlineLevel="1" collapsed="false">
      <c r="A115" s="32" t="s">
        <v>104</v>
      </c>
      <c r="B115" s="38" t="s">
        <v>136</v>
      </c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5"/>
    </row>
    <row r="116" customFormat="false" ht="18" hidden="false" customHeight="true" outlineLevel="0" collapsed="false">
      <c r="A116" s="30" t="s">
        <v>106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</row>
    <row r="117" customFormat="false" ht="16.5" hidden="false" customHeight="true" outlineLevel="1" collapsed="false">
      <c r="A117" s="32" t="s">
        <v>107</v>
      </c>
      <c r="B117" s="41" t="n">
        <v>125772</v>
      </c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40" t="n">
        <f aca="false">B117</f>
        <v>125772</v>
      </c>
    </row>
    <row r="118" customFormat="false" ht="16.5" hidden="false" customHeight="true" outlineLevel="1" collapsed="false">
      <c r="A118" s="32" t="s">
        <v>108</v>
      </c>
      <c r="B118" s="39" t="n">
        <v>125772</v>
      </c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40" t="n">
        <f aca="false">B118</f>
        <v>125772</v>
      </c>
    </row>
    <row r="119" customFormat="false" ht="16.5" hidden="false" customHeight="true" outlineLevel="1" collapsed="false">
      <c r="A119" s="32" t="s">
        <v>109</v>
      </c>
      <c r="B119" s="38" t="s">
        <v>110</v>
      </c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5"/>
    </row>
    <row r="120" customFormat="false" ht="18" hidden="false" customHeight="true" outlineLevel="0" collapsed="false">
      <c r="A120" s="30" t="s">
        <v>111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</row>
    <row r="121" customFormat="false" ht="16.5" hidden="false" customHeight="true" outlineLevel="1" collapsed="false">
      <c r="A121" s="32" t="s">
        <v>112</v>
      </c>
      <c r="B121" s="41" t="n">
        <v>0</v>
      </c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40" t="n">
        <f aca="false">B121</f>
        <v>0</v>
      </c>
    </row>
    <row r="122" customFormat="false" ht="16.5" hidden="false" customHeight="true" outlineLevel="1" collapsed="false">
      <c r="A122" s="32" t="s">
        <v>113</v>
      </c>
      <c r="B122" s="39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40" t="n">
        <f aca="false">B122</f>
        <v>0</v>
      </c>
    </row>
    <row r="123" customFormat="false" ht="16.5" hidden="false" customHeight="true" outlineLevel="1" collapsed="false">
      <c r="A123" s="32" t="s">
        <v>114</v>
      </c>
      <c r="B123" s="38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5"/>
    </row>
    <row r="124" customFormat="false" ht="18" hidden="false" customHeight="true" outlineLevel="0" collapsed="false">
      <c r="A124" s="30" t="s">
        <v>115</v>
      </c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</row>
    <row r="125" customFormat="false" ht="16.5" hidden="false" customHeight="true" outlineLevel="1" collapsed="false">
      <c r="A125" s="32" t="s">
        <v>116</v>
      </c>
      <c r="B125" s="41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40" t="n">
        <f aca="false">B125</f>
        <v>0</v>
      </c>
    </row>
    <row r="126" customFormat="false" ht="16.5" hidden="false" customHeight="true" outlineLevel="1" collapsed="false">
      <c r="A126" s="32" t="s">
        <v>117</v>
      </c>
      <c r="B126" s="39" t="n">
        <v>0</v>
      </c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40" t="n">
        <f aca="false">B126</f>
        <v>0</v>
      </c>
    </row>
    <row r="127" customFormat="false" ht="18" hidden="false" customHeight="true" outlineLevel="0" collapsed="false">
      <c r="A127" s="30" t="s">
        <v>118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</row>
    <row r="128" customFormat="false" ht="16.5" hidden="false" customHeight="true" outlineLevel="1" collapsed="false">
      <c r="A128" s="32" t="s">
        <v>119</v>
      </c>
      <c r="B128" s="36" t="s">
        <v>137</v>
      </c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5"/>
    </row>
    <row r="129" customFormat="false" ht="16.5" hidden="false" customHeight="true" outlineLevel="1" collapsed="false">
      <c r="A129" s="32" t="s">
        <v>121</v>
      </c>
      <c r="B129" s="38" t="n">
        <v>1800003247</v>
      </c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5"/>
    </row>
    <row r="130" customFormat="false" ht="16.5" hidden="false" customHeight="true" outlineLevel="1" collapsed="false">
      <c r="A130" s="32" t="s">
        <v>122</v>
      </c>
      <c r="B130" s="36" t="s">
        <v>128</v>
      </c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5"/>
    </row>
    <row r="131" customFormat="false" ht="19.5" hidden="false" customHeight="true" outlineLevel="0" collapsed="false">
      <c r="A131" s="43" t="s">
        <v>138</v>
      </c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5" t="n">
        <v>135750</v>
      </c>
    </row>
    <row r="132" customFormat="false" ht="6" hidden="false" customHeight="true" outlineLevel="0" collapsed="false"/>
    <row r="133" customFormat="false" ht="25.5" hidden="false" customHeight="true" outlineLevel="0" collapsed="false">
      <c r="A133" s="25" t="s">
        <v>139</v>
      </c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</row>
    <row r="134" customFormat="false" ht="18" hidden="false" customHeight="true" outlineLevel="0" collapsed="false">
      <c r="A134" s="26" t="s">
        <v>77</v>
      </c>
      <c r="B134" s="27" t="n">
        <v>2086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9" t="s">
        <v>78</v>
      </c>
    </row>
    <row r="135" customFormat="false" ht="18" hidden="false" customHeight="true" outlineLevel="0" collapsed="false">
      <c r="A135" s="30" t="s">
        <v>79</v>
      </c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</row>
    <row r="136" customFormat="false" ht="16.5" hidden="false" customHeight="true" outlineLevel="1" collapsed="false">
      <c r="A136" s="32" t="s">
        <v>80</v>
      </c>
      <c r="B136" s="37" t="n">
        <v>2086</v>
      </c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5"/>
    </row>
    <row r="137" customFormat="false" ht="16.5" hidden="false" customHeight="true" outlineLevel="1" collapsed="false">
      <c r="A137" s="32" t="s">
        <v>81</v>
      </c>
      <c r="B137" s="38" t="s">
        <v>140</v>
      </c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5"/>
    </row>
    <row r="138" customFormat="false" ht="16.5" hidden="false" customHeight="true" outlineLevel="1" collapsed="false">
      <c r="A138" s="32" t="s">
        <v>83</v>
      </c>
      <c r="B138" s="37" t="n">
        <v>21980</v>
      </c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5"/>
    </row>
    <row r="139" customFormat="false" ht="16.5" hidden="false" customHeight="true" outlineLevel="1" collapsed="false">
      <c r="A139" s="32" t="s">
        <v>84</v>
      </c>
      <c r="B139" s="33" t="n">
        <v>3</v>
      </c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5"/>
    </row>
    <row r="140" customFormat="false" ht="16.5" hidden="false" customHeight="true" outlineLevel="1" collapsed="false">
      <c r="A140" s="32" t="s">
        <v>85</v>
      </c>
      <c r="B140" s="36" t="s">
        <v>135</v>
      </c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5"/>
    </row>
    <row r="141" customFormat="false" ht="16.5" hidden="false" customHeight="true" outlineLevel="1" collapsed="false">
      <c r="A141" s="32" t="s">
        <v>87</v>
      </c>
      <c r="B141" s="41" t="n">
        <v>70001</v>
      </c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5"/>
    </row>
    <row r="142" customFormat="false" ht="18" hidden="false" customHeight="true" outlineLevel="0" collapsed="false">
      <c r="A142" s="30" t="s">
        <v>88</v>
      </c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</row>
    <row r="143" customFormat="false" ht="16.5" hidden="false" customHeight="true" outlineLevel="1" collapsed="false">
      <c r="A143" s="32" t="s">
        <v>89</v>
      </c>
      <c r="B143" s="41" t="n">
        <v>210003</v>
      </c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40" t="n">
        <f aca="false">B143</f>
        <v>210003</v>
      </c>
    </row>
    <row r="144" customFormat="false" ht="16.5" hidden="false" customHeight="true" outlineLevel="1" collapsed="false">
      <c r="A144" s="32" t="s">
        <v>90</v>
      </c>
      <c r="B144" s="39" t="n">
        <v>37801</v>
      </c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40" t="n">
        <f aca="false">B144</f>
        <v>37801</v>
      </c>
    </row>
    <row r="145" customFormat="false" ht="16.5" hidden="false" customHeight="true" outlineLevel="1" collapsed="false">
      <c r="A145" s="32" t="s">
        <v>91</v>
      </c>
      <c r="B145" s="41" t="n">
        <v>247804</v>
      </c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40" t="n">
        <f aca="false">B145</f>
        <v>247804</v>
      </c>
    </row>
    <row r="146" customFormat="false" ht="16.5" hidden="false" customHeight="true" outlineLevel="1" collapsed="false">
      <c r="A146" s="32" t="s">
        <v>92</v>
      </c>
      <c r="B146" s="39" t="n">
        <v>4956</v>
      </c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40" t="n">
        <f aca="false">B146</f>
        <v>4956</v>
      </c>
    </row>
    <row r="147" customFormat="false" ht="16.5" hidden="false" customHeight="true" outlineLevel="1" collapsed="false">
      <c r="A147" s="32" t="s">
        <v>93</v>
      </c>
      <c r="B147" s="41" t="n">
        <v>210.003</v>
      </c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40" t="n">
        <f aca="false">B147</f>
        <v>210.003</v>
      </c>
    </row>
    <row r="148" customFormat="false" ht="16.5" hidden="false" customHeight="true" outlineLevel="1" collapsed="false">
      <c r="A148" s="32" t="s">
        <v>94</v>
      </c>
      <c r="B148" s="39" t="n">
        <v>5575.57965</v>
      </c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40" t="n">
        <f aca="false">B148</f>
        <v>5575.57965</v>
      </c>
    </row>
    <row r="149" customFormat="false" ht="16.5" hidden="false" customHeight="true" outlineLevel="1" collapsed="false">
      <c r="A149" s="32" t="s">
        <v>95</v>
      </c>
      <c r="B149" s="41" t="n">
        <v>94.50135</v>
      </c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40" t="n">
        <f aca="false">B149</f>
        <v>94.50135</v>
      </c>
    </row>
    <row r="150" customFormat="false" ht="16.5" hidden="false" customHeight="true" outlineLevel="1" collapsed="false">
      <c r="A150" s="32" t="s">
        <v>96</v>
      </c>
      <c r="B150" s="39" t="n">
        <v>5481.0783</v>
      </c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40" t="n">
        <f aca="false">B150</f>
        <v>5481.0783</v>
      </c>
    </row>
    <row r="151" customFormat="false" ht="16.5" hidden="false" customHeight="true" outlineLevel="1" collapsed="false">
      <c r="A151" s="32" t="s">
        <v>97</v>
      </c>
      <c r="B151" s="41" t="n">
        <v>5691</v>
      </c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40" t="n">
        <f aca="false">B151</f>
        <v>5691</v>
      </c>
    </row>
    <row r="152" customFormat="false" ht="16.5" hidden="false" customHeight="true" outlineLevel="1" collapsed="false">
      <c r="A152" s="32" t="s">
        <v>98</v>
      </c>
      <c r="B152" s="46" t="n">
        <v>0</v>
      </c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5"/>
    </row>
    <row r="153" customFormat="false" ht="16.5" hidden="false" customHeight="true" outlineLevel="1" collapsed="false">
      <c r="A153" s="32" t="s">
        <v>99</v>
      </c>
      <c r="B153" s="41" t="n">
        <v>0</v>
      </c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40" t="n">
        <f aca="false">B153</f>
        <v>0</v>
      </c>
    </row>
    <row r="154" customFormat="false" ht="16.5" hidden="false" customHeight="true" outlineLevel="1" collapsed="false">
      <c r="A154" s="32" t="s">
        <v>100</v>
      </c>
      <c r="B154" s="39" t="n">
        <v>247069</v>
      </c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40" t="n">
        <f aca="false">B154</f>
        <v>247069</v>
      </c>
    </row>
    <row r="155" customFormat="false" ht="18" hidden="false" customHeight="true" outlineLevel="0" collapsed="false">
      <c r="A155" s="30" t="s">
        <v>101</v>
      </c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</row>
    <row r="156" customFormat="false" ht="16.5" hidden="false" customHeight="true" outlineLevel="1" collapsed="false">
      <c r="A156" s="32" t="s">
        <v>102</v>
      </c>
      <c r="B156" s="39" t="n">
        <v>52501</v>
      </c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40" t="n">
        <f aca="false">B156</f>
        <v>52501</v>
      </c>
    </row>
    <row r="157" customFormat="false" ht="16.5" hidden="false" customHeight="true" outlineLevel="1" collapsed="false">
      <c r="A157" s="32" t="s">
        <v>103</v>
      </c>
      <c r="B157" s="41" t="n">
        <v>52501</v>
      </c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40" t="n">
        <f aca="false">B157</f>
        <v>52501</v>
      </c>
    </row>
    <row r="158" customFormat="false" ht="16.5" hidden="false" customHeight="true" outlineLevel="1" collapsed="false">
      <c r="A158" s="32" t="s">
        <v>104</v>
      </c>
      <c r="B158" s="36" t="s">
        <v>141</v>
      </c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5"/>
    </row>
    <row r="159" customFormat="false" ht="18" hidden="false" customHeight="true" outlineLevel="0" collapsed="false">
      <c r="A159" s="30" t="s">
        <v>106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</row>
    <row r="160" customFormat="false" ht="16.5" hidden="false" customHeight="true" outlineLevel="1" collapsed="false">
      <c r="A160" s="32" t="s">
        <v>107</v>
      </c>
      <c r="B160" s="39" t="n">
        <v>194568</v>
      </c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40" t="n">
        <f aca="false">B160</f>
        <v>194568</v>
      </c>
    </row>
    <row r="161" customFormat="false" ht="16.5" hidden="false" customHeight="true" outlineLevel="1" collapsed="false">
      <c r="A161" s="32" t="s">
        <v>108</v>
      </c>
      <c r="B161" s="41" t="n">
        <v>194568</v>
      </c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40" t="n">
        <f aca="false">B161</f>
        <v>194568</v>
      </c>
    </row>
    <row r="162" customFormat="false" ht="16.5" hidden="false" customHeight="true" outlineLevel="1" collapsed="false">
      <c r="A162" s="32" t="s">
        <v>109</v>
      </c>
      <c r="B162" s="36" t="s">
        <v>141</v>
      </c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5"/>
    </row>
    <row r="163" customFormat="false" ht="18" hidden="false" customHeight="true" outlineLevel="0" collapsed="false">
      <c r="A163" s="30" t="s">
        <v>111</v>
      </c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</row>
    <row r="164" customFormat="false" ht="16.5" hidden="false" customHeight="true" outlineLevel="1" collapsed="false">
      <c r="A164" s="32" t="s">
        <v>112</v>
      </c>
      <c r="B164" s="39" t="n">
        <v>0</v>
      </c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40" t="n">
        <f aca="false">B164</f>
        <v>0</v>
      </c>
    </row>
    <row r="165" customFormat="false" ht="16.5" hidden="false" customHeight="true" outlineLevel="1" collapsed="false">
      <c r="A165" s="32" t="s">
        <v>113</v>
      </c>
      <c r="B165" s="41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40" t="n">
        <f aca="false">B165</f>
        <v>0</v>
      </c>
    </row>
    <row r="166" customFormat="false" ht="16.5" hidden="false" customHeight="true" outlineLevel="1" collapsed="false">
      <c r="A166" s="32" t="s">
        <v>114</v>
      </c>
      <c r="B166" s="36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5"/>
    </row>
    <row r="167" customFormat="false" ht="18" hidden="false" customHeight="true" outlineLevel="0" collapsed="false">
      <c r="A167" s="30" t="s">
        <v>115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</row>
    <row r="168" customFormat="false" ht="16.5" hidden="false" customHeight="true" outlineLevel="1" collapsed="false">
      <c r="A168" s="32" t="s">
        <v>116</v>
      </c>
      <c r="B168" s="39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40" t="n">
        <f aca="false">B168</f>
        <v>0</v>
      </c>
    </row>
    <row r="169" customFormat="false" ht="16.5" hidden="false" customHeight="true" outlineLevel="1" collapsed="false">
      <c r="A169" s="32" t="s">
        <v>117</v>
      </c>
      <c r="B169" s="41" t="n">
        <v>0</v>
      </c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40" t="n">
        <f aca="false">B169</f>
        <v>0</v>
      </c>
    </row>
    <row r="170" customFormat="false" ht="18" hidden="false" customHeight="true" outlineLevel="0" collapsed="false">
      <c r="A170" s="30" t="s">
        <v>118</v>
      </c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</row>
    <row r="171" customFormat="false" ht="16.5" hidden="false" customHeight="true" outlineLevel="1" collapsed="false">
      <c r="A171" s="32" t="s">
        <v>119</v>
      </c>
      <c r="B171" s="38" t="s">
        <v>142</v>
      </c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5"/>
    </row>
    <row r="172" customFormat="false" ht="16.5" hidden="false" customHeight="true" outlineLevel="1" collapsed="false">
      <c r="A172" s="32" t="s">
        <v>121</v>
      </c>
      <c r="B172" s="36" t="n">
        <v>1800003226</v>
      </c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5"/>
    </row>
    <row r="173" customFormat="false" ht="16.5" hidden="false" customHeight="true" outlineLevel="1" collapsed="false">
      <c r="A173" s="32" t="s">
        <v>122</v>
      </c>
      <c r="B173" s="38" t="s">
        <v>143</v>
      </c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5"/>
    </row>
    <row r="174" customFormat="false" ht="19.5" hidden="false" customHeight="true" outlineLevel="0" collapsed="false">
      <c r="A174" s="43" t="s">
        <v>144</v>
      </c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5" t="n">
        <v>210003</v>
      </c>
    </row>
    <row r="175" customFormat="false" ht="6" hidden="false" customHeight="true" outlineLevel="0" collapsed="false"/>
    <row r="176" customFormat="false" ht="25.5" hidden="false" customHeight="true" outlineLevel="0" collapsed="false">
      <c r="A176" s="25" t="s">
        <v>145</v>
      </c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</row>
    <row r="177" customFormat="false" ht="18" hidden="false" customHeight="true" outlineLevel="0" collapsed="false">
      <c r="A177" s="26" t="s">
        <v>77</v>
      </c>
      <c r="B177" s="27" t="n">
        <v>2036</v>
      </c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9" t="s">
        <v>78</v>
      </c>
    </row>
    <row r="178" customFormat="false" ht="18" hidden="false" customHeight="true" outlineLevel="0" collapsed="false">
      <c r="A178" s="30" t="s">
        <v>79</v>
      </c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</row>
    <row r="179" customFormat="false" ht="16.5" hidden="false" customHeight="true" outlineLevel="1" collapsed="false">
      <c r="A179" s="32" t="s">
        <v>80</v>
      </c>
      <c r="B179" s="33" t="n">
        <v>2036</v>
      </c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5"/>
    </row>
    <row r="180" customFormat="false" ht="16.5" hidden="false" customHeight="true" outlineLevel="1" collapsed="false">
      <c r="A180" s="32" t="s">
        <v>81</v>
      </c>
      <c r="B180" s="36" t="s">
        <v>146</v>
      </c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5"/>
    </row>
    <row r="181" customFormat="false" ht="16.5" hidden="false" customHeight="true" outlineLevel="1" collapsed="false">
      <c r="A181" s="32" t="s">
        <v>83</v>
      </c>
      <c r="B181" s="33" t="n">
        <v>21978</v>
      </c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5"/>
    </row>
    <row r="182" customFormat="false" ht="16.5" hidden="false" customHeight="true" outlineLevel="1" collapsed="false">
      <c r="A182" s="32" t="s">
        <v>84</v>
      </c>
      <c r="B182" s="37" t="n">
        <v>8.2</v>
      </c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5"/>
    </row>
    <row r="183" customFormat="false" ht="16.5" hidden="false" customHeight="true" outlineLevel="1" collapsed="false">
      <c r="A183" s="32" t="s">
        <v>85</v>
      </c>
      <c r="B183" s="38" t="s">
        <v>147</v>
      </c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5"/>
    </row>
    <row r="184" customFormat="false" ht="16.5" hidden="false" customHeight="true" outlineLevel="1" collapsed="false">
      <c r="A184" s="32" t="s">
        <v>87</v>
      </c>
      <c r="B184" s="39" t="n">
        <v>67000</v>
      </c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5"/>
    </row>
    <row r="185" customFormat="false" ht="18" hidden="false" customHeight="true" outlineLevel="0" collapsed="false">
      <c r="A185" s="30" t="s">
        <v>88</v>
      </c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</row>
    <row r="186" customFormat="false" ht="16.5" hidden="false" customHeight="true" outlineLevel="1" collapsed="false">
      <c r="A186" s="32" t="s">
        <v>89</v>
      </c>
      <c r="B186" s="39" t="n">
        <v>549400</v>
      </c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40" t="n">
        <f aca="false">B186</f>
        <v>549400</v>
      </c>
    </row>
    <row r="187" customFormat="false" ht="16.5" hidden="false" customHeight="true" outlineLevel="1" collapsed="false">
      <c r="A187" s="32" t="s">
        <v>90</v>
      </c>
      <c r="B187" s="41" t="n">
        <v>98892</v>
      </c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40" t="n">
        <f aca="false">B187</f>
        <v>98892</v>
      </c>
    </row>
    <row r="188" customFormat="false" ht="16.5" hidden="false" customHeight="true" outlineLevel="1" collapsed="false">
      <c r="A188" s="32" t="s">
        <v>91</v>
      </c>
      <c r="B188" s="39" t="n">
        <v>648292</v>
      </c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40" t="n">
        <f aca="false">B188</f>
        <v>648292</v>
      </c>
    </row>
    <row r="189" customFormat="false" ht="16.5" hidden="false" customHeight="true" outlineLevel="1" collapsed="false">
      <c r="A189" s="32" t="s">
        <v>92</v>
      </c>
      <c r="B189" s="41" t="n">
        <v>12966</v>
      </c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40" t="n">
        <f aca="false">B189</f>
        <v>12966</v>
      </c>
    </row>
    <row r="190" customFormat="false" ht="16.5" hidden="false" customHeight="true" outlineLevel="1" collapsed="false">
      <c r="A190" s="32" t="s">
        <v>93</v>
      </c>
      <c r="B190" s="39" t="n">
        <v>549.4</v>
      </c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40" t="n">
        <f aca="false">B190</f>
        <v>549.4</v>
      </c>
    </row>
    <row r="191" customFormat="false" ht="16.5" hidden="false" customHeight="true" outlineLevel="1" collapsed="false">
      <c r="A191" s="32" t="s">
        <v>94</v>
      </c>
      <c r="B191" s="41" t="n">
        <v>14586.57</v>
      </c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40" t="n">
        <f aca="false">B191</f>
        <v>14586.57</v>
      </c>
    </row>
    <row r="192" customFormat="false" ht="16.5" hidden="false" customHeight="true" outlineLevel="1" collapsed="false">
      <c r="A192" s="32" t="s">
        <v>95</v>
      </c>
      <c r="B192" s="39" t="n">
        <v>247.23</v>
      </c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40" t="n">
        <f aca="false">B192</f>
        <v>247.23</v>
      </c>
    </row>
    <row r="193" customFormat="false" ht="16.5" hidden="false" customHeight="true" outlineLevel="1" collapsed="false">
      <c r="A193" s="32" t="s">
        <v>96</v>
      </c>
      <c r="B193" s="41" t="n">
        <v>14339.34</v>
      </c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40" t="n">
        <f aca="false">B193</f>
        <v>14339.34</v>
      </c>
    </row>
    <row r="194" customFormat="false" ht="16.5" hidden="false" customHeight="true" outlineLevel="1" collapsed="false">
      <c r="A194" s="32" t="s">
        <v>97</v>
      </c>
      <c r="B194" s="39" t="n">
        <v>14889</v>
      </c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40" t="n">
        <f aca="false">B194</f>
        <v>14889</v>
      </c>
    </row>
    <row r="195" customFormat="false" ht="16.5" hidden="false" customHeight="true" outlineLevel="1" collapsed="false">
      <c r="A195" s="32" t="s">
        <v>98</v>
      </c>
      <c r="B195" s="42" t="n">
        <v>0.02</v>
      </c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5"/>
    </row>
    <row r="196" customFormat="false" ht="16.5" hidden="false" customHeight="true" outlineLevel="1" collapsed="false">
      <c r="A196" s="32" t="s">
        <v>99</v>
      </c>
      <c r="B196" s="39" t="n">
        <v>10988</v>
      </c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40" t="n">
        <f aca="false">B196</f>
        <v>10988</v>
      </c>
    </row>
    <row r="197" customFormat="false" ht="16.5" hidden="false" customHeight="true" outlineLevel="1" collapsed="false">
      <c r="A197" s="32" t="s">
        <v>100</v>
      </c>
      <c r="B197" s="41" t="n">
        <v>635381</v>
      </c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40" t="n">
        <f aca="false">B197</f>
        <v>635381</v>
      </c>
    </row>
    <row r="198" customFormat="false" ht="18" hidden="false" customHeight="true" outlineLevel="0" collapsed="false">
      <c r="A198" s="30" t="s">
        <v>101</v>
      </c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</row>
    <row r="199" customFormat="false" ht="16.5" hidden="false" customHeight="true" outlineLevel="1" collapsed="false">
      <c r="A199" s="32" t="s">
        <v>102</v>
      </c>
      <c r="B199" s="41" t="n">
        <v>137350</v>
      </c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40" t="n">
        <f aca="false">B199</f>
        <v>137350</v>
      </c>
    </row>
    <row r="200" customFormat="false" ht="16.5" hidden="false" customHeight="true" outlineLevel="1" collapsed="false">
      <c r="A200" s="32" t="s">
        <v>103</v>
      </c>
      <c r="B200" s="39" t="n">
        <v>137350</v>
      </c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40" t="n">
        <f aca="false">B200</f>
        <v>137350</v>
      </c>
    </row>
    <row r="201" customFormat="false" ht="16.5" hidden="false" customHeight="true" outlineLevel="1" collapsed="false">
      <c r="A201" s="32" t="s">
        <v>104</v>
      </c>
      <c r="B201" s="38" t="s">
        <v>136</v>
      </c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5"/>
    </row>
    <row r="202" customFormat="false" ht="18" hidden="false" customHeight="true" outlineLevel="0" collapsed="false">
      <c r="A202" s="30" t="s">
        <v>106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</row>
    <row r="203" customFormat="false" ht="16.5" hidden="false" customHeight="true" outlineLevel="1" collapsed="false">
      <c r="A203" s="32" t="s">
        <v>107</v>
      </c>
      <c r="B203" s="41" t="n">
        <v>498031</v>
      </c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40" t="n">
        <f aca="false">B203</f>
        <v>498031</v>
      </c>
    </row>
    <row r="204" customFormat="false" ht="16.5" hidden="false" customHeight="true" outlineLevel="1" collapsed="false">
      <c r="A204" s="32" t="s">
        <v>108</v>
      </c>
      <c r="B204" s="39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40" t="n">
        <f aca="false">B204</f>
        <v>0</v>
      </c>
    </row>
    <row r="205" customFormat="false" ht="16.5" hidden="false" customHeight="true" outlineLevel="1" collapsed="false">
      <c r="A205" s="32" t="s">
        <v>109</v>
      </c>
      <c r="B205" s="38" t="n">
        <v>0</v>
      </c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5"/>
    </row>
    <row r="206" customFormat="false" ht="18" hidden="false" customHeight="true" outlineLevel="0" collapsed="false">
      <c r="A206" s="30" t="s">
        <v>111</v>
      </c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</row>
    <row r="207" customFormat="false" ht="16.5" hidden="false" customHeight="true" outlineLevel="1" collapsed="false">
      <c r="A207" s="32" t="s">
        <v>112</v>
      </c>
      <c r="B207" s="41" t="n">
        <v>19448.76</v>
      </c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40" t="n">
        <f aca="false">B207</f>
        <v>19448.76</v>
      </c>
    </row>
    <row r="208" customFormat="false" ht="16.5" hidden="false" customHeight="true" outlineLevel="1" collapsed="false">
      <c r="A208" s="32" t="s">
        <v>113</v>
      </c>
      <c r="B208" s="39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40" t="n">
        <f aca="false">B208</f>
        <v>0</v>
      </c>
    </row>
    <row r="209" customFormat="false" ht="16.5" hidden="false" customHeight="true" outlineLevel="1" collapsed="false">
      <c r="A209" s="32" t="s">
        <v>114</v>
      </c>
      <c r="B209" s="38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5"/>
    </row>
    <row r="210" customFormat="false" ht="18" hidden="false" customHeight="true" outlineLevel="0" collapsed="false">
      <c r="A210" s="30" t="s">
        <v>115</v>
      </c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</row>
    <row r="211" customFormat="false" ht="16.5" hidden="false" customHeight="true" outlineLevel="1" collapsed="false">
      <c r="A211" s="32" t="s">
        <v>116</v>
      </c>
      <c r="B211" s="41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40" t="n">
        <f aca="false">B211</f>
        <v>0</v>
      </c>
    </row>
    <row r="212" customFormat="false" ht="16.5" hidden="false" customHeight="true" outlineLevel="1" collapsed="false">
      <c r="A212" s="32" t="s">
        <v>117</v>
      </c>
      <c r="B212" s="39" t="n">
        <v>498031</v>
      </c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40" t="n">
        <f aca="false">B212</f>
        <v>498031</v>
      </c>
    </row>
    <row r="213" customFormat="false" ht="18" hidden="false" customHeight="true" outlineLevel="0" collapsed="false">
      <c r="A213" s="30" t="s">
        <v>118</v>
      </c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</row>
    <row r="214" customFormat="false" ht="16.5" hidden="false" customHeight="true" outlineLevel="1" collapsed="false">
      <c r="A214" s="32" t="s">
        <v>119</v>
      </c>
      <c r="B214" s="36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5"/>
    </row>
    <row r="215" customFormat="false" ht="16.5" hidden="false" customHeight="true" outlineLevel="1" collapsed="false">
      <c r="A215" s="32" t="s">
        <v>121</v>
      </c>
      <c r="B215" s="38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5"/>
    </row>
    <row r="216" customFormat="false" ht="16.5" hidden="false" customHeight="true" outlineLevel="1" collapsed="false">
      <c r="A216" s="32" t="s">
        <v>122</v>
      </c>
      <c r="B216" s="36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5"/>
    </row>
    <row r="217" customFormat="false" ht="19.5" hidden="false" customHeight="true" outlineLevel="0" collapsed="false">
      <c r="A217" s="43" t="s">
        <v>148</v>
      </c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5" t="n">
        <v>549400</v>
      </c>
    </row>
    <row r="218" customFormat="false" ht="6" hidden="false" customHeight="true" outlineLevel="0" collapsed="false"/>
    <row r="219" customFormat="false" ht="25.5" hidden="false" customHeight="true" outlineLevel="0" collapsed="false">
      <c r="A219" s="25" t="s">
        <v>149</v>
      </c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</row>
    <row r="220" customFormat="false" ht="18" hidden="false" customHeight="true" outlineLevel="0" collapsed="false">
      <c r="A220" s="26" t="s">
        <v>77</v>
      </c>
      <c r="B220" s="27" t="n">
        <v>1874</v>
      </c>
      <c r="C220" s="27" t="n">
        <v>2002</v>
      </c>
      <c r="D220" s="27" t="n">
        <v>2003</v>
      </c>
      <c r="E220" s="27" t="n">
        <v>2005</v>
      </c>
      <c r="F220" s="27" t="n">
        <v>2018</v>
      </c>
      <c r="G220" s="27" t="n">
        <v>2019</v>
      </c>
      <c r="H220" s="27" t="n">
        <v>2023</v>
      </c>
      <c r="I220" s="27" t="n">
        <v>2027</v>
      </c>
      <c r="J220" s="27" t="n">
        <v>2035</v>
      </c>
      <c r="K220" s="27" t="n">
        <v>2043</v>
      </c>
      <c r="L220" s="27" t="n">
        <v>2055</v>
      </c>
      <c r="M220" s="27" t="n">
        <v>2059</v>
      </c>
      <c r="N220" s="27" t="n">
        <v>2071</v>
      </c>
      <c r="O220" s="29" t="s">
        <v>78</v>
      </c>
    </row>
    <row r="221" customFormat="false" ht="18" hidden="false" customHeight="true" outlineLevel="0" collapsed="false">
      <c r="A221" s="30" t="s">
        <v>79</v>
      </c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</row>
    <row r="222" customFormat="false" ht="16.5" hidden="false" customHeight="true" outlineLevel="1" collapsed="false">
      <c r="A222" s="32" t="s">
        <v>80</v>
      </c>
      <c r="B222" s="37" t="n">
        <v>1874</v>
      </c>
      <c r="C222" s="37" t="n">
        <v>2002</v>
      </c>
      <c r="D222" s="37" t="n">
        <v>2003</v>
      </c>
      <c r="E222" s="37" t="n">
        <v>2005</v>
      </c>
      <c r="F222" s="37" t="n">
        <v>2018</v>
      </c>
      <c r="G222" s="37" t="n">
        <v>2019</v>
      </c>
      <c r="H222" s="37" t="n">
        <v>2023</v>
      </c>
      <c r="I222" s="37" t="n">
        <v>2027</v>
      </c>
      <c r="J222" s="37" t="n">
        <v>2035</v>
      </c>
      <c r="K222" s="37" t="n">
        <v>2043</v>
      </c>
      <c r="L222" s="37" t="n">
        <v>2055</v>
      </c>
      <c r="M222" s="37" t="n">
        <v>2059</v>
      </c>
      <c r="N222" s="37" t="n">
        <v>2071</v>
      </c>
      <c r="O222" s="35"/>
    </row>
    <row r="223" customFormat="false" ht="16.5" hidden="false" customHeight="true" outlineLevel="1" collapsed="false">
      <c r="A223" s="32" t="s">
        <v>81</v>
      </c>
      <c r="B223" s="38" t="s">
        <v>150</v>
      </c>
      <c r="C223" s="38" t="s">
        <v>140</v>
      </c>
      <c r="D223" s="38" t="s">
        <v>151</v>
      </c>
      <c r="E223" s="38" t="s">
        <v>152</v>
      </c>
      <c r="F223" s="38" t="s">
        <v>153</v>
      </c>
      <c r="G223" s="38" t="s">
        <v>153</v>
      </c>
      <c r="H223" s="38" t="s">
        <v>140</v>
      </c>
      <c r="I223" s="38" t="s">
        <v>140</v>
      </c>
      <c r="J223" s="38" t="s">
        <v>154</v>
      </c>
      <c r="K223" s="38" t="s">
        <v>140</v>
      </c>
      <c r="L223" s="38" t="s">
        <v>155</v>
      </c>
      <c r="M223" s="38" t="s">
        <v>156</v>
      </c>
      <c r="N223" s="38" t="s">
        <v>157</v>
      </c>
      <c r="O223" s="35"/>
    </row>
    <row r="224" customFormat="false" ht="16.5" hidden="false" customHeight="true" outlineLevel="1" collapsed="false">
      <c r="A224" s="32" t="s">
        <v>83</v>
      </c>
      <c r="B224" s="37" t="n">
        <v>21977</v>
      </c>
      <c r="C224" s="37" t="n">
        <v>21977</v>
      </c>
      <c r="D224" s="37" t="n">
        <v>21977</v>
      </c>
      <c r="E224" s="37" t="n">
        <v>21977</v>
      </c>
      <c r="F224" s="37" t="n">
        <v>21978</v>
      </c>
      <c r="G224" s="37" t="n">
        <v>21978</v>
      </c>
      <c r="H224" s="37" t="n">
        <v>21978</v>
      </c>
      <c r="I224" s="37" t="n">
        <v>21978</v>
      </c>
      <c r="J224" s="37" t="n">
        <v>21978</v>
      </c>
      <c r="K224" s="37" t="n">
        <v>21979</v>
      </c>
      <c r="L224" s="37" t="n">
        <v>21979</v>
      </c>
      <c r="M224" s="37" t="n">
        <v>21979</v>
      </c>
      <c r="N224" s="37" t="n">
        <v>21980</v>
      </c>
      <c r="O224" s="35"/>
    </row>
    <row r="225" customFormat="false" ht="16.5" hidden="false" customHeight="true" outlineLevel="1" collapsed="false">
      <c r="A225" s="32" t="s">
        <v>84</v>
      </c>
      <c r="B225" s="33" t="n">
        <v>270</v>
      </c>
      <c r="C225" s="33" t="n">
        <v>4</v>
      </c>
      <c r="D225" s="33" t="n">
        <v>1</v>
      </c>
      <c r="E225" s="33" t="n">
        <v>1</v>
      </c>
      <c r="F225" s="33" t="n">
        <v>1</v>
      </c>
      <c r="G225" s="33" t="n">
        <v>1</v>
      </c>
      <c r="H225" s="33" t="n">
        <v>3</v>
      </c>
      <c r="I225" s="33" t="n">
        <v>1</v>
      </c>
      <c r="J225" s="33" t="n">
        <v>2</v>
      </c>
      <c r="K225" s="33" t="n">
        <v>5</v>
      </c>
      <c r="L225" s="33" t="n">
        <v>2</v>
      </c>
      <c r="M225" s="33" t="n">
        <v>1</v>
      </c>
      <c r="N225" s="33" t="n">
        <v>3</v>
      </c>
      <c r="O225" s="35"/>
    </row>
    <row r="226" customFormat="false" ht="16.5" hidden="false" customHeight="true" outlineLevel="1" collapsed="false">
      <c r="A226" s="32" t="s">
        <v>85</v>
      </c>
      <c r="B226" s="36" t="s">
        <v>135</v>
      </c>
      <c r="C226" s="36" t="s">
        <v>135</v>
      </c>
      <c r="D226" s="36" t="s">
        <v>135</v>
      </c>
      <c r="E226" s="36" t="s">
        <v>135</v>
      </c>
      <c r="F226" s="36" t="s">
        <v>135</v>
      </c>
      <c r="G226" s="36" t="s">
        <v>135</v>
      </c>
      <c r="H226" s="36" t="s">
        <v>135</v>
      </c>
      <c r="I226" s="36" t="s">
        <v>135</v>
      </c>
      <c r="J226" s="36" t="s">
        <v>135</v>
      </c>
      <c r="K226" s="36" t="s">
        <v>135</v>
      </c>
      <c r="L226" s="36" t="s">
        <v>135</v>
      </c>
      <c r="M226" s="36" t="s">
        <v>135</v>
      </c>
      <c r="N226" s="36" t="s">
        <v>135</v>
      </c>
      <c r="O226" s="35"/>
    </row>
    <row r="227" customFormat="false" ht="16.5" hidden="false" customHeight="true" outlineLevel="1" collapsed="false">
      <c r="A227" s="32" t="s">
        <v>87</v>
      </c>
      <c r="B227" s="41" t="n">
        <v>580</v>
      </c>
      <c r="C227" s="41" t="n">
        <v>51511</v>
      </c>
      <c r="D227" s="41" t="n">
        <v>65007</v>
      </c>
      <c r="E227" s="41" t="n">
        <v>70006</v>
      </c>
      <c r="F227" s="41" t="n">
        <v>220001</v>
      </c>
      <c r="G227" s="41" t="n">
        <v>210001</v>
      </c>
      <c r="H227" s="41" t="n">
        <v>83743</v>
      </c>
      <c r="I227" s="41" t="n">
        <v>50003</v>
      </c>
      <c r="J227" s="41" t="n">
        <v>14001</v>
      </c>
      <c r="K227" s="41" t="n">
        <v>80000</v>
      </c>
      <c r="L227" s="41" t="n">
        <v>80006</v>
      </c>
      <c r="M227" s="41" t="n">
        <v>29502</v>
      </c>
      <c r="N227" s="41" t="n">
        <v>25001</v>
      </c>
      <c r="O227" s="35"/>
    </row>
    <row r="228" customFormat="false" ht="18" hidden="false" customHeight="true" outlineLevel="0" collapsed="false">
      <c r="A228" s="30" t="s">
        <v>88</v>
      </c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</row>
    <row r="229" customFormat="false" ht="16.5" hidden="false" customHeight="true" outlineLevel="1" collapsed="false">
      <c r="A229" s="32" t="s">
        <v>89</v>
      </c>
      <c r="B229" s="41" t="n">
        <v>156600</v>
      </c>
      <c r="C229" s="41" t="n">
        <v>206044</v>
      </c>
      <c r="D229" s="41" t="n">
        <v>65007</v>
      </c>
      <c r="E229" s="41" t="n">
        <v>70006</v>
      </c>
      <c r="F229" s="41" t="n">
        <v>220001</v>
      </c>
      <c r="G229" s="41" t="n">
        <v>210001</v>
      </c>
      <c r="H229" s="41" t="n">
        <v>251229</v>
      </c>
      <c r="I229" s="41" t="n">
        <v>50003</v>
      </c>
      <c r="J229" s="41" t="n">
        <v>28002</v>
      </c>
      <c r="K229" s="41" t="n">
        <v>400000</v>
      </c>
      <c r="L229" s="41" t="n">
        <v>160012</v>
      </c>
      <c r="M229" s="41" t="n">
        <v>29502</v>
      </c>
      <c r="N229" s="41" t="n">
        <v>75003</v>
      </c>
      <c r="O229" s="40" t="n">
        <f aca="false">B229+C229+D229+E229+F229+G229+H229+I229+J229+K229+L229+M229+N229</f>
        <v>1921410</v>
      </c>
    </row>
    <row r="230" customFormat="false" ht="16.5" hidden="false" customHeight="true" outlineLevel="1" collapsed="false">
      <c r="A230" s="32" t="s">
        <v>90</v>
      </c>
      <c r="B230" s="39" t="n">
        <v>28188</v>
      </c>
      <c r="C230" s="39" t="n">
        <v>37088</v>
      </c>
      <c r="D230" s="39" t="n">
        <v>11701</v>
      </c>
      <c r="E230" s="39" t="n">
        <v>12601</v>
      </c>
      <c r="F230" s="39" t="n">
        <v>39600</v>
      </c>
      <c r="G230" s="39" t="n">
        <v>37800</v>
      </c>
      <c r="H230" s="39" t="n">
        <v>45221</v>
      </c>
      <c r="I230" s="39" t="n">
        <v>9001</v>
      </c>
      <c r="J230" s="39" t="n">
        <v>5040</v>
      </c>
      <c r="K230" s="39" t="n">
        <v>72000</v>
      </c>
      <c r="L230" s="39" t="n">
        <v>28802</v>
      </c>
      <c r="M230" s="39" t="n">
        <v>5310</v>
      </c>
      <c r="N230" s="39" t="n">
        <v>13501</v>
      </c>
      <c r="O230" s="40" t="n">
        <f aca="false">B230+C230+D230+E230+F230+G230+H230+I230+J230+K230+L230+M230+N230</f>
        <v>345853</v>
      </c>
    </row>
    <row r="231" customFormat="false" ht="16.5" hidden="false" customHeight="true" outlineLevel="1" collapsed="false">
      <c r="A231" s="32" t="s">
        <v>91</v>
      </c>
      <c r="B231" s="41" t="n">
        <v>184788</v>
      </c>
      <c r="C231" s="41" t="n">
        <v>243132</v>
      </c>
      <c r="D231" s="41" t="n">
        <v>76708</v>
      </c>
      <c r="E231" s="41" t="n">
        <v>82607</v>
      </c>
      <c r="F231" s="41" t="n">
        <v>259601</v>
      </c>
      <c r="G231" s="41" t="n">
        <v>247801</v>
      </c>
      <c r="H231" s="41" t="n">
        <v>296450</v>
      </c>
      <c r="I231" s="41" t="n">
        <v>59004</v>
      </c>
      <c r="J231" s="41" t="n">
        <v>33042</v>
      </c>
      <c r="K231" s="41" t="n">
        <v>472000</v>
      </c>
      <c r="L231" s="41" t="n">
        <v>188814</v>
      </c>
      <c r="M231" s="41" t="n">
        <v>34812</v>
      </c>
      <c r="N231" s="41" t="n">
        <v>88504</v>
      </c>
      <c r="O231" s="40" t="n">
        <f aca="false">B231+C231+D231+E231+F231+G231+H231+I231+J231+K231+L231+M231+N231</f>
        <v>2267263</v>
      </c>
    </row>
    <row r="232" customFormat="false" ht="16.5" hidden="false" customHeight="true" outlineLevel="1" collapsed="false">
      <c r="A232" s="32" t="s">
        <v>92</v>
      </c>
      <c r="B232" s="39" t="n">
        <v>3696</v>
      </c>
      <c r="C232" s="39" t="n">
        <v>4863</v>
      </c>
      <c r="D232" s="39" t="n">
        <v>1534</v>
      </c>
      <c r="E232" s="39" t="n">
        <v>1652</v>
      </c>
      <c r="F232" s="39" t="n">
        <v>5192</v>
      </c>
      <c r="G232" s="39" t="n">
        <v>4956</v>
      </c>
      <c r="H232" s="39" t="n">
        <v>5929</v>
      </c>
      <c r="I232" s="39" t="n">
        <v>1180</v>
      </c>
      <c r="J232" s="39" t="n">
        <v>661</v>
      </c>
      <c r="K232" s="39" t="n">
        <v>9440</v>
      </c>
      <c r="L232" s="39" t="n">
        <v>3776</v>
      </c>
      <c r="M232" s="39" t="n">
        <v>696</v>
      </c>
      <c r="N232" s="39" t="n">
        <v>1770</v>
      </c>
      <c r="O232" s="40" t="n">
        <f aca="false">B232+C232+D232+E232+F232+G232+H232+I232+J232+K232+L232+M232+N232</f>
        <v>45345</v>
      </c>
    </row>
    <row r="233" customFormat="false" ht="16.5" hidden="false" customHeight="true" outlineLevel="1" collapsed="false">
      <c r="A233" s="32" t="s">
        <v>93</v>
      </c>
      <c r="B233" s="41" t="n">
        <v>156.6</v>
      </c>
      <c r="C233" s="41" t="n">
        <v>206.044</v>
      </c>
      <c r="D233" s="41" t="n">
        <v>65.007</v>
      </c>
      <c r="E233" s="41" t="n">
        <v>70.006</v>
      </c>
      <c r="F233" s="41" t="n">
        <v>220.001</v>
      </c>
      <c r="G233" s="41" t="n">
        <v>210.001</v>
      </c>
      <c r="H233" s="41" t="n">
        <v>251.229</v>
      </c>
      <c r="I233" s="41" t="n">
        <v>50.003</v>
      </c>
      <c r="J233" s="41" t="n">
        <v>28.002</v>
      </c>
      <c r="K233" s="41" t="n">
        <v>400</v>
      </c>
      <c r="L233" s="41" t="n">
        <v>160.012</v>
      </c>
      <c r="M233" s="41" t="n">
        <v>29.502</v>
      </c>
      <c r="N233" s="41" t="n">
        <v>75.003</v>
      </c>
      <c r="O233" s="40" t="n">
        <f aca="false">B233+C233+D233+E233+F233+G233+H233+I233+J233+K233+L233+M233+N233</f>
        <v>1921.41</v>
      </c>
    </row>
    <row r="234" customFormat="false" ht="16.5" hidden="false" customHeight="true" outlineLevel="1" collapsed="false">
      <c r="A234" s="32" t="s">
        <v>94</v>
      </c>
      <c r="B234" s="39" t="n">
        <v>4157.73</v>
      </c>
      <c r="C234" s="39" t="n">
        <v>5470.4682</v>
      </c>
      <c r="D234" s="39" t="n">
        <v>1725.93585</v>
      </c>
      <c r="E234" s="39" t="n">
        <v>1858.6593</v>
      </c>
      <c r="F234" s="39" t="n">
        <v>5841.02655</v>
      </c>
      <c r="G234" s="39" t="n">
        <v>5575.52655</v>
      </c>
      <c r="H234" s="39" t="n">
        <v>6670.12995</v>
      </c>
      <c r="I234" s="39" t="n">
        <v>1327.57965</v>
      </c>
      <c r="J234" s="39" t="n">
        <v>743.4531</v>
      </c>
      <c r="K234" s="39" t="n">
        <v>10620</v>
      </c>
      <c r="L234" s="39" t="n">
        <v>4248.3186</v>
      </c>
      <c r="M234" s="39" t="n">
        <v>783.2781</v>
      </c>
      <c r="N234" s="39" t="n">
        <v>1991.32965</v>
      </c>
      <c r="O234" s="40" t="n">
        <f aca="false">B234+C234+D234+E234+F234+G234+H234+I234+J234+K234+L234+M234+N234</f>
        <v>51013.4355</v>
      </c>
    </row>
    <row r="235" customFormat="false" ht="16.5" hidden="false" customHeight="true" outlineLevel="1" collapsed="false">
      <c r="A235" s="32" t="s">
        <v>95</v>
      </c>
      <c r="B235" s="41" t="n">
        <v>70.47</v>
      </c>
      <c r="C235" s="41" t="n">
        <v>92.7198</v>
      </c>
      <c r="D235" s="41" t="n">
        <v>29.25315</v>
      </c>
      <c r="E235" s="41" t="n">
        <v>31.5027</v>
      </c>
      <c r="F235" s="41" t="n">
        <v>99.00045</v>
      </c>
      <c r="G235" s="41" t="n">
        <v>94.50045</v>
      </c>
      <c r="H235" s="41" t="n">
        <v>113.05305</v>
      </c>
      <c r="I235" s="41" t="n">
        <v>22.50135</v>
      </c>
      <c r="J235" s="41" t="n">
        <v>12.6009</v>
      </c>
      <c r="K235" s="41" t="n">
        <v>180</v>
      </c>
      <c r="L235" s="41" t="n">
        <v>72.0054</v>
      </c>
      <c r="M235" s="41" t="n">
        <v>13.2759</v>
      </c>
      <c r="N235" s="41" t="n">
        <v>33.75135</v>
      </c>
      <c r="O235" s="40" t="n">
        <f aca="false">B235+C235+D235+E235+F235+G235+H235+I235+J235+K235+L235+M235+N235</f>
        <v>864.6345</v>
      </c>
    </row>
    <row r="236" customFormat="false" ht="16.5" hidden="false" customHeight="true" outlineLevel="1" collapsed="false">
      <c r="A236" s="32" t="s">
        <v>96</v>
      </c>
      <c r="B236" s="39" t="n">
        <v>4087.26</v>
      </c>
      <c r="C236" s="39" t="n">
        <v>5377.7484</v>
      </c>
      <c r="D236" s="39" t="n">
        <v>1696.6827</v>
      </c>
      <c r="E236" s="39" t="n">
        <v>1827.1566</v>
      </c>
      <c r="F236" s="39" t="n">
        <v>5742.0261</v>
      </c>
      <c r="G236" s="39" t="n">
        <v>5481.0261</v>
      </c>
      <c r="H236" s="39" t="n">
        <v>6557.0769</v>
      </c>
      <c r="I236" s="39" t="n">
        <v>1305.0783</v>
      </c>
      <c r="J236" s="39" t="n">
        <v>730.8522</v>
      </c>
      <c r="K236" s="39" t="n">
        <v>10440</v>
      </c>
      <c r="L236" s="39" t="n">
        <v>4176.3132</v>
      </c>
      <c r="M236" s="39" t="n">
        <v>770.0022</v>
      </c>
      <c r="N236" s="39" t="n">
        <v>1957.5783</v>
      </c>
      <c r="O236" s="40" t="n">
        <f aca="false">B236+C236+D236+E236+F236+G236+H236+I236+J236+K236+L236+M236+N236</f>
        <v>50148.801</v>
      </c>
    </row>
    <row r="237" customFormat="false" ht="16.5" hidden="false" customHeight="true" outlineLevel="1" collapsed="false">
      <c r="A237" s="32" t="s">
        <v>97</v>
      </c>
      <c r="B237" s="41" t="n">
        <v>4244</v>
      </c>
      <c r="C237" s="41" t="n">
        <v>5584</v>
      </c>
      <c r="D237" s="41" t="n">
        <v>1762</v>
      </c>
      <c r="E237" s="41" t="n">
        <v>1897</v>
      </c>
      <c r="F237" s="41" t="n">
        <v>5962</v>
      </c>
      <c r="G237" s="41" t="n">
        <v>5691</v>
      </c>
      <c r="H237" s="41" t="n">
        <v>6808</v>
      </c>
      <c r="I237" s="41" t="n">
        <v>1355</v>
      </c>
      <c r="J237" s="41" t="n">
        <v>759</v>
      </c>
      <c r="K237" s="41" t="n">
        <v>10840</v>
      </c>
      <c r="L237" s="41" t="n">
        <v>4336</v>
      </c>
      <c r="M237" s="41" t="n">
        <v>800</v>
      </c>
      <c r="N237" s="41" t="n">
        <v>2033</v>
      </c>
      <c r="O237" s="40" t="n">
        <f aca="false">B237+C237+D237+E237+F237+G237+H237+I237+J237+K237+L237+M237+N237</f>
        <v>52071</v>
      </c>
    </row>
    <row r="238" customFormat="false" ht="16.5" hidden="false" customHeight="true" outlineLevel="1" collapsed="false">
      <c r="A238" s="32" t="s">
        <v>98</v>
      </c>
      <c r="B238" s="46" t="n">
        <v>0</v>
      </c>
      <c r="C238" s="46" t="n">
        <v>0</v>
      </c>
      <c r="D238" s="46" t="n">
        <v>0</v>
      </c>
      <c r="E238" s="46" t="n">
        <v>0</v>
      </c>
      <c r="F238" s="46" t="n">
        <v>0</v>
      </c>
      <c r="G238" s="46" t="n">
        <v>0</v>
      </c>
      <c r="H238" s="46" t="n">
        <v>0</v>
      </c>
      <c r="I238" s="46" t="n">
        <v>0</v>
      </c>
      <c r="J238" s="46" t="n">
        <v>0</v>
      </c>
      <c r="K238" s="46" t="n">
        <v>0</v>
      </c>
      <c r="L238" s="46" t="n">
        <v>0</v>
      </c>
      <c r="M238" s="46" t="n">
        <v>0</v>
      </c>
      <c r="N238" s="46" t="n">
        <v>0</v>
      </c>
      <c r="O238" s="35"/>
    </row>
    <row r="239" customFormat="false" ht="16.5" hidden="false" customHeight="true" outlineLevel="1" collapsed="false">
      <c r="A239" s="32" t="s">
        <v>99</v>
      </c>
      <c r="B239" s="41" t="n">
        <v>0</v>
      </c>
      <c r="C239" s="41" t="n">
        <v>0</v>
      </c>
      <c r="D239" s="41" t="n">
        <v>0</v>
      </c>
      <c r="E239" s="41" t="n">
        <v>0</v>
      </c>
      <c r="F239" s="41" t="n">
        <v>0</v>
      </c>
      <c r="G239" s="41" t="n">
        <v>0</v>
      </c>
      <c r="H239" s="41" t="n">
        <v>0</v>
      </c>
      <c r="I239" s="41" t="n">
        <v>0</v>
      </c>
      <c r="J239" s="41" t="n">
        <v>0</v>
      </c>
      <c r="K239" s="41" t="n">
        <v>0</v>
      </c>
      <c r="L239" s="41" t="n">
        <v>0</v>
      </c>
      <c r="M239" s="41" t="n">
        <v>0</v>
      </c>
      <c r="N239" s="41" t="n">
        <v>0</v>
      </c>
      <c r="O239" s="40" t="n">
        <f aca="false">B239+C239+D239+E239+F239+G239+H239+I239+J239+K239+L239+M239+N239</f>
        <v>0</v>
      </c>
    </row>
    <row r="240" customFormat="false" ht="16.5" hidden="false" customHeight="true" outlineLevel="1" collapsed="false">
      <c r="A240" s="32" t="s">
        <v>100</v>
      </c>
      <c r="B240" s="39" t="n">
        <v>184240</v>
      </c>
      <c r="C240" s="39" t="n">
        <v>242411</v>
      </c>
      <c r="D240" s="39" t="n">
        <v>76481</v>
      </c>
      <c r="E240" s="39" t="n">
        <v>82362</v>
      </c>
      <c r="F240" s="39" t="n">
        <v>258831</v>
      </c>
      <c r="G240" s="39" t="n">
        <v>247066</v>
      </c>
      <c r="H240" s="39" t="n">
        <v>295571</v>
      </c>
      <c r="I240" s="39" t="n">
        <v>58829</v>
      </c>
      <c r="J240" s="39" t="n">
        <v>32944</v>
      </c>
      <c r="K240" s="39" t="n">
        <v>470600</v>
      </c>
      <c r="L240" s="39" t="n">
        <v>188254</v>
      </c>
      <c r="M240" s="39" t="n">
        <v>34709</v>
      </c>
      <c r="N240" s="39" t="n">
        <v>88241</v>
      </c>
      <c r="O240" s="40" t="n">
        <f aca="false">B240+C240+D240+E240+F240+G240+H240+I240+J240+K240+L240+M240+N240</f>
        <v>2260539</v>
      </c>
    </row>
    <row r="241" customFormat="false" ht="18" hidden="false" customHeight="true" outlineLevel="0" collapsed="false">
      <c r="A241" s="30" t="s">
        <v>101</v>
      </c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</row>
    <row r="242" customFormat="false" ht="16.5" hidden="false" customHeight="true" outlineLevel="1" collapsed="false">
      <c r="A242" s="32" t="s">
        <v>102</v>
      </c>
      <c r="B242" s="39" t="n">
        <v>39150</v>
      </c>
      <c r="C242" s="39" t="n">
        <v>51511</v>
      </c>
      <c r="D242" s="39" t="n">
        <v>16252</v>
      </c>
      <c r="E242" s="39" t="n">
        <v>17502</v>
      </c>
      <c r="F242" s="39" t="n">
        <v>55000</v>
      </c>
      <c r="G242" s="39" t="n">
        <v>52500</v>
      </c>
      <c r="H242" s="39" t="n">
        <v>62807</v>
      </c>
      <c r="I242" s="39" t="n">
        <v>12501</v>
      </c>
      <c r="J242" s="39" t="n">
        <v>7001</v>
      </c>
      <c r="K242" s="39" t="n">
        <v>100000</v>
      </c>
      <c r="L242" s="39" t="n">
        <v>40003</v>
      </c>
      <c r="M242" s="39" t="n">
        <v>7376</v>
      </c>
      <c r="N242" s="39" t="n">
        <v>18751</v>
      </c>
      <c r="O242" s="40" t="n">
        <f aca="false">B242+C242+D242+E242+F242+G242+H242+I242+J242+K242+L242+M242+N242</f>
        <v>480354</v>
      </c>
    </row>
    <row r="243" customFormat="false" ht="16.5" hidden="false" customHeight="true" outlineLevel="1" collapsed="false">
      <c r="A243" s="32" t="s">
        <v>103</v>
      </c>
      <c r="B243" s="41" t="n">
        <v>39150</v>
      </c>
      <c r="C243" s="41" t="n">
        <v>51511</v>
      </c>
      <c r="D243" s="41" t="n">
        <v>16252</v>
      </c>
      <c r="E243" s="41" t="n">
        <v>17502</v>
      </c>
      <c r="F243" s="41" t="n">
        <v>55000</v>
      </c>
      <c r="G243" s="41" t="n">
        <v>52500</v>
      </c>
      <c r="H243" s="41" t="n">
        <v>62807</v>
      </c>
      <c r="I243" s="41" t="n">
        <v>12501</v>
      </c>
      <c r="J243" s="41" t="n">
        <v>7001</v>
      </c>
      <c r="K243" s="41" t="n">
        <v>100000</v>
      </c>
      <c r="L243" s="41" t="n">
        <v>40003</v>
      </c>
      <c r="M243" s="41" t="n">
        <v>7376</v>
      </c>
      <c r="N243" s="41" t="n">
        <v>18751</v>
      </c>
      <c r="O243" s="40" t="n">
        <f aca="false">B243+C243+D243+E243+F243+G243+H243+I243+J243+K243+L243+M243+N243</f>
        <v>480354</v>
      </c>
    </row>
    <row r="244" customFormat="false" ht="16.5" hidden="false" customHeight="true" outlineLevel="1" collapsed="false">
      <c r="A244" s="32" t="s">
        <v>104</v>
      </c>
      <c r="B244" s="36" t="s">
        <v>158</v>
      </c>
      <c r="C244" s="36" t="s">
        <v>158</v>
      </c>
      <c r="D244" s="36" t="s">
        <v>158</v>
      </c>
      <c r="E244" s="36" t="s">
        <v>158</v>
      </c>
      <c r="F244" s="36" t="s">
        <v>158</v>
      </c>
      <c r="G244" s="36" t="s">
        <v>158</v>
      </c>
      <c r="H244" s="36" t="s">
        <v>158</v>
      </c>
      <c r="I244" s="36" t="s">
        <v>158</v>
      </c>
      <c r="J244" s="36" t="s">
        <v>158</v>
      </c>
      <c r="K244" s="36" t="s">
        <v>158</v>
      </c>
      <c r="L244" s="36" t="s">
        <v>158</v>
      </c>
      <c r="M244" s="36" t="s">
        <v>158</v>
      </c>
      <c r="N244" s="36" t="s">
        <v>158</v>
      </c>
      <c r="O244" s="35"/>
    </row>
    <row r="245" customFormat="false" ht="18" hidden="false" customHeight="true" outlineLevel="0" collapsed="false">
      <c r="A245" s="30" t="s">
        <v>106</v>
      </c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</row>
    <row r="246" customFormat="false" ht="16.5" hidden="false" customHeight="true" outlineLevel="1" collapsed="false">
      <c r="A246" s="32" t="s">
        <v>107</v>
      </c>
      <c r="B246" s="39" t="n">
        <v>145090</v>
      </c>
      <c r="C246" s="39" t="n">
        <v>190900</v>
      </c>
      <c r="D246" s="39" t="n">
        <v>60229</v>
      </c>
      <c r="E246" s="39" t="n">
        <v>64861</v>
      </c>
      <c r="F246" s="39" t="n">
        <v>203831</v>
      </c>
      <c r="G246" s="39" t="n">
        <v>194566</v>
      </c>
      <c r="H246" s="39" t="n">
        <v>232764</v>
      </c>
      <c r="I246" s="39" t="n">
        <v>46328</v>
      </c>
      <c r="J246" s="39" t="n">
        <v>25944</v>
      </c>
      <c r="K246" s="39" t="n">
        <v>370600</v>
      </c>
      <c r="L246" s="39" t="n">
        <v>148251</v>
      </c>
      <c r="M246" s="39" t="n">
        <v>27334</v>
      </c>
      <c r="N246" s="39" t="n">
        <v>69490</v>
      </c>
      <c r="O246" s="40" t="n">
        <f aca="false">B246+C246+D246+E246+F246+G246+H246+I246+J246+K246+L246+M246+N246</f>
        <v>1780188</v>
      </c>
    </row>
    <row r="247" customFormat="false" ht="16.5" hidden="false" customHeight="true" outlineLevel="1" collapsed="false">
      <c r="A247" s="32" t="s">
        <v>108</v>
      </c>
      <c r="B247" s="41" t="n">
        <v>145090</v>
      </c>
      <c r="C247" s="41" t="n">
        <v>190900</v>
      </c>
      <c r="D247" s="41" t="n">
        <v>60229</v>
      </c>
      <c r="E247" s="41" t="n">
        <v>64859</v>
      </c>
      <c r="F247" s="41" t="n">
        <v>203831</v>
      </c>
      <c r="G247" s="41" t="n">
        <v>194566</v>
      </c>
      <c r="H247" s="41" t="n">
        <v>232764</v>
      </c>
      <c r="I247" s="41" t="n">
        <v>46328</v>
      </c>
      <c r="J247" s="41" t="n">
        <v>25943</v>
      </c>
      <c r="K247" s="41" t="n">
        <v>370600</v>
      </c>
      <c r="L247" s="41" t="n">
        <v>148251</v>
      </c>
      <c r="M247" s="41" t="n">
        <v>27332</v>
      </c>
      <c r="N247" s="41" t="n">
        <v>69491</v>
      </c>
      <c r="O247" s="40" t="n">
        <f aca="false">B247+C247+D247+E247+F247+G247+H247+I247+J247+K247+L247+M247+N247</f>
        <v>1780184</v>
      </c>
    </row>
    <row r="248" customFormat="false" ht="16.5" hidden="false" customHeight="true" outlineLevel="1" collapsed="false">
      <c r="A248" s="32" t="s">
        <v>109</v>
      </c>
      <c r="B248" s="36" t="s">
        <v>105</v>
      </c>
      <c r="C248" s="36" t="s">
        <v>105</v>
      </c>
      <c r="D248" s="36" t="s">
        <v>105</v>
      </c>
      <c r="E248" s="36" t="s">
        <v>105</v>
      </c>
      <c r="F248" s="36" t="s">
        <v>105</v>
      </c>
      <c r="G248" s="36" t="s">
        <v>105</v>
      </c>
      <c r="H248" s="36" t="s">
        <v>105</v>
      </c>
      <c r="I248" s="36" t="s">
        <v>105</v>
      </c>
      <c r="J248" s="36" t="s">
        <v>105</v>
      </c>
      <c r="K248" s="36" t="s">
        <v>105</v>
      </c>
      <c r="L248" s="36" t="s">
        <v>105</v>
      </c>
      <c r="M248" s="36" t="s">
        <v>105</v>
      </c>
      <c r="N248" s="36" t="s">
        <v>105</v>
      </c>
      <c r="O248" s="35"/>
    </row>
    <row r="249" customFormat="false" ht="18" hidden="false" customHeight="true" outlineLevel="0" collapsed="false">
      <c r="A249" s="30" t="s">
        <v>111</v>
      </c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</row>
    <row r="250" customFormat="false" ht="16.5" hidden="false" customHeight="true" outlineLevel="1" collapsed="false">
      <c r="A250" s="32" t="s">
        <v>112</v>
      </c>
      <c r="B250" s="39" t="n">
        <v>0</v>
      </c>
      <c r="C250" s="39" t="n">
        <v>0</v>
      </c>
      <c r="D250" s="39" t="n">
        <v>0</v>
      </c>
      <c r="E250" s="39" t="n">
        <v>0</v>
      </c>
      <c r="F250" s="39" t="n">
        <v>0</v>
      </c>
      <c r="G250" s="39" t="n">
        <v>0</v>
      </c>
      <c r="H250" s="39" t="n">
        <v>0</v>
      </c>
      <c r="I250" s="39" t="n">
        <v>0</v>
      </c>
      <c r="J250" s="39" t="n">
        <v>0</v>
      </c>
      <c r="K250" s="39" t="n">
        <v>0</v>
      </c>
      <c r="L250" s="39" t="n">
        <v>0</v>
      </c>
      <c r="M250" s="39" t="n">
        <v>0</v>
      </c>
      <c r="N250" s="39" t="n">
        <v>0</v>
      </c>
      <c r="O250" s="40" t="n">
        <f aca="false">B250+C250+D250+E250+F250+G250+H250+I250+J250+K250+L250+M250+N250</f>
        <v>0</v>
      </c>
    </row>
    <row r="251" customFormat="false" ht="16.5" hidden="false" customHeight="true" outlineLevel="1" collapsed="false">
      <c r="A251" s="32" t="s">
        <v>113</v>
      </c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0" t="n">
        <f aca="false">B251+C251+D251+E251+F251+G251+H251+I251+J251+K251+L251+M251+N251</f>
        <v>0</v>
      </c>
    </row>
    <row r="252" customFormat="false" ht="16.5" hidden="false" customHeight="true" outlineLevel="1" collapsed="false">
      <c r="A252" s="32" t="s">
        <v>114</v>
      </c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5"/>
    </row>
    <row r="253" customFormat="false" ht="18" hidden="false" customHeight="true" outlineLevel="0" collapsed="false">
      <c r="A253" s="30" t="s">
        <v>115</v>
      </c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</row>
    <row r="254" customFormat="false" ht="16.5" hidden="false" customHeight="true" outlineLevel="1" collapsed="false">
      <c r="A254" s="32" t="s">
        <v>116</v>
      </c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40" t="n">
        <f aca="false">B254+C254+D254+E254+F254+G254+H254+I254+J254+K254+L254+M254+N254</f>
        <v>0</v>
      </c>
    </row>
    <row r="255" customFormat="false" ht="16.5" hidden="false" customHeight="true" outlineLevel="1" collapsed="false">
      <c r="A255" s="32" t="s">
        <v>117</v>
      </c>
      <c r="B255" s="41" t="n">
        <v>0</v>
      </c>
      <c r="C255" s="41" t="n">
        <v>0</v>
      </c>
      <c r="D255" s="41" t="n">
        <v>0</v>
      </c>
      <c r="E255" s="41" t="n">
        <v>1</v>
      </c>
      <c r="F255" s="41" t="n">
        <v>0</v>
      </c>
      <c r="G255" s="41" t="n">
        <v>0</v>
      </c>
      <c r="H255" s="41" t="n">
        <v>0</v>
      </c>
      <c r="I255" s="41" t="n">
        <v>0</v>
      </c>
      <c r="J255" s="41" t="n">
        <v>0</v>
      </c>
      <c r="K255" s="41" t="n">
        <v>0</v>
      </c>
      <c r="L255" s="41" t="n">
        <v>0</v>
      </c>
      <c r="M255" s="41" t="n">
        <v>1</v>
      </c>
      <c r="N255" s="41" t="n">
        <v>-1</v>
      </c>
      <c r="O255" s="40" t="n">
        <f aca="false">B255+C255+D255+E255+F255+G255+H255+I255+J255+K255+L255+M255+N255</f>
        <v>1</v>
      </c>
    </row>
    <row r="256" customFormat="false" ht="18" hidden="false" customHeight="true" outlineLevel="0" collapsed="false">
      <c r="A256" s="30" t="s">
        <v>118</v>
      </c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</row>
    <row r="257" customFormat="false" ht="16.5" hidden="false" customHeight="true" outlineLevel="1" collapsed="false">
      <c r="A257" s="32" t="s">
        <v>119</v>
      </c>
      <c r="B257" s="38" t="s">
        <v>159</v>
      </c>
      <c r="C257" s="38" t="s">
        <v>160</v>
      </c>
      <c r="D257" s="38" t="s">
        <v>161</v>
      </c>
      <c r="E257" s="38" t="s">
        <v>162</v>
      </c>
      <c r="F257" s="38" t="s">
        <v>163</v>
      </c>
      <c r="G257" s="38" t="s">
        <v>164</v>
      </c>
      <c r="H257" s="38" t="s">
        <v>165</v>
      </c>
      <c r="I257" s="38" t="s">
        <v>166</v>
      </c>
      <c r="J257" s="38" t="s">
        <v>167</v>
      </c>
      <c r="K257" s="38" t="s">
        <v>168</v>
      </c>
      <c r="L257" s="38" t="s">
        <v>169</v>
      </c>
      <c r="M257" s="38" t="s">
        <v>170</v>
      </c>
      <c r="N257" s="38" t="s">
        <v>171</v>
      </c>
      <c r="O257" s="35"/>
    </row>
    <row r="258" customFormat="false" ht="16.5" hidden="false" customHeight="true" outlineLevel="1" collapsed="false">
      <c r="A258" s="32" t="s">
        <v>121</v>
      </c>
      <c r="B258" s="36" t="n">
        <v>1800003302</v>
      </c>
      <c r="C258" s="36" t="n">
        <v>1800003303</v>
      </c>
      <c r="D258" s="36" t="n">
        <v>1800003304</v>
      </c>
      <c r="E258" s="36" t="n">
        <v>1800003305</v>
      </c>
      <c r="F258" s="36" t="n">
        <v>1800003306</v>
      </c>
      <c r="G258" s="36" t="n">
        <v>1800003307</v>
      </c>
      <c r="H258" s="36" t="n">
        <v>1800003308</v>
      </c>
      <c r="I258" s="36" t="n">
        <v>1800003309</v>
      </c>
      <c r="J258" s="36" t="n">
        <v>1800003310</v>
      </c>
      <c r="K258" s="36" t="n">
        <v>1800003311</v>
      </c>
      <c r="L258" s="36" t="n">
        <v>1800003312</v>
      </c>
      <c r="M258" s="36" t="n">
        <v>1800003313</v>
      </c>
      <c r="N258" s="36" t="n">
        <v>1800003314</v>
      </c>
      <c r="O258" s="35"/>
    </row>
    <row r="259" customFormat="false" ht="16.5" hidden="false" customHeight="true" outlineLevel="1" collapsed="false">
      <c r="A259" s="32" t="s">
        <v>122</v>
      </c>
      <c r="B259" s="38" t="s">
        <v>131</v>
      </c>
      <c r="C259" s="38" t="s">
        <v>131</v>
      </c>
      <c r="D259" s="38" t="s">
        <v>131</v>
      </c>
      <c r="E259" s="38" t="s">
        <v>131</v>
      </c>
      <c r="F259" s="38" t="s">
        <v>131</v>
      </c>
      <c r="G259" s="38" t="s">
        <v>131</v>
      </c>
      <c r="H259" s="38" t="s">
        <v>131</v>
      </c>
      <c r="I259" s="38" t="s">
        <v>131</v>
      </c>
      <c r="J259" s="38" t="s">
        <v>131</v>
      </c>
      <c r="K259" s="38" t="s">
        <v>131</v>
      </c>
      <c r="L259" s="38" t="s">
        <v>131</v>
      </c>
      <c r="M259" s="38" t="s">
        <v>131</v>
      </c>
      <c r="N259" s="38" t="s">
        <v>131</v>
      </c>
      <c r="O259" s="35"/>
    </row>
    <row r="260" customFormat="false" ht="19.5" hidden="false" customHeight="true" outlineLevel="0" collapsed="false">
      <c r="A260" s="43" t="s">
        <v>172</v>
      </c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5" t="n">
        <v>1921410</v>
      </c>
    </row>
    <row r="261" customFormat="false" ht="6" hidden="false" customHeight="true" outlineLevel="0" collapsed="false"/>
    <row r="262" customFormat="false" ht="25.5" hidden="false" customHeight="true" outlineLevel="0" collapsed="false">
      <c r="A262" s="25" t="s">
        <v>173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</row>
    <row r="263" customFormat="false" ht="18" hidden="false" customHeight="true" outlineLevel="0" collapsed="false">
      <c r="A263" s="26" t="s">
        <v>77</v>
      </c>
      <c r="B263" s="27" t="n">
        <v>2022</v>
      </c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9" t="s">
        <v>78</v>
      </c>
    </row>
    <row r="264" customFormat="false" ht="18" hidden="false" customHeight="true" outlineLevel="0" collapsed="false">
      <c r="A264" s="30" t="s">
        <v>79</v>
      </c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</row>
    <row r="265" customFormat="false" ht="16.5" hidden="false" customHeight="true" outlineLevel="1" collapsed="false">
      <c r="A265" s="32" t="s">
        <v>80</v>
      </c>
      <c r="B265" s="33" t="n">
        <v>2022</v>
      </c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5"/>
    </row>
    <row r="266" customFormat="false" ht="16.5" hidden="false" customHeight="true" outlineLevel="1" collapsed="false">
      <c r="A266" s="32" t="s">
        <v>81</v>
      </c>
      <c r="B266" s="36" t="s">
        <v>140</v>
      </c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5"/>
    </row>
    <row r="267" customFormat="false" ht="16.5" hidden="false" customHeight="true" outlineLevel="1" collapsed="false">
      <c r="A267" s="32" t="s">
        <v>83</v>
      </c>
      <c r="B267" s="33" t="n">
        <v>21978</v>
      </c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5"/>
    </row>
    <row r="268" customFormat="false" ht="16.5" hidden="false" customHeight="true" outlineLevel="1" collapsed="false">
      <c r="A268" s="32" t="s">
        <v>84</v>
      </c>
      <c r="B268" s="37" t="n">
        <v>3</v>
      </c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5"/>
    </row>
    <row r="269" customFormat="false" ht="16.5" hidden="false" customHeight="true" outlineLevel="1" collapsed="false">
      <c r="A269" s="32" t="s">
        <v>85</v>
      </c>
      <c r="B269" s="38" t="s">
        <v>135</v>
      </c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5"/>
    </row>
    <row r="270" customFormat="false" ht="16.5" hidden="false" customHeight="true" outlineLevel="1" collapsed="false">
      <c r="A270" s="32" t="s">
        <v>87</v>
      </c>
      <c r="B270" s="39" t="n">
        <v>110200</v>
      </c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5"/>
    </row>
    <row r="271" customFormat="false" ht="18" hidden="false" customHeight="true" outlineLevel="0" collapsed="false">
      <c r="A271" s="30" t="s">
        <v>88</v>
      </c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</row>
    <row r="272" customFormat="false" ht="16.5" hidden="false" customHeight="true" outlineLevel="1" collapsed="false">
      <c r="A272" s="32" t="s">
        <v>89</v>
      </c>
      <c r="B272" s="39" t="n">
        <v>330600</v>
      </c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40" t="n">
        <f aca="false">B272</f>
        <v>330600</v>
      </c>
    </row>
    <row r="273" customFormat="false" ht="16.5" hidden="false" customHeight="true" outlineLevel="1" collapsed="false">
      <c r="A273" s="32" t="s">
        <v>90</v>
      </c>
      <c r="B273" s="41" t="n">
        <v>59508</v>
      </c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40" t="n">
        <f aca="false">B273</f>
        <v>59508</v>
      </c>
    </row>
    <row r="274" customFormat="false" ht="16.5" hidden="false" customHeight="true" outlineLevel="1" collapsed="false">
      <c r="A274" s="32" t="s">
        <v>91</v>
      </c>
      <c r="B274" s="39" t="n">
        <v>390108</v>
      </c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40" t="n">
        <f aca="false">B274</f>
        <v>390108</v>
      </c>
    </row>
    <row r="275" customFormat="false" ht="16.5" hidden="false" customHeight="true" outlineLevel="1" collapsed="false">
      <c r="A275" s="32" t="s">
        <v>92</v>
      </c>
      <c r="B275" s="41" t="n">
        <v>7802</v>
      </c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40" t="n">
        <f aca="false">B275</f>
        <v>7802</v>
      </c>
    </row>
    <row r="276" customFormat="false" ht="16.5" hidden="false" customHeight="true" outlineLevel="1" collapsed="false">
      <c r="A276" s="32" t="s">
        <v>93</v>
      </c>
      <c r="B276" s="39" t="n">
        <v>330.6</v>
      </c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40" t="n">
        <f aca="false">B276</f>
        <v>330.6</v>
      </c>
    </row>
    <row r="277" customFormat="false" ht="16.5" hidden="false" customHeight="true" outlineLevel="1" collapsed="false">
      <c r="A277" s="32" t="s">
        <v>94</v>
      </c>
      <c r="B277" s="41" t="n">
        <v>8777.43</v>
      </c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40" t="n">
        <f aca="false">B277</f>
        <v>8777.43</v>
      </c>
    </row>
    <row r="278" customFormat="false" ht="16.5" hidden="false" customHeight="true" outlineLevel="1" collapsed="false">
      <c r="A278" s="32" t="s">
        <v>95</v>
      </c>
      <c r="B278" s="39" t="n">
        <v>148.77</v>
      </c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40" t="n">
        <f aca="false">B278</f>
        <v>148.77</v>
      </c>
    </row>
    <row r="279" customFormat="false" ht="16.5" hidden="false" customHeight="true" outlineLevel="1" collapsed="false">
      <c r="A279" s="32" t="s">
        <v>96</v>
      </c>
      <c r="B279" s="41" t="n">
        <v>8628.66</v>
      </c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40" t="n">
        <f aca="false">B279</f>
        <v>8628.66</v>
      </c>
    </row>
    <row r="280" customFormat="false" ht="16.5" hidden="false" customHeight="true" outlineLevel="1" collapsed="false">
      <c r="A280" s="32" t="s">
        <v>97</v>
      </c>
      <c r="B280" s="39" t="n">
        <v>8959</v>
      </c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40" t="n">
        <f aca="false">B280</f>
        <v>8959</v>
      </c>
    </row>
    <row r="281" customFormat="false" ht="16.5" hidden="false" customHeight="true" outlineLevel="1" collapsed="false">
      <c r="A281" s="32" t="s">
        <v>98</v>
      </c>
      <c r="B281" s="42" t="n">
        <v>0</v>
      </c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5"/>
    </row>
    <row r="282" customFormat="false" ht="16.5" hidden="false" customHeight="true" outlineLevel="1" collapsed="false">
      <c r="A282" s="32" t="s">
        <v>99</v>
      </c>
      <c r="B282" s="39" t="n">
        <v>0</v>
      </c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40" t="n">
        <f aca="false">B282</f>
        <v>0</v>
      </c>
    </row>
    <row r="283" customFormat="false" ht="16.5" hidden="false" customHeight="true" outlineLevel="1" collapsed="false">
      <c r="A283" s="32" t="s">
        <v>100</v>
      </c>
      <c r="B283" s="41" t="n">
        <v>388951</v>
      </c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40" t="n">
        <f aca="false">B283</f>
        <v>388951</v>
      </c>
    </row>
    <row r="284" customFormat="false" ht="18" hidden="false" customHeight="true" outlineLevel="0" collapsed="false">
      <c r="A284" s="30" t="s">
        <v>101</v>
      </c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</row>
    <row r="285" customFormat="false" ht="16.5" hidden="false" customHeight="true" outlineLevel="1" collapsed="false">
      <c r="A285" s="32" t="s">
        <v>102</v>
      </c>
      <c r="B285" s="41" t="n">
        <v>82650</v>
      </c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40" t="n">
        <f aca="false">B285</f>
        <v>82650</v>
      </c>
    </row>
    <row r="286" customFormat="false" ht="16.5" hidden="false" customHeight="true" outlineLevel="1" collapsed="false">
      <c r="A286" s="32" t="s">
        <v>103</v>
      </c>
      <c r="B286" s="39" t="n">
        <v>82650</v>
      </c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40" t="n">
        <f aca="false">B286</f>
        <v>82650</v>
      </c>
    </row>
    <row r="287" customFormat="false" ht="16.5" hidden="false" customHeight="true" outlineLevel="1" collapsed="false">
      <c r="A287" s="32" t="s">
        <v>104</v>
      </c>
      <c r="B287" s="38" t="s">
        <v>136</v>
      </c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5"/>
    </row>
    <row r="288" customFormat="false" ht="18" hidden="false" customHeight="true" outlineLevel="0" collapsed="false">
      <c r="A288" s="30" t="s">
        <v>106</v>
      </c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</row>
    <row r="289" customFormat="false" ht="16.5" hidden="false" customHeight="true" outlineLevel="1" collapsed="false">
      <c r="A289" s="32" t="s">
        <v>107</v>
      </c>
      <c r="B289" s="41" t="n">
        <v>306301</v>
      </c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40" t="n">
        <f aca="false">B289</f>
        <v>306301</v>
      </c>
    </row>
    <row r="290" customFormat="false" ht="16.5" hidden="false" customHeight="true" outlineLevel="1" collapsed="false">
      <c r="A290" s="32" t="s">
        <v>108</v>
      </c>
      <c r="B290" s="39" t="n">
        <v>306301</v>
      </c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40" t="n">
        <f aca="false">B290</f>
        <v>306301</v>
      </c>
    </row>
    <row r="291" customFormat="false" ht="16.5" hidden="false" customHeight="true" outlineLevel="1" collapsed="false">
      <c r="A291" s="32" t="s">
        <v>109</v>
      </c>
      <c r="B291" s="38" t="s">
        <v>174</v>
      </c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5"/>
    </row>
    <row r="292" customFormat="false" ht="18" hidden="false" customHeight="true" outlineLevel="0" collapsed="false">
      <c r="A292" s="30" t="s">
        <v>111</v>
      </c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</row>
    <row r="293" customFormat="false" ht="16.5" hidden="false" customHeight="true" outlineLevel="1" collapsed="false">
      <c r="A293" s="32" t="s">
        <v>112</v>
      </c>
      <c r="B293" s="41" t="n">
        <v>0</v>
      </c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40" t="n">
        <f aca="false">B293</f>
        <v>0</v>
      </c>
    </row>
    <row r="294" customFormat="false" ht="16.5" hidden="false" customHeight="true" outlineLevel="1" collapsed="false">
      <c r="A294" s="32" t="s">
        <v>113</v>
      </c>
      <c r="B294" s="39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40" t="n">
        <f aca="false">B294</f>
        <v>0</v>
      </c>
    </row>
    <row r="295" customFormat="false" ht="16.5" hidden="false" customHeight="true" outlineLevel="1" collapsed="false">
      <c r="A295" s="32" t="s">
        <v>114</v>
      </c>
      <c r="B295" s="38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5"/>
    </row>
    <row r="296" customFormat="false" ht="18" hidden="false" customHeight="true" outlineLevel="0" collapsed="false">
      <c r="A296" s="30" t="s">
        <v>115</v>
      </c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</row>
    <row r="297" customFormat="false" ht="16.5" hidden="false" customHeight="true" outlineLevel="1" collapsed="false">
      <c r="A297" s="32" t="s">
        <v>116</v>
      </c>
      <c r="B297" s="41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40" t="n">
        <f aca="false">B297</f>
        <v>0</v>
      </c>
    </row>
    <row r="298" customFormat="false" ht="16.5" hidden="false" customHeight="true" outlineLevel="1" collapsed="false">
      <c r="A298" s="32" t="s">
        <v>117</v>
      </c>
      <c r="B298" s="39" t="n">
        <v>0</v>
      </c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40" t="n">
        <f aca="false">B298</f>
        <v>0</v>
      </c>
    </row>
    <row r="299" customFormat="false" ht="18" hidden="false" customHeight="true" outlineLevel="0" collapsed="false">
      <c r="A299" s="30" t="s">
        <v>118</v>
      </c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</row>
    <row r="300" customFormat="false" ht="16.5" hidden="false" customHeight="true" outlineLevel="1" collapsed="false">
      <c r="A300" s="32" t="s">
        <v>119</v>
      </c>
      <c r="B300" s="36" t="s">
        <v>175</v>
      </c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5"/>
    </row>
    <row r="301" customFormat="false" ht="16.5" hidden="false" customHeight="true" outlineLevel="1" collapsed="false">
      <c r="A301" s="32" t="s">
        <v>121</v>
      </c>
      <c r="B301" s="38" t="n">
        <v>1800003269</v>
      </c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5"/>
    </row>
    <row r="302" customFormat="false" ht="16.5" hidden="false" customHeight="true" outlineLevel="1" collapsed="false">
      <c r="A302" s="32" t="s">
        <v>122</v>
      </c>
      <c r="B302" s="36" t="s">
        <v>105</v>
      </c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5"/>
    </row>
    <row r="303" customFormat="false" ht="19.5" hidden="false" customHeight="true" outlineLevel="0" collapsed="false">
      <c r="A303" s="43" t="s">
        <v>176</v>
      </c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5" t="n">
        <v>330600</v>
      </c>
    </row>
    <row r="304" customFormat="false" ht="6" hidden="false" customHeight="true" outlineLevel="0" collapsed="false"/>
    <row r="305" customFormat="false" ht="25.5" hidden="false" customHeight="true" outlineLevel="0" collapsed="false">
      <c r="A305" s="25" t="s">
        <v>177</v>
      </c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</row>
    <row r="306" customFormat="false" ht="18" hidden="false" customHeight="true" outlineLevel="0" collapsed="false">
      <c r="A306" s="26" t="s">
        <v>77</v>
      </c>
      <c r="B306" s="27" t="n">
        <v>1923</v>
      </c>
      <c r="C306" s="27" t="n">
        <v>2020</v>
      </c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9" t="s">
        <v>78</v>
      </c>
    </row>
    <row r="307" customFormat="false" ht="18" hidden="false" customHeight="true" outlineLevel="0" collapsed="false">
      <c r="A307" s="30" t="s">
        <v>79</v>
      </c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</row>
    <row r="308" customFormat="false" ht="16.5" hidden="false" customHeight="true" outlineLevel="1" collapsed="false">
      <c r="A308" s="32" t="s">
        <v>80</v>
      </c>
      <c r="B308" s="37" t="n">
        <v>1923</v>
      </c>
      <c r="C308" s="37" t="n">
        <v>2020</v>
      </c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5"/>
    </row>
    <row r="309" customFormat="false" ht="16.5" hidden="false" customHeight="true" outlineLevel="1" collapsed="false">
      <c r="A309" s="32" t="s">
        <v>81</v>
      </c>
      <c r="B309" s="38" t="s">
        <v>178</v>
      </c>
      <c r="C309" s="38" t="s">
        <v>179</v>
      </c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5"/>
    </row>
    <row r="310" customFormat="false" ht="16.5" hidden="false" customHeight="true" outlineLevel="1" collapsed="false">
      <c r="A310" s="32" t="s">
        <v>83</v>
      </c>
      <c r="B310" s="37" t="n">
        <v>21980</v>
      </c>
      <c r="C310" s="37" t="n">
        <v>21978</v>
      </c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5"/>
    </row>
    <row r="311" customFormat="false" ht="16.5" hidden="false" customHeight="true" outlineLevel="1" collapsed="false">
      <c r="A311" s="32" t="s">
        <v>84</v>
      </c>
      <c r="B311" s="33" t="n">
        <v>7253</v>
      </c>
      <c r="C311" s="33" t="n">
        <v>3500</v>
      </c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5"/>
    </row>
    <row r="312" customFormat="false" ht="16.5" hidden="false" customHeight="true" outlineLevel="1" collapsed="false">
      <c r="A312" s="32" t="s">
        <v>85</v>
      </c>
      <c r="B312" s="36" t="s">
        <v>86</v>
      </c>
      <c r="C312" s="36" t="s">
        <v>86</v>
      </c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5"/>
    </row>
    <row r="313" customFormat="false" ht="16.5" hidden="false" customHeight="true" outlineLevel="1" collapsed="false">
      <c r="A313" s="32" t="s">
        <v>87</v>
      </c>
      <c r="B313" s="41" t="n">
        <v>227</v>
      </c>
      <c r="C313" s="41" t="n">
        <v>333</v>
      </c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5"/>
    </row>
    <row r="314" customFormat="false" ht="18" hidden="false" customHeight="true" outlineLevel="0" collapsed="false">
      <c r="A314" s="30" t="s">
        <v>88</v>
      </c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</row>
    <row r="315" customFormat="false" ht="16.5" hidden="false" customHeight="true" outlineLevel="1" collapsed="false">
      <c r="A315" s="32" t="s">
        <v>89</v>
      </c>
      <c r="B315" s="41" t="n">
        <v>1646431</v>
      </c>
      <c r="C315" s="41" t="n">
        <v>1165500</v>
      </c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40" t="n">
        <f aca="false">B315+C315</f>
        <v>2811931</v>
      </c>
    </row>
    <row r="316" customFormat="false" ht="16.5" hidden="false" customHeight="true" outlineLevel="1" collapsed="false">
      <c r="A316" s="32" t="s">
        <v>90</v>
      </c>
      <c r="B316" s="39" t="n">
        <v>296358</v>
      </c>
      <c r="C316" s="39" t="n">
        <v>209790</v>
      </c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40" t="n">
        <f aca="false">B316+C316</f>
        <v>506148</v>
      </c>
    </row>
    <row r="317" customFormat="false" ht="16.5" hidden="false" customHeight="true" outlineLevel="1" collapsed="false">
      <c r="A317" s="32" t="s">
        <v>91</v>
      </c>
      <c r="B317" s="41" t="n">
        <v>1942789</v>
      </c>
      <c r="C317" s="41" t="n">
        <v>1375290</v>
      </c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40" t="n">
        <f aca="false">B317+C317</f>
        <v>3318079</v>
      </c>
    </row>
    <row r="318" customFormat="false" ht="16.5" hidden="false" customHeight="true" outlineLevel="1" collapsed="false">
      <c r="A318" s="32" t="s">
        <v>92</v>
      </c>
      <c r="B318" s="39" t="n">
        <v>38856</v>
      </c>
      <c r="C318" s="39" t="n">
        <v>27506</v>
      </c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40" t="n">
        <f aca="false">B318+C318</f>
        <v>66362</v>
      </c>
    </row>
    <row r="319" customFormat="false" ht="16.5" hidden="false" customHeight="true" outlineLevel="1" collapsed="false">
      <c r="A319" s="32" t="s">
        <v>93</v>
      </c>
      <c r="B319" s="41" t="n">
        <v>1646.431</v>
      </c>
      <c r="C319" s="41" t="n">
        <v>1165.5</v>
      </c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40" t="n">
        <f aca="false">B319+C319</f>
        <v>2811.931</v>
      </c>
    </row>
    <row r="320" customFormat="false" ht="16.5" hidden="false" customHeight="true" outlineLevel="1" collapsed="false">
      <c r="A320" s="32" t="s">
        <v>94</v>
      </c>
      <c r="B320" s="39" t="n">
        <v>43712.74305</v>
      </c>
      <c r="C320" s="39" t="n">
        <v>30944.025</v>
      </c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40" t="n">
        <f aca="false">B320+C320</f>
        <v>74656.76805</v>
      </c>
    </row>
    <row r="321" customFormat="false" ht="16.5" hidden="false" customHeight="true" outlineLevel="1" collapsed="false">
      <c r="A321" s="32" t="s">
        <v>95</v>
      </c>
      <c r="B321" s="41" t="n">
        <v>740.89395</v>
      </c>
      <c r="C321" s="41" t="n">
        <v>524.475</v>
      </c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40" t="n">
        <f aca="false">B321+C321</f>
        <v>1265.36895</v>
      </c>
    </row>
    <row r="322" customFormat="false" ht="16.5" hidden="false" customHeight="true" outlineLevel="1" collapsed="false">
      <c r="A322" s="32" t="s">
        <v>96</v>
      </c>
      <c r="B322" s="39" t="n">
        <v>42971.8491</v>
      </c>
      <c r="C322" s="39" t="n">
        <v>30419.55</v>
      </c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40" t="n">
        <f aca="false">B322+C322</f>
        <v>73391.3991</v>
      </c>
    </row>
    <row r="323" customFormat="false" ht="16.5" hidden="false" customHeight="true" outlineLevel="1" collapsed="false">
      <c r="A323" s="32" t="s">
        <v>97</v>
      </c>
      <c r="B323" s="41" t="n">
        <v>44618</v>
      </c>
      <c r="C323" s="41" t="n">
        <v>31585</v>
      </c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40" t="n">
        <f aca="false">B323+C323</f>
        <v>76203</v>
      </c>
    </row>
    <row r="324" customFormat="false" ht="16.5" hidden="false" customHeight="true" outlineLevel="1" collapsed="false">
      <c r="A324" s="32" t="s">
        <v>98</v>
      </c>
      <c r="B324" s="46" t="n">
        <v>0.02</v>
      </c>
      <c r="C324" s="46" t="n">
        <v>0.02</v>
      </c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5"/>
    </row>
    <row r="325" customFormat="false" ht="16.5" hidden="false" customHeight="true" outlineLevel="1" collapsed="false">
      <c r="A325" s="32" t="s">
        <v>99</v>
      </c>
      <c r="B325" s="41" t="n">
        <v>32929</v>
      </c>
      <c r="C325" s="41" t="n">
        <v>23310</v>
      </c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40" t="n">
        <f aca="false">B325+C325</f>
        <v>56239</v>
      </c>
    </row>
    <row r="326" customFormat="false" ht="16.5" hidden="false" customHeight="true" outlineLevel="1" collapsed="false">
      <c r="A326" s="32" t="s">
        <v>100</v>
      </c>
      <c r="B326" s="39" t="n">
        <v>1904097</v>
      </c>
      <c r="C326" s="39" t="n">
        <v>1347901</v>
      </c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40" t="n">
        <f aca="false">B326+C326</f>
        <v>3251998</v>
      </c>
    </row>
    <row r="327" customFormat="false" ht="18" hidden="false" customHeight="true" outlineLevel="0" collapsed="false">
      <c r="A327" s="30" t="s">
        <v>101</v>
      </c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</row>
    <row r="328" customFormat="false" ht="16.5" hidden="false" customHeight="true" outlineLevel="1" collapsed="false">
      <c r="A328" s="32" t="s">
        <v>102</v>
      </c>
      <c r="B328" s="39" t="n">
        <v>411608</v>
      </c>
      <c r="C328" s="39" t="n">
        <v>291375</v>
      </c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40" t="n">
        <f aca="false">B328+C328</f>
        <v>702983</v>
      </c>
    </row>
    <row r="329" customFormat="false" ht="16.5" hidden="false" customHeight="true" outlineLevel="1" collapsed="false">
      <c r="A329" s="32" t="s">
        <v>103</v>
      </c>
      <c r="B329" s="41" t="n">
        <v>411608</v>
      </c>
      <c r="C329" s="41" t="n">
        <v>291375</v>
      </c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40" t="n">
        <f aca="false">B329+C329</f>
        <v>702983</v>
      </c>
    </row>
    <row r="330" customFormat="false" ht="16.5" hidden="false" customHeight="true" outlineLevel="1" collapsed="false">
      <c r="A330" s="32" t="s">
        <v>104</v>
      </c>
      <c r="B330" s="36" t="s">
        <v>136</v>
      </c>
      <c r="C330" s="36" t="s">
        <v>180</v>
      </c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5"/>
    </row>
    <row r="331" customFormat="false" ht="18" hidden="false" customHeight="true" outlineLevel="0" collapsed="false">
      <c r="A331" s="30" t="s">
        <v>106</v>
      </c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</row>
    <row r="332" customFormat="false" ht="16.5" hidden="false" customHeight="true" outlineLevel="1" collapsed="false">
      <c r="A332" s="32" t="s">
        <v>107</v>
      </c>
      <c r="B332" s="39" t="n">
        <v>1492489</v>
      </c>
      <c r="C332" s="39" t="n">
        <v>1056526</v>
      </c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40" t="n">
        <f aca="false">B332+C332</f>
        <v>2549015</v>
      </c>
    </row>
    <row r="333" customFormat="false" ht="16.5" hidden="false" customHeight="true" outlineLevel="1" collapsed="false">
      <c r="A333" s="32" t="s">
        <v>108</v>
      </c>
      <c r="B333" s="41" t="n">
        <v>1492490</v>
      </c>
      <c r="C333" s="41" t="n">
        <v>1056525</v>
      </c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40" t="n">
        <f aca="false">B333+C333</f>
        <v>2549015</v>
      </c>
    </row>
    <row r="334" customFormat="false" ht="16.5" hidden="false" customHeight="true" outlineLevel="1" collapsed="false">
      <c r="A334" s="32" t="s">
        <v>109</v>
      </c>
      <c r="B334" s="36" t="s">
        <v>105</v>
      </c>
      <c r="C334" s="36" t="s">
        <v>180</v>
      </c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5"/>
    </row>
    <row r="335" customFormat="false" ht="18" hidden="false" customHeight="true" outlineLevel="0" collapsed="false">
      <c r="A335" s="30" t="s">
        <v>111</v>
      </c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</row>
    <row r="336" customFormat="false" ht="16.5" hidden="false" customHeight="true" outlineLevel="1" collapsed="false">
      <c r="A336" s="32" t="s">
        <v>112</v>
      </c>
      <c r="B336" s="39" t="n">
        <v>0</v>
      </c>
      <c r="C336" s="39" t="n">
        <v>0</v>
      </c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40" t="n">
        <f aca="false">B336+C336</f>
        <v>0</v>
      </c>
    </row>
    <row r="337" customFormat="false" ht="16.5" hidden="false" customHeight="true" outlineLevel="1" collapsed="false">
      <c r="A337" s="32" t="s">
        <v>113</v>
      </c>
      <c r="B337" s="41"/>
      <c r="C337" s="41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40" t="n">
        <f aca="false">B337+C337</f>
        <v>0</v>
      </c>
    </row>
    <row r="338" customFormat="false" ht="16.5" hidden="false" customHeight="true" outlineLevel="1" collapsed="false">
      <c r="A338" s="32" t="s">
        <v>114</v>
      </c>
      <c r="B338" s="36"/>
      <c r="C338" s="36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5"/>
    </row>
    <row r="339" customFormat="false" ht="18" hidden="false" customHeight="true" outlineLevel="0" collapsed="false">
      <c r="A339" s="30" t="s">
        <v>115</v>
      </c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</row>
    <row r="340" customFormat="false" ht="16.5" hidden="false" customHeight="true" outlineLevel="1" collapsed="false">
      <c r="A340" s="32" t="s">
        <v>116</v>
      </c>
      <c r="B340" s="39"/>
      <c r="C340" s="39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40" t="n">
        <f aca="false">B340+C340</f>
        <v>0</v>
      </c>
    </row>
    <row r="341" customFormat="false" ht="16.5" hidden="false" customHeight="true" outlineLevel="1" collapsed="false">
      <c r="A341" s="32" t="s">
        <v>117</v>
      </c>
      <c r="B341" s="41" t="n">
        <v>-1</v>
      </c>
      <c r="C341" s="41" t="n">
        <v>1</v>
      </c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40" t="n">
        <f aca="false">B341+C341</f>
        <v>0</v>
      </c>
    </row>
    <row r="342" customFormat="false" ht="18" hidden="false" customHeight="true" outlineLevel="0" collapsed="false">
      <c r="A342" s="30" t="s">
        <v>118</v>
      </c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</row>
    <row r="343" customFormat="false" ht="16.5" hidden="false" customHeight="true" outlineLevel="1" collapsed="false">
      <c r="A343" s="32" t="s">
        <v>119</v>
      </c>
      <c r="B343" s="38" t="s">
        <v>181</v>
      </c>
      <c r="C343" s="38" t="s">
        <v>182</v>
      </c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5"/>
    </row>
    <row r="344" customFormat="false" ht="16.5" hidden="false" customHeight="true" outlineLevel="1" collapsed="false">
      <c r="A344" s="32" t="s">
        <v>121</v>
      </c>
      <c r="B344" s="36" t="n">
        <v>1800003315</v>
      </c>
      <c r="C344" s="36" t="n">
        <v>1800003065</v>
      </c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5"/>
    </row>
    <row r="345" customFormat="false" ht="16.5" hidden="false" customHeight="true" outlineLevel="1" collapsed="false">
      <c r="A345" s="32" t="s">
        <v>122</v>
      </c>
      <c r="B345" s="38" t="s">
        <v>131</v>
      </c>
      <c r="C345" s="38" t="s">
        <v>183</v>
      </c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5"/>
    </row>
    <row r="346" customFormat="false" ht="19.5" hidden="false" customHeight="true" outlineLevel="0" collapsed="false">
      <c r="A346" s="43" t="s">
        <v>184</v>
      </c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5" t="n">
        <v>2811931</v>
      </c>
    </row>
    <row r="347" customFormat="false" ht="6" hidden="false" customHeight="true" outlineLevel="0" collapsed="false"/>
    <row r="348" customFormat="false" ht="25.5" hidden="false" customHeight="true" outlineLevel="0" collapsed="false">
      <c r="A348" s="25" t="s">
        <v>185</v>
      </c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</row>
    <row r="349" customFormat="false" ht="18" hidden="false" customHeight="true" outlineLevel="0" collapsed="false">
      <c r="A349" s="26" t="s">
        <v>77</v>
      </c>
      <c r="B349" s="27" t="n">
        <v>2089</v>
      </c>
      <c r="C349" s="27" t="n">
        <v>2091</v>
      </c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9" t="s">
        <v>78</v>
      </c>
    </row>
    <row r="350" customFormat="false" ht="18" hidden="false" customHeight="true" outlineLevel="0" collapsed="false">
      <c r="A350" s="30" t="s">
        <v>79</v>
      </c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</row>
    <row r="351" customFormat="false" ht="16.5" hidden="false" customHeight="true" outlineLevel="1" collapsed="false">
      <c r="A351" s="32" t="s">
        <v>80</v>
      </c>
      <c r="B351" s="33" t="n">
        <v>2089</v>
      </c>
      <c r="C351" s="33" t="n">
        <v>2091</v>
      </c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5"/>
    </row>
    <row r="352" customFormat="false" ht="16.5" hidden="false" customHeight="true" outlineLevel="1" collapsed="false">
      <c r="A352" s="32" t="s">
        <v>81</v>
      </c>
      <c r="B352" s="36" t="s">
        <v>186</v>
      </c>
      <c r="C352" s="36" t="s">
        <v>140</v>
      </c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5"/>
    </row>
    <row r="353" customFormat="false" ht="16.5" hidden="false" customHeight="true" outlineLevel="1" collapsed="false">
      <c r="A353" s="32" t="s">
        <v>83</v>
      </c>
      <c r="B353" s="33" t="n">
        <v>21980</v>
      </c>
      <c r="C353" s="33" t="n">
        <v>21980</v>
      </c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5"/>
    </row>
    <row r="354" customFormat="false" ht="16.5" hidden="false" customHeight="true" outlineLevel="1" collapsed="false">
      <c r="A354" s="32" t="s">
        <v>84</v>
      </c>
      <c r="B354" s="37" t="n">
        <v>2</v>
      </c>
      <c r="C354" s="37" t="n">
        <v>3</v>
      </c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5"/>
    </row>
    <row r="355" customFormat="false" ht="16.5" hidden="false" customHeight="true" outlineLevel="1" collapsed="false">
      <c r="A355" s="32" t="s">
        <v>85</v>
      </c>
      <c r="B355" s="38" t="s">
        <v>135</v>
      </c>
      <c r="C355" s="38" t="s">
        <v>135</v>
      </c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5"/>
    </row>
    <row r="356" customFormat="false" ht="16.5" hidden="false" customHeight="true" outlineLevel="1" collapsed="false">
      <c r="A356" s="32" t="s">
        <v>87</v>
      </c>
      <c r="B356" s="39" t="n">
        <v>15006</v>
      </c>
      <c r="C356" s="39" t="n">
        <v>40003</v>
      </c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5"/>
    </row>
    <row r="357" customFormat="false" ht="18" hidden="false" customHeight="true" outlineLevel="0" collapsed="false">
      <c r="A357" s="30" t="s">
        <v>88</v>
      </c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</row>
    <row r="358" customFormat="false" ht="16.5" hidden="false" customHeight="true" outlineLevel="1" collapsed="false">
      <c r="A358" s="32" t="s">
        <v>89</v>
      </c>
      <c r="B358" s="39" t="n">
        <v>30012</v>
      </c>
      <c r="C358" s="39" t="n">
        <v>120009</v>
      </c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40" t="n">
        <f aca="false">B358+C358</f>
        <v>150021</v>
      </c>
    </row>
    <row r="359" customFormat="false" ht="16.5" hidden="false" customHeight="true" outlineLevel="1" collapsed="false">
      <c r="A359" s="32" t="s">
        <v>90</v>
      </c>
      <c r="B359" s="41" t="n">
        <v>5402</v>
      </c>
      <c r="C359" s="41" t="n">
        <v>21602</v>
      </c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40" t="n">
        <f aca="false">B359+C359</f>
        <v>27004</v>
      </c>
    </row>
    <row r="360" customFormat="false" ht="16.5" hidden="false" customHeight="true" outlineLevel="1" collapsed="false">
      <c r="A360" s="32" t="s">
        <v>91</v>
      </c>
      <c r="B360" s="39" t="n">
        <v>35414</v>
      </c>
      <c r="C360" s="39" t="n">
        <v>141611</v>
      </c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40" t="n">
        <f aca="false">B360+C360</f>
        <v>177025</v>
      </c>
    </row>
    <row r="361" customFormat="false" ht="16.5" hidden="false" customHeight="true" outlineLevel="1" collapsed="false">
      <c r="A361" s="32" t="s">
        <v>92</v>
      </c>
      <c r="B361" s="41" t="n">
        <v>708</v>
      </c>
      <c r="C361" s="41" t="n">
        <v>2832</v>
      </c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40" t="n">
        <f aca="false">B361+C361</f>
        <v>3540</v>
      </c>
    </row>
    <row r="362" customFormat="false" ht="16.5" hidden="false" customHeight="true" outlineLevel="1" collapsed="false">
      <c r="A362" s="32" t="s">
        <v>93</v>
      </c>
      <c r="B362" s="39" t="n">
        <v>30.012</v>
      </c>
      <c r="C362" s="39" t="n">
        <v>120.009</v>
      </c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40" t="n">
        <f aca="false">B362+C362</f>
        <v>150.021</v>
      </c>
    </row>
    <row r="363" customFormat="false" ht="16.5" hidden="false" customHeight="true" outlineLevel="1" collapsed="false">
      <c r="A363" s="32" t="s">
        <v>94</v>
      </c>
      <c r="B363" s="41" t="n">
        <v>796.8186</v>
      </c>
      <c r="C363" s="41" t="n">
        <v>3186.23895</v>
      </c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40" t="n">
        <f aca="false">B363+C363</f>
        <v>3983.05755</v>
      </c>
    </row>
    <row r="364" customFormat="false" ht="16.5" hidden="false" customHeight="true" outlineLevel="1" collapsed="false">
      <c r="A364" s="32" t="s">
        <v>95</v>
      </c>
      <c r="B364" s="39" t="n">
        <v>13.5054</v>
      </c>
      <c r="C364" s="39" t="n">
        <v>54.00405</v>
      </c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40" t="n">
        <f aca="false">B364+C364</f>
        <v>67.50945</v>
      </c>
    </row>
    <row r="365" customFormat="false" ht="16.5" hidden="false" customHeight="true" outlineLevel="1" collapsed="false">
      <c r="A365" s="32" t="s">
        <v>96</v>
      </c>
      <c r="B365" s="41" t="n">
        <v>783.3132</v>
      </c>
      <c r="C365" s="41" t="n">
        <v>3132.2349</v>
      </c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40" t="n">
        <f aca="false">B365+C365</f>
        <v>3915.5481</v>
      </c>
    </row>
    <row r="366" customFormat="false" ht="16.5" hidden="false" customHeight="true" outlineLevel="1" collapsed="false">
      <c r="A366" s="32" t="s">
        <v>97</v>
      </c>
      <c r="B366" s="39" t="n">
        <v>813</v>
      </c>
      <c r="C366" s="39" t="n">
        <v>3252</v>
      </c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40" t="n">
        <f aca="false">B366+C366</f>
        <v>4065</v>
      </c>
    </row>
    <row r="367" customFormat="false" ht="16.5" hidden="false" customHeight="true" outlineLevel="1" collapsed="false">
      <c r="A367" s="32" t="s">
        <v>98</v>
      </c>
      <c r="B367" s="42" t="n">
        <v>0</v>
      </c>
      <c r="C367" s="42" t="n">
        <v>0</v>
      </c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5"/>
    </row>
    <row r="368" customFormat="false" ht="16.5" hidden="false" customHeight="true" outlineLevel="1" collapsed="false">
      <c r="A368" s="32" t="s">
        <v>99</v>
      </c>
      <c r="B368" s="39" t="n">
        <v>0</v>
      </c>
      <c r="C368" s="39" t="n">
        <v>0</v>
      </c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40" t="n">
        <f aca="false">B368+C368</f>
        <v>0</v>
      </c>
    </row>
    <row r="369" customFormat="false" ht="16.5" hidden="false" customHeight="true" outlineLevel="1" collapsed="false">
      <c r="A369" s="32" t="s">
        <v>100</v>
      </c>
      <c r="B369" s="41" t="n">
        <v>35309</v>
      </c>
      <c r="C369" s="41" t="n">
        <v>141191</v>
      </c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40" t="n">
        <f aca="false">B369+C369</f>
        <v>176500</v>
      </c>
    </row>
    <row r="370" customFormat="false" ht="18" hidden="false" customHeight="true" outlineLevel="0" collapsed="false">
      <c r="A370" s="30" t="s">
        <v>101</v>
      </c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</row>
    <row r="371" customFormat="false" ht="16.5" hidden="false" customHeight="true" outlineLevel="1" collapsed="false">
      <c r="A371" s="32" t="s">
        <v>102</v>
      </c>
      <c r="B371" s="41" t="n">
        <v>7503</v>
      </c>
      <c r="C371" s="41" t="n">
        <v>30002</v>
      </c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40" t="n">
        <f aca="false">B371+C371</f>
        <v>37505</v>
      </c>
    </row>
    <row r="372" customFormat="false" ht="16.5" hidden="false" customHeight="true" outlineLevel="1" collapsed="false">
      <c r="A372" s="32" t="s">
        <v>103</v>
      </c>
      <c r="B372" s="39" t="n">
        <v>7503</v>
      </c>
      <c r="C372" s="39" t="n">
        <v>30002</v>
      </c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40" t="n">
        <f aca="false">B372+C372</f>
        <v>37505</v>
      </c>
    </row>
    <row r="373" customFormat="false" ht="16.5" hidden="false" customHeight="true" outlineLevel="1" collapsed="false">
      <c r="A373" s="32" t="s">
        <v>104</v>
      </c>
      <c r="B373" s="38" t="s">
        <v>136</v>
      </c>
      <c r="C373" s="38" t="s">
        <v>136</v>
      </c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5"/>
    </row>
    <row r="374" customFormat="false" ht="18" hidden="false" customHeight="true" outlineLevel="0" collapsed="false">
      <c r="A374" s="30" t="s">
        <v>106</v>
      </c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</row>
    <row r="375" customFormat="false" ht="16.5" hidden="false" customHeight="true" outlineLevel="1" collapsed="false">
      <c r="A375" s="32" t="s">
        <v>107</v>
      </c>
      <c r="B375" s="41" t="n">
        <v>27806</v>
      </c>
      <c r="C375" s="41" t="n">
        <v>111188</v>
      </c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40" t="n">
        <f aca="false">B375+C375</f>
        <v>138994</v>
      </c>
    </row>
    <row r="376" customFormat="false" ht="16.5" hidden="false" customHeight="true" outlineLevel="1" collapsed="false">
      <c r="A376" s="32" t="s">
        <v>108</v>
      </c>
      <c r="B376" s="39" t="n">
        <v>27806</v>
      </c>
      <c r="C376" s="39" t="n">
        <v>111189</v>
      </c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40" t="n">
        <f aca="false">B376+C376</f>
        <v>138995</v>
      </c>
    </row>
    <row r="377" customFormat="false" ht="16.5" hidden="false" customHeight="true" outlineLevel="1" collapsed="false">
      <c r="A377" s="32" t="s">
        <v>109</v>
      </c>
      <c r="B377" s="38" t="s">
        <v>187</v>
      </c>
      <c r="C377" s="38" t="s">
        <v>187</v>
      </c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5"/>
    </row>
    <row r="378" customFormat="false" ht="18" hidden="false" customHeight="true" outlineLevel="0" collapsed="false">
      <c r="A378" s="30" t="s">
        <v>111</v>
      </c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</row>
    <row r="379" customFormat="false" ht="16.5" hidden="false" customHeight="true" outlineLevel="1" collapsed="false">
      <c r="A379" s="32" t="s">
        <v>112</v>
      </c>
      <c r="B379" s="41" t="n">
        <v>708.2832</v>
      </c>
      <c r="C379" s="41" t="n">
        <v>2832.2124</v>
      </c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40" t="n">
        <f aca="false">B379+C379</f>
        <v>3540.4956</v>
      </c>
    </row>
    <row r="380" customFormat="false" ht="16.5" hidden="false" customHeight="true" outlineLevel="1" collapsed="false">
      <c r="A380" s="32" t="s">
        <v>113</v>
      </c>
      <c r="B380" s="39"/>
      <c r="C380" s="39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40" t="n">
        <f aca="false">B380+C380</f>
        <v>0</v>
      </c>
    </row>
    <row r="381" customFormat="false" ht="16.5" hidden="false" customHeight="true" outlineLevel="1" collapsed="false">
      <c r="A381" s="32" t="s">
        <v>114</v>
      </c>
      <c r="B381" s="38"/>
      <c r="C381" s="38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5"/>
    </row>
    <row r="382" customFormat="false" ht="18" hidden="false" customHeight="true" outlineLevel="0" collapsed="false">
      <c r="A382" s="30" t="s">
        <v>115</v>
      </c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</row>
    <row r="383" customFormat="false" ht="16.5" hidden="false" customHeight="true" outlineLevel="1" collapsed="false">
      <c r="A383" s="32" t="s">
        <v>116</v>
      </c>
      <c r="B383" s="41"/>
      <c r="C383" s="41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40" t="n">
        <f aca="false">B383+C383</f>
        <v>0</v>
      </c>
    </row>
    <row r="384" customFormat="false" ht="16.5" hidden="false" customHeight="true" outlineLevel="1" collapsed="false">
      <c r="A384" s="32" t="s">
        <v>117</v>
      </c>
      <c r="B384" s="39" t="n">
        <v>0</v>
      </c>
      <c r="C384" s="39" t="n">
        <v>0</v>
      </c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40" t="n">
        <f aca="false">B384+C384</f>
        <v>0</v>
      </c>
    </row>
    <row r="385" customFormat="false" ht="18" hidden="false" customHeight="true" outlineLevel="0" collapsed="false">
      <c r="A385" s="30" t="s">
        <v>118</v>
      </c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</row>
    <row r="386" customFormat="false" ht="16.5" hidden="false" customHeight="true" outlineLevel="1" collapsed="false">
      <c r="A386" s="32" t="s">
        <v>119</v>
      </c>
      <c r="B386" s="36"/>
      <c r="C386" s="36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5"/>
    </row>
    <row r="387" customFormat="false" ht="16.5" hidden="false" customHeight="true" outlineLevel="1" collapsed="false">
      <c r="A387" s="32" t="s">
        <v>121</v>
      </c>
      <c r="B387" s="38"/>
      <c r="C387" s="38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5"/>
    </row>
    <row r="388" customFormat="false" ht="16.5" hidden="false" customHeight="true" outlineLevel="1" collapsed="false">
      <c r="A388" s="32" t="s">
        <v>122</v>
      </c>
      <c r="B388" s="36"/>
      <c r="C388" s="36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5"/>
    </row>
    <row r="389" customFormat="false" ht="19.5" hidden="false" customHeight="true" outlineLevel="0" collapsed="false">
      <c r="A389" s="43" t="s">
        <v>188</v>
      </c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5" t="n">
        <v>150021</v>
      </c>
    </row>
    <row r="390" customFormat="false" ht="6" hidden="false" customHeight="true" outlineLevel="0" collapsed="false"/>
    <row r="391" customFormat="false" ht="25.5" hidden="false" customHeight="true" outlineLevel="0" collapsed="false">
      <c r="A391" s="25" t="s">
        <v>189</v>
      </c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</row>
    <row r="392" customFormat="false" ht="18" hidden="false" customHeight="true" outlineLevel="0" collapsed="false">
      <c r="A392" s="26" t="s">
        <v>77</v>
      </c>
      <c r="B392" s="27" t="n">
        <v>2046</v>
      </c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9" t="s">
        <v>78</v>
      </c>
    </row>
    <row r="393" customFormat="false" ht="18" hidden="false" customHeight="true" outlineLevel="0" collapsed="false">
      <c r="A393" s="30" t="s">
        <v>79</v>
      </c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</row>
    <row r="394" customFormat="false" ht="16.5" hidden="false" customHeight="true" outlineLevel="1" collapsed="false">
      <c r="A394" s="32" t="s">
        <v>80</v>
      </c>
      <c r="B394" s="37" t="n">
        <v>2046</v>
      </c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5"/>
    </row>
    <row r="395" customFormat="false" ht="16.5" hidden="false" customHeight="true" outlineLevel="1" collapsed="false">
      <c r="A395" s="32" t="s">
        <v>81</v>
      </c>
      <c r="B395" s="38" t="s">
        <v>190</v>
      </c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5"/>
    </row>
    <row r="396" customFormat="false" ht="16.5" hidden="false" customHeight="true" outlineLevel="1" collapsed="false">
      <c r="A396" s="32" t="s">
        <v>83</v>
      </c>
      <c r="B396" s="37" t="n">
        <v>21979</v>
      </c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5"/>
    </row>
    <row r="397" customFormat="false" ht="16.5" hidden="false" customHeight="true" outlineLevel="1" collapsed="false">
      <c r="A397" s="32" t="s">
        <v>84</v>
      </c>
      <c r="B397" s="33" t="n">
        <v>670</v>
      </c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5"/>
    </row>
    <row r="398" customFormat="false" ht="16.5" hidden="false" customHeight="true" outlineLevel="1" collapsed="false">
      <c r="A398" s="32" t="s">
        <v>85</v>
      </c>
      <c r="B398" s="36" t="s">
        <v>86</v>
      </c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5"/>
    </row>
    <row r="399" customFormat="false" ht="16.5" hidden="false" customHeight="true" outlineLevel="1" collapsed="false">
      <c r="A399" s="32" t="s">
        <v>87</v>
      </c>
      <c r="B399" s="41" t="n">
        <v>309</v>
      </c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5"/>
    </row>
    <row r="400" customFormat="false" ht="18" hidden="false" customHeight="true" outlineLevel="0" collapsed="false">
      <c r="A400" s="30" t="s">
        <v>88</v>
      </c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</row>
    <row r="401" customFormat="false" ht="16.5" hidden="false" customHeight="true" outlineLevel="1" collapsed="false">
      <c r="A401" s="32" t="s">
        <v>89</v>
      </c>
      <c r="B401" s="41" t="n">
        <v>207030</v>
      </c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40" t="n">
        <f aca="false">B401</f>
        <v>207030</v>
      </c>
    </row>
    <row r="402" customFormat="false" ht="16.5" hidden="false" customHeight="true" outlineLevel="1" collapsed="false">
      <c r="A402" s="32" t="s">
        <v>90</v>
      </c>
      <c r="B402" s="39" t="n">
        <v>37265</v>
      </c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40" t="n">
        <f aca="false">B402</f>
        <v>37265</v>
      </c>
    </row>
    <row r="403" customFormat="false" ht="16.5" hidden="false" customHeight="true" outlineLevel="1" collapsed="false">
      <c r="A403" s="32" t="s">
        <v>91</v>
      </c>
      <c r="B403" s="41" t="n">
        <v>244295</v>
      </c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40" t="n">
        <f aca="false">B403</f>
        <v>244295</v>
      </c>
    </row>
    <row r="404" customFormat="false" ht="16.5" hidden="false" customHeight="true" outlineLevel="1" collapsed="false">
      <c r="A404" s="32" t="s">
        <v>92</v>
      </c>
      <c r="B404" s="39" t="n">
        <v>4886</v>
      </c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40" t="n">
        <f aca="false">B404</f>
        <v>4886</v>
      </c>
    </row>
    <row r="405" customFormat="false" ht="16.5" hidden="false" customHeight="true" outlineLevel="1" collapsed="false">
      <c r="A405" s="32" t="s">
        <v>93</v>
      </c>
      <c r="B405" s="41" t="n">
        <v>207.03</v>
      </c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40" t="n">
        <f aca="false">B405</f>
        <v>207.03</v>
      </c>
    </row>
    <row r="406" customFormat="false" ht="16.5" hidden="false" customHeight="true" outlineLevel="1" collapsed="false">
      <c r="A406" s="32" t="s">
        <v>94</v>
      </c>
      <c r="B406" s="39" t="n">
        <v>5496.6465</v>
      </c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40" t="n">
        <f aca="false">B406</f>
        <v>5496.6465</v>
      </c>
    </row>
    <row r="407" customFormat="false" ht="16.5" hidden="false" customHeight="true" outlineLevel="1" collapsed="false">
      <c r="A407" s="32" t="s">
        <v>95</v>
      </c>
      <c r="B407" s="41" t="n">
        <v>93.1635</v>
      </c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40" t="n">
        <f aca="false">B407</f>
        <v>93.1635</v>
      </c>
    </row>
    <row r="408" customFormat="false" ht="16.5" hidden="false" customHeight="true" outlineLevel="1" collapsed="false">
      <c r="A408" s="32" t="s">
        <v>96</v>
      </c>
      <c r="B408" s="39" t="n">
        <v>5403.483</v>
      </c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40" t="n">
        <f aca="false">B408</f>
        <v>5403.483</v>
      </c>
    </row>
    <row r="409" customFormat="false" ht="16.5" hidden="false" customHeight="true" outlineLevel="1" collapsed="false">
      <c r="A409" s="32" t="s">
        <v>97</v>
      </c>
      <c r="B409" s="41" t="n">
        <v>5611</v>
      </c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40" t="n">
        <f aca="false">B409</f>
        <v>5611</v>
      </c>
    </row>
    <row r="410" customFormat="false" ht="16.5" hidden="false" customHeight="true" outlineLevel="1" collapsed="false">
      <c r="A410" s="32" t="s">
        <v>98</v>
      </c>
      <c r="B410" s="46" t="n">
        <v>0</v>
      </c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5"/>
    </row>
    <row r="411" customFormat="false" ht="16.5" hidden="false" customHeight="true" outlineLevel="1" collapsed="false">
      <c r="A411" s="32" t="s">
        <v>99</v>
      </c>
      <c r="B411" s="41" t="n">
        <v>0</v>
      </c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40" t="n">
        <f aca="false">B411</f>
        <v>0</v>
      </c>
    </row>
    <row r="412" customFormat="false" ht="16.5" hidden="false" customHeight="true" outlineLevel="1" collapsed="false">
      <c r="A412" s="32" t="s">
        <v>100</v>
      </c>
      <c r="B412" s="39" t="n">
        <v>243571</v>
      </c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40" t="n">
        <f aca="false">B412</f>
        <v>243571</v>
      </c>
    </row>
    <row r="413" customFormat="false" ht="18" hidden="false" customHeight="true" outlineLevel="0" collapsed="false">
      <c r="A413" s="30" t="s">
        <v>101</v>
      </c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</row>
    <row r="414" customFormat="false" ht="16.5" hidden="false" customHeight="true" outlineLevel="1" collapsed="false">
      <c r="A414" s="32" t="s">
        <v>102</v>
      </c>
      <c r="B414" s="39" t="n">
        <v>51758</v>
      </c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40" t="n">
        <f aca="false">B414</f>
        <v>51758</v>
      </c>
    </row>
    <row r="415" customFormat="false" ht="16.5" hidden="false" customHeight="true" outlineLevel="1" collapsed="false">
      <c r="A415" s="32" t="s">
        <v>103</v>
      </c>
      <c r="B415" s="41" t="n">
        <v>51758</v>
      </c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40" t="n">
        <f aca="false">B415</f>
        <v>51758</v>
      </c>
    </row>
    <row r="416" customFormat="false" ht="16.5" hidden="false" customHeight="true" outlineLevel="1" collapsed="false">
      <c r="A416" s="32" t="s">
        <v>104</v>
      </c>
      <c r="B416" s="36" t="s">
        <v>127</v>
      </c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5"/>
    </row>
    <row r="417" customFormat="false" ht="18" hidden="false" customHeight="true" outlineLevel="0" collapsed="false">
      <c r="A417" s="30" t="s">
        <v>106</v>
      </c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</row>
    <row r="418" customFormat="false" ht="16.5" hidden="false" customHeight="true" outlineLevel="1" collapsed="false">
      <c r="A418" s="32" t="s">
        <v>107</v>
      </c>
      <c r="B418" s="39" t="n">
        <v>191813</v>
      </c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40" t="n">
        <f aca="false">B418</f>
        <v>191813</v>
      </c>
    </row>
    <row r="419" customFormat="false" ht="16.5" hidden="false" customHeight="true" outlineLevel="1" collapsed="false">
      <c r="A419" s="32" t="s">
        <v>108</v>
      </c>
      <c r="B419" s="41" t="n">
        <v>191812</v>
      </c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40" t="n">
        <f aca="false">B419</f>
        <v>191812</v>
      </c>
    </row>
    <row r="420" customFormat="false" ht="16.5" hidden="false" customHeight="true" outlineLevel="1" collapsed="false">
      <c r="A420" s="32" t="s">
        <v>109</v>
      </c>
      <c r="B420" s="36" t="s">
        <v>174</v>
      </c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5"/>
    </row>
    <row r="421" customFormat="false" ht="18" hidden="false" customHeight="true" outlineLevel="0" collapsed="false">
      <c r="A421" s="30" t="s">
        <v>111</v>
      </c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</row>
    <row r="422" customFormat="false" ht="16.5" hidden="false" customHeight="true" outlineLevel="1" collapsed="false">
      <c r="A422" s="32" t="s">
        <v>112</v>
      </c>
      <c r="B422" s="39" t="n">
        <v>0</v>
      </c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40" t="n">
        <f aca="false">B422</f>
        <v>0</v>
      </c>
    </row>
    <row r="423" customFormat="false" ht="16.5" hidden="false" customHeight="true" outlineLevel="1" collapsed="false">
      <c r="A423" s="32" t="s">
        <v>113</v>
      </c>
      <c r="B423" s="41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40" t="n">
        <f aca="false">B423</f>
        <v>0</v>
      </c>
    </row>
    <row r="424" customFormat="false" ht="16.5" hidden="false" customHeight="true" outlineLevel="1" collapsed="false">
      <c r="A424" s="32" t="s">
        <v>114</v>
      </c>
      <c r="B424" s="36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5"/>
    </row>
    <row r="425" customFormat="false" ht="18" hidden="false" customHeight="true" outlineLevel="0" collapsed="false">
      <c r="A425" s="30" t="s">
        <v>115</v>
      </c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</row>
    <row r="426" customFormat="false" ht="16.5" hidden="false" customHeight="true" outlineLevel="1" collapsed="false">
      <c r="A426" s="32" t="s">
        <v>116</v>
      </c>
      <c r="B426" s="39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40" t="n">
        <f aca="false">B426</f>
        <v>0</v>
      </c>
    </row>
    <row r="427" customFormat="false" ht="16.5" hidden="false" customHeight="true" outlineLevel="1" collapsed="false">
      <c r="A427" s="32" t="s">
        <v>117</v>
      </c>
      <c r="B427" s="41" t="n">
        <v>1</v>
      </c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40" t="n">
        <f aca="false">B427</f>
        <v>1</v>
      </c>
    </row>
    <row r="428" customFormat="false" ht="18" hidden="false" customHeight="true" outlineLevel="0" collapsed="false">
      <c r="A428" s="30" t="s">
        <v>118</v>
      </c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</row>
    <row r="429" customFormat="false" ht="16.5" hidden="false" customHeight="true" outlineLevel="1" collapsed="false">
      <c r="A429" s="32" t="s">
        <v>119</v>
      </c>
      <c r="B429" s="38" t="s">
        <v>191</v>
      </c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5"/>
    </row>
    <row r="430" customFormat="false" ht="16.5" hidden="false" customHeight="true" outlineLevel="1" collapsed="false">
      <c r="A430" s="32" t="s">
        <v>121</v>
      </c>
      <c r="B430" s="36" t="n">
        <v>1800003316</v>
      </c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5"/>
    </row>
    <row r="431" customFormat="false" ht="16.5" hidden="false" customHeight="true" outlineLevel="1" collapsed="false">
      <c r="A431" s="32" t="s">
        <v>122</v>
      </c>
      <c r="B431" s="38" t="s">
        <v>131</v>
      </c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5"/>
    </row>
    <row r="432" customFormat="false" ht="19.5" hidden="false" customHeight="true" outlineLevel="0" collapsed="false">
      <c r="A432" s="43" t="s">
        <v>192</v>
      </c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5" t="n">
        <v>207030</v>
      </c>
    </row>
    <row r="433" customFormat="false" ht="6" hidden="false" customHeight="true" outlineLevel="0" collapsed="false"/>
    <row r="434" customFormat="false" ht="25.5" hidden="false" customHeight="true" outlineLevel="0" collapsed="false">
      <c r="A434" s="25" t="s">
        <v>193</v>
      </c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</row>
    <row r="435" customFormat="false" ht="18" hidden="false" customHeight="true" outlineLevel="0" collapsed="false">
      <c r="A435" s="26" t="s">
        <v>77</v>
      </c>
      <c r="B435" s="27" t="n">
        <v>1976</v>
      </c>
      <c r="C435" s="27" t="n">
        <v>2007</v>
      </c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9" t="s">
        <v>78</v>
      </c>
    </row>
    <row r="436" customFormat="false" ht="18" hidden="false" customHeight="true" outlineLevel="0" collapsed="false">
      <c r="A436" s="30" t="s">
        <v>79</v>
      </c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</row>
    <row r="437" customFormat="false" ht="16.5" hidden="false" customHeight="true" outlineLevel="1" collapsed="false">
      <c r="A437" s="32" t="s">
        <v>80</v>
      </c>
      <c r="B437" s="33" t="n">
        <v>1976</v>
      </c>
      <c r="C437" s="33" t="n">
        <v>2007</v>
      </c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5"/>
    </row>
    <row r="438" customFormat="false" ht="16.5" hidden="false" customHeight="true" outlineLevel="1" collapsed="false">
      <c r="A438" s="32" t="s">
        <v>81</v>
      </c>
      <c r="B438" s="36" t="s">
        <v>194</v>
      </c>
      <c r="C438" s="36" t="s">
        <v>195</v>
      </c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5"/>
    </row>
    <row r="439" customFormat="false" ht="16.5" hidden="false" customHeight="true" outlineLevel="1" collapsed="false">
      <c r="A439" s="32" t="s">
        <v>83</v>
      </c>
      <c r="B439" s="33" t="n">
        <v>21977</v>
      </c>
      <c r="C439" s="33" t="n">
        <v>21977</v>
      </c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5"/>
    </row>
    <row r="440" customFormat="false" ht="16.5" hidden="false" customHeight="true" outlineLevel="1" collapsed="false">
      <c r="A440" s="32" t="s">
        <v>84</v>
      </c>
      <c r="B440" s="37" t="n">
        <v>1</v>
      </c>
      <c r="C440" s="37" t="n">
        <v>1</v>
      </c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5"/>
    </row>
    <row r="441" customFormat="false" ht="16.5" hidden="false" customHeight="true" outlineLevel="1" collapsed="false">
      <c r="A441" s="32" t="s">
        <v>85</v>
      </c>
      <c r="B441" s="38" t="s">
        <v>135</v>
      </c>
      <c r="C441" s="38" t="s">
        <v>135</v>
      </c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5"/>
    </row>
    <row r="442" customFormat="false" ht="16.5" hidden="false" customHeight="true" outlineLevel="1" collapsed="false">
      <c r="A442" s="32" t="s">
        <v>87</v>
      </c>
      <c r="B442" s="39" t="n">
        <v>2787314</v>
      </c>
      <c r="C442" s="39" t="n">
        <v>3857116</v>
      </c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5"/>
    </row>
    <row r="443" customFormat="false" ht="18" hidden="false" customHeight="true" outlineLevel="0" collapsed="false">
      <c r="A443" s="30" t="s">
        <v>88</v>
      </c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</row>
    <row r="444" customFormat="false" ht="16.5" hidden="false" customHeight="true" outlineLevel="1" collapsed="false">
      <c r="A444" s="32" t="s">
        <v>89</v>
      </c>
      <c r="B444" s="39" t="n">
        <v>2787314</v>
      </c>
      <c r="C444" s="39" t="n">
        <v>3857116</v>
      </c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40" t="n">
        <f aca="false">B444+C444</f>
        <v>6644430</v>
      </c>
    </row>
    <row r="445" customFormat="false" ht="16.5" hidden="false" customHeight="true" outlineLevel="1" collapsed="false">
      <c r="A445" s="32" t="s">
        <v>90</v>
      </c>
      <c r="B445" s="41" t="n">
        <v>501717</v>
      </c>
      <c r="C445" s="41" t="n">
        <v>694281</v>
      </c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40" t="n">
        <f aca="false">B445+C445</f>
        <v>1195998</v>
      </c>
    </row>
    <row r="446" customFormat="false" ht="16.5" hidden="false" customHeight="true" outlineLevel="1" collapsed="false">
      <c r="A446" s="32" t="s">
        <v>91</v>
      </c>
      <c r="B446" s="39" t="n">
        <v>3289031</v>
      </c>
      <c r="C446" s="39" t="n">
        <v>4551397</v>
      </c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40" t="n">
        <f aca="false">B446+C446</f>
        <v>7840428</v>
      </c>
    </row>
    <row r="447" customFormat="false" ht="16.5" hidden="false" customHeight="true" outlineLevel="1" collapsed="false">
      <c r="A447" s="32" t="s">
        <v>92</v>
      </c>
      <c r="B447" s="41" t="n">
        <v>65781</v>
      </c>
      <c r="C447" s="41" t="n">
        <v>91028</v>
      </c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40" t="n">
        <f aca="false">B447+C447</f>
        <v>156809</v>
      </c>
    </row>
    <row r="448" customFormat="false" ht="16.5" hidden="false" customHeight="true" outlineLevel="1" collapsed="false">
      <c r="A448" s="32" t="s">
        <v>93</v>
      </c>
      <c r="B448" s="39" t="n">
        <v>2787.314</v>
      </c>
      <c r="C448" s="39" t="n">
        <v>3857.116</v>
      </c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40" t="n">
        <f aca="false">B448+C448</f>
        <v>6644.43</v>
      </c>
    </row>
    <row r="449" customFormat="false" ht="16.5" hidden="false" customHeight="true" outlineLevel="1" collapsed="false">
      <c r="A449" s="32" t="s">
        <v>94</v>
      </c>
      <c r="B449" s="41" t="n">
        <v>74003.1867</v>
      </c>
      <c r="C449" s="41" t="n">
        <v>102406.4298</v>
      </c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40" t="n">
        <f aca="false">B449+C449</f>
        <v>176409.6165</v>
      </c>
    </row>
    <row r="450" customFormat="false" ht="16.5" hidden="false" customHeight="true" outlineLevel="1" collapsed="false">
      <c r="A450" s="32" t="s">
        <v>95</v>
      </c>
      <c r="B450" s="39" t="n">
        <v>1254.2913</v>
      </c>
      <c r="C450" s="39" t="n">
        <v>1735.7022</v>
      </c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40" t="n">
        <f aca="false">B450+C450</f>
        <v>2989.9935</v>
      </c>
    </row>
    <row r="451" customFormat="false" ht="16.5" hidden="false" customHeight="true" outlineLevel="1" collapsed="false">
      <c r="A451" s="32" t="s">
        <v>96</v>
      </c>
      <c r="B451" s="41" t="n">
        <v>72748.8954</v>
      </c>
      <c r="C451" s="41" t="n">
        <v>100670.7276</v>
      </c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40" t="n">
        <f aca="false">B451+C451</f>
        <v>173419.623</v>
      </c>
    </row>
    <row r="452" customFormat="false" ht="16.5" hidden="false" customHeight="true" outlineLevel="1" collapsed="false">
      <c r="A452" s="32" t="s">
        <v>97</v>
      </c>
      <c r="B452" s="39" t="n">
        <v>75536</v>
      </c>
      <c r="C452" s="39" t="n">
        <v>104528</v>
      </c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40" t="n">
        <f aca="false">B452+C452</f>
        <v>180064</v>
      </c>
    </row>
    <row r="453" customFormat="false" ht="16.5" hidden="false" customHeight="true" outlineLevel="1" collapsed="false">
      <c r="A453" s="32" t="s">
        <v>98</v>
      </c>
      <c r="B453" s="42" t="n">
        <v>0</v>
      </c>
      <c r="C453" s="42" t="n">
        <v>0</v>
      </c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5"/>
    </row>
    <row r="454" customFormat="false" ht="16.5" hidden="false" customHeight="true" outlineLevel="1" collapsed="false">
      <c r="A454" s="32" t="s">
        <v>99</v>
      </c>
      <c r="B454" s="39" t="n">
        <v>0</v>
      </c>
      <c r="C454" s="39" t="n">
        <v>0</v>
      </c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40" t="n">
        <f aca="false">B454+C454</f>
        <v>0</v>
      </c>
    </row>
    <row r="455" customFormat="false" ht="16.5" hidden="false" customHeight="true" outlineLevel="1" collapsed="false">
      <c r="A455" s="32" t="s">
        <v>100</v>
      </c>
      <c r="B455" s="41" t="n">
        <v>3279275</v>
      </c>
      <c r="C455" s="41" t="n">
        <v>4537897</v>
      </c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40" t="n">
        <f aca="false">B455+C455</f>
        <v>7817172</v>
      </c>
    </row>
    <row r="456" customFormat="false" ht="18" hidden="false" customHeight="true" outlineLevel="0" collapsed="false">
      <c r="A456" s="30" t="s">
        <v>101</v>
      </c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</row>
    <row r="457" customFormat="false" ht="16.5" hidden="false" customHeight="true" outlineLevel="1" collapsed="false">
      <c r="A457" s="32" t="s">
        <v>102</v>
      </c>
      <c r="B457" s="41" t="n">
        <v>696829</v>
      </c>
      <c r="C457" s="41" t="n">
        <v>964279</v>
      </c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40" t="n">
        <f aca="false">B457+C457</f>
        <v>1661108</v>
      </c>
    </row>
    <row r="458" customFormat="false" ht="16.5" hidden="false" customHeight="true" outlineLevel="1" collapsed="false">
      <c r="A458" s="32" t="s">
        <v>103</v>
      </c>
      <c r="B458" s="39" t="n">
        <v>696829</v>
      </c>
      <c r="C458" s="39" t="n">
        <v>964279</v>
      </c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40" t="n">
        <f aca="false">B458+C458</f>
        <v>1661108</v>
      </c>
    </row>
    <row r="459" customFormat="false" ht="16.5" hidden="false" customHeight="true" outlineLevel="1" collapsed="false">
      <c r="A459" s="32" t="s">
        <v>104</v>
      </c>
      <c r="B459" s="38" t="s">
        <v>158</v>
      </c>
      <c r="C459" s="38" t="s">
        <v>158</v>
      </c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5"/>
    </row>
    <row r="460" customFormat="false" ht="18" hidden="false" customHeight="true" outlineLevel="0" collapsed="false">
      <c r="A460" s="30" t="s">
        <v>106</v>
      </c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</row>
    <row r="461" customFormat="false" ht="16.5" hidden="false" customHeight="true" outlineLevel="1" collapsed="false">
      <c r="A461" s="32" t="s">
        <v>107</v>
      </c>
      <c r="B461" s="41" t="n">
        <v>2582446</v>
      </c>
      <c r="C461" s="41" t="n">
        <v>3573618</v>
      </c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40" t="n">
        <f aca="false">B461+C461</f>
        <v>6156064</v>
      </c>
    </row>
    <row r="462" customFormat="false" ht="16.5" hidden="false" customHeight="true" outlineLevel="1" collapsed="false">
      <c r="A462" s="32" t="s">
        <v>108</v>
      </c>
      <c r="B462" s="39" t="n">
        <v>2582447.09429161</v>
      </c>
      <c r="C462" s="39" t="n">
        <v>3573618.90570839</v>
      </c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40" t="n">
        <f aca="false">B462+C462</f>
        <v>6156066</v>
      </c>
    </row>
    <row r="463" customFormat="false" ht="16.5" hidden="false" customHeight="true" outlineLevel="1" collapsed="false">
      <c r="A463" s="32" t="s">
        <v>109</v>
      </c>
      <c r="B463" s="38" t="s">
        <v>158</v>
      </c>
      <c r="C463" s="38" t="s">
        <v>158</v>
      </c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5"/>
    </row>
    <row r="464" customFormat="false" ht="18" hidden="false" customHeight="true" outlineLevel="0" collapsed="false">
      <c r="A464" s="30" t="s">
        <v>111</v>
      </c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</row>
    <row r="465" customFormat="false" ht="16.5" hidden="false" customHeight="true" outlineLevel="1" collapsed="false">
      <c r="A465" s="32" t="s">
        <v>112</v>
      </c>
      <c r="B465" s="41" t="n">
        <v>0</v>
      </c>
      <c r="C465" s="41" t="n">
        <v>0</v>
      </c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40" t="n">
        <f aca="false">B465+C465</f>
        <v>0</v>
      </c>
    </row>
    <row r="466" customFormat="false" ht="16.5" hidden="false" customHeight="true" outlineLevel="1" collapsed="false">
      <c r="A466" s="32" t="s">
        <v>113</v>
      </c>
      <c r="B466" s="39"/>
      <c r="C466" s="39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40" t="n">
        <f aca="false">B466+C466</f>
        <v>0</v>
      </c>
    </row>
    <row r="467" customFormat="false" ht="16.5" hidden="false" customHeight="true" outlineLevel="1" collapsed="false">
      <c r="A467" s="32" t="s">
        <v>114</v>
      </c>
      <c r="B467" s="38"/>
      <c r="C467" s="38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5"/>
    </row>
    <row r="468" customFormat="false" ht="18" hidden="false" customHeight="true" outlineLevel="0" collapsed="false">
      <c r="A468" s="30" t="s">
        <v>115</v>
      </c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</row>
    <row r="469" customFormat="false" ht="16.5" hidden="false" customHeight="true" outlineLevel="1" collapsed="false">
      <c r="A469" s="32" t="s">
        <v>116</v>
      </c>
      <c r="B469" s="41"/>
      <c r="C469" s="41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40" t="n">
        <f aca="false">B469+C469</f>
        <v>0</v>
      </c>
    </row>
    <row r="470" customFormat="false" ht="16.5" hidden="false" customHeight="true" outlineLevel="1" collapsed="false">
      <c r="A470" s="32" t="s">
        <v>117</v>
      </c>
      <c r="B470" s="39" t="n">
        <v>-1.09429161017761</v>
      </c>
      <c r="C470" s="39" t="n">
        <v>-0.905708389822394</v>
      </c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40" t="n">
        <f aca="false">B470+C470</f>
        <v>-2</v>
      </c>
    </row>
    <row r="471" customFormat="false" ht="18" hidden="false" customHeight="true" outlineLevel="0" collapsed="false">
      <c r="A471" s="30" t="s">
        <v>118</v>
      </c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</row>
    <row r="472" customFormat="false" ht="16.5" hidden="false" customHeight="true" outlineLevel="1" collapsed="false">
      <c r="A472" s="32" t="s">
        <v>119</v>
      </c>
      <c r="B472" s="36" t="s">
        <v>196</v>
      </c>
      <c r="C472" s="36" t="s">
        <v>197</v>
      </c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5"/>
    </row>
    <row r="473" customFormat="false" ht="16.5" hidden="false" customHeight="true" outlineLevel="1" collapsed="false">
      <c r="A473" s="32" t="s">
        <v>121</v>
      </c>
      <c r="B473" s="38" t="n">
        <v>1800003194</v>
      </c>
      <c r="C473" s="38" t="n">
        <v>1800003196</v>
      </c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5"/>
    </row>
    <row r="474" customFormat="false" ht="16.5" hidden="false" customHeight="true" outlineLevel="1" collapsed="false">
      <c r="A474" s="32" t="s">
        <v>122</v>
      </c>
      <c r="B474" s="36" t="s">
        <v>141</v>
      </c>
      <c r="C474" s="36" t="s">
        <v>141</v>
      </c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5"/>
    </row>
    <row r="475" customFormat="false" ht="19.5" hidden="false" customHeight="true" outlineLevel="0" collapsed="false">
      <c r="A475" s="43" t="s">
        <v>198</v>
      </c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5" t="n">
        <v>6644430</v>
      </c>
    </row>
    <row r="476" customFormat="false" ht="6" hidden="false" customHeight="true" outlineLevel="0" collapsed="false"/>
    <row r="477" customFormat="false" ht="25.5" hidden="false" customHeight="true" outlineLevel="0" collapsed="false">
      <c r="A477" s="25" t="s">
        <v>199</v>
      </c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</row>
    <row r="478" customFormat="false" ht="18" hidden="false" customHeight="true" outlineLevel="0" collapsed="false">
      <c r="A478" s="26" t="s">
        <v>77</v>
      </c>
      <c r="B478" s="27" t="n">
        <v>2006</v>
      </c>
      <c r="C478" s="27" t="n">
        <v>2011</v>
      </c>
      <c r="D478" s="27" t="n">
        <v>2015</v>
      </c>
      <c r="E478" s="27" t="n">
        <v>2025</v>
      </c>
      <c r="F478" s="27" t="n">
        <v>2040</v>
      </c>
      <c r="G478" s="27" t="n">
        <v>2062</v>
      </c>
      <c r="H478" s="27" t="n">
        <v>2069</v>
      </c>
      <c r="I478" s="28"/>
      <c r="J478" s="28"/>
      <c r="K478" s="28"/>
      <c r="L478" s="28"/>
      <c r="M478" s="28"/>
      <c r="N478" s="28"/>
      <c r="O478" s="29" t="s">
        <v>78</v>
      </c>
    </row>
    <row r="479" customFormat="false" ht="18" hidden="false" customHeight="true" outlineLevel="0" collapsed="false">
      <c r="A479" s="30" t="s">
        <v>79</v>
      </c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</row>
    <row r="480" customFormat="false" ht="16.5" hidden="false" customHeight="true" outlineLevel="1" collapsed="false">
      <c r="A480" s="32" t="s">
        <v>80</v>
      </c>
      <c r="B480" s="37" t="n">
        <v>2006</v>
      </c>
      <c r="C480" s="37" t="n">
        <v>2011</v>
      </c>
      <c r="D480" s="37" t="n">
        <v>2015</v>
      </c>
      <c r="E480" s="37" t="n">
        <v>2025</v>
      </c>
      <c r="F480" s="37" t="n">
        <v>2040</v>
      </c>
      <c r="G480" s="37" t="n">
        <v>2062</v>
      </c>
      <c r="H480" s="37" t="n">
        <v>2069</v>
      </c>
      <c r="I480" s="34"/>
      <c r="J480" s="34"/>
      <c r="K480" s="34"/>
      <c r="L480" s="34"/>
      <c r="M480" s="34"/>
      <c r="N480" s="34"/>
      <c r="O480" s="35"/>
    </row>
    <row r="481" customFormat="false" ht="16.5" hidden="false" customHeight="true" outlineLevel="1" collapsed="false">
      <c r="A481" s="32" t="s">
        <v>81</v>
      </c>
      <c r="B481" s="38" t="s">
        <v>200</v>
      </c>
      <c r="C481" s="38" t="s">
        <v>201</v>
      </c>
      <c r="D481" s="38" t="s">
        <v>202</v>
      </c>
      <c r="E481" s="38" t="s">
        <v>202</v>
      </c>
      <c r="F481" s="38" t="s">
        <v>203</v>
      </c>
      <c r="G481" s="38" t="s">
        <v>204</v>
      </c>
      <c r="H481" s="38" t="s">
        <v>205</v>
      </c>
      <c r="I481" s="34"/>
      <c r="J481" s="34"/>
      <c r="K481" s="34"/>
      <c r="L481" s="34"/>
      <c r="M481" s="34"/>
      <c r="N481" s="34"/>
      <c r="O481" s="35"/>
    </row>
    <row r="482" customFormat="false" ht="16.5" hidden="false" customHeight="true" outlineLevel="1" collapsed="false">
      <c r="A482" s="32" t="s">
        <v>83</v>
      </c>
      <c r="B482" s="37" t="n">
        <v>21977</v>
      </c>
      <c r="C482" s="37" t="n">
        <v>21977</v>
      </c>
      <c r="D482" s="37" t="n">
        <v>21978</v>
      </c>
      <c r="E482" s="37" t="n">
        <v>21978</v>
      </c>
      <c r="F482" s="37" t="n">
        <v>21978</v>
      </c>
      <c r="G482" s="37" t="n">
        <v>21979</v>
      </c>
      <c r="H482" s="37" t="n">
        <v>21980</v>
      </c>
      <c r="I482" s="34"/>
      <c r="J482" s="34"/>
      <c r="K482" s="34"/>
      <c r="L482" s="34"/>
      <c r="M482" s="34"/>
      <c r="N482" s="34"/>
      <c r="O482" s="35"/>
    </row>
    <row r="483" customFormat="false" ht="16.5" hidden="false" customHeight="true" outlineLevel="1" collapsed="false">
      <c r="A483" s="32" t="s">
        <v>84</v>
      </c>
      <c r="B483" s="33" t="n">
        <v>25</v>
      </c>
      <c r="C483" s="33" t="n">
        <v>22</v>
      </c>
      <c r="D483" s="33" t="n">
        <v>100</v>
      </c>
      <c r="E483" s="33" t="n">
        <v>90</v>
      </c>
      <c r="F483" s="33" t="n">
        <v>3</v>
      </c>
      <c r="G483" s="33" t="n">
        <v>30</v>
      </c>
      <c r="H483" s="33" t="n">
        <v>1</v>
      </c>
      <c r="I483" s="34"/>
      <c r="J483" s="34"/>
      <c r="K483" s="34"/>
      <c r="L483" s="34"/>
      <c r="M483" s="34"/>
      <c r="N483" s="34"/>
      <c r="O483" s="35"/>
    </row>
    <row r="484" customFormat="false" ht="16.5" hidden="false" customHeight="true" outlineLevel="1" collapsed="false">
      <c r="A484" s="32" t="s">
        <v>85</v>
      </c>
      <c r="B484" s="36" t="s">
        <v>135</v>
      </c>
      <c r="C484" s="36" t="s">
        <v>135</v>
      </c>
      <c r="D484" s="36" t="s">
        <v>135</v>
      </c>
      <c r="E484" s="36" t="s">
        <v>135</v>
      </c>
      <c r="F484" s="36" t="s">
        <v>135</v>
      </c>
      <c r="G484" s="36" t="s">
        <v>135</v>
      </c>
      <c r="H484" s="36" t="s">
        <v>135</v>
      </c>
      <c r="I484" s="34"/>
      <c r="J484" s="34"/>
      <c r="K484" s="34"/>
      <c r="L484" s="34"/>
      <c r="M484" s="34"/>
      <c r="N484" s="34"/>
      <c r="O484" s="35"/>
    </row>
    <row r="485" customFormat="false" ht="16.5" hidden="false" customHeight="true" outlineLevel="1" collapsed="false">
      <c r="A485" s="32" t="s">
        <v>87</v>
      </c>
      <c r="B485" s="41" t="n">
        <v>700</v>
      </c>
      <c r="C485" s="41" t="n">
        <v>700</v>
      </c>
      <c r="D485" s="41" t="n">
        <v>710</v>
      </c>
      <c r="E485" s="41" t="n">
        <v>700</v>
      </c>
      <c r="F485" s="41" t="n">
        <v>90002</v>
      </c>
      <c r="G485" s="41" t="n">
        <v>702</v>
      </c>
      <c r="H485" s="41" t="n">
        <v>54000</v>
      </c>
      <c r="I485" s="34"/>
      <c r="J485" s="34"/>
      <c r="K485" s="34"/>
      <c r="L485" s="34"/>
      <c r="M485" s="34"/>
      <c r="N485" s="34"/>
      <c r="O485" s="35"/>
    </row>
    <row r="486" customFormat="false" ht="18" hidden="false" customHeight="true" outlineLevel="0" collapsed="false">
      <c r="A486" s="30" t="s">
        <v>88</v>
      </c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</row>
    <row r="487" customFormat="false" ht="16.5" hidden="false" customHeight="true" outlineLevel="1" collapsed="false">
      <c r="A487" s="32" t="s">
        <v>89</v>
      </c>
      <c r="B487" s="41" t="n">
        <v>17500</v>
      </c>
      <c r="C487" s="41" t="n">
        <v>15400</v>
      </c>
      <c r="D487" s="41" t="n">
        <v>71000</v>
      </c>
      <c r="E487" s="41" t="n">
        <v>63000</v>
      </c>
      <c r="F487" s="41" t="n">
        <v>270006</v>
      </c>
      <c r="G487" s="41" t="n">
        <v>21060</v>
      </c>
      <c r="H487" s="41" t="n">
        <v>54000</v>
      </c>
      <c r="I487" s="34"/>
      <c r="J487" s="34"/>
      <c r="K487" s="34"/>
      <c r="L487" s="34"/>
      <c r="M487" s="34"/>
      <c r="N487" s="34"/>
      <c r="O487" s="40" t="n">
        <f aca="false">B487+C487+D487+E487+F487+G487+H487</f>
        <v>511966</v>
      </c>
    </row>
    <row r="488" customFormat="false" ht="16.5" hidden="false" customHeight="true" outlineLevel="1" collapsed="false">
      <c r="A488" s="32" t="s">
        <v>90</v>
      </c>
      <c r="B488" s="39" t="n">
        <v>3150</v>
      </c>
      <c r="C488" s="39" t="n">
        <v>2772</v>
      </c>
      <c r="D488" s="39" t="n">
        <v>12780</v>
      </c>
      <c r="E488" s="39" t="n">
        <v>11340</v>
      </c>
      <c r="F488" s="39" t="n">
        <v>48601</v>
      </c>
      <c r="G488" s="39" t="n">
        <v>3791</v>
      </c>
      <c r="H488" s="39" t="n">
        <v>9720</v>
      </c>
      <c r="I488" s="34"/>
      <c r="J488" s="34"/>
      <c r="K488" s="34"/>
      <c r="L488" s="34"/>
      <c r="M488" s="34"/>
      <c r="N488" s="34"/>
      <c r="O488" s="40" t="n">
        <f aca="false">B488+C488+D488+E488+F488+G488+H488</f>
        <v>92154</v>
      </c>
    </row>
    <row r="489" customFormat="false" ht="16.5" hidden="false" customHeight="true" outlineLevel="1" collapsed="false">
      <c r="A489" s="32" t="s">
        <v>91</v>
      </c>
      <c r="B489" s="41" t="n">
        <v>20650</v>
      </c>
      <c r="C489" s="41" t="n">
        <v>18172</v>
      </c>
      <c r="D489" s="41" t="n">
        <v>83780</v>
      </c>
      <c r="E489" s="41" t="n">
        <v>74340</v>
      </c>
      <c r="F489" s="41" t="n">
        <v>318607</v>
      </c>
      <c r="G489" s="41" t="n">
        <v>24851</v>
      </c>
      <c r="H489" s="41" t="n">
        <v>63720</v>
      </c>
      <c r="I489" s="34"/>
      <c r="J489" s="34"/>
      <c r="K489" s="34"/>
      <c r="L489" s="34"/>
      <c r="M489" s="34"/>
      <c r="N489" s="34"/>
      <c r="O489" s="40" t="n">
        <f aca="false">B489+C489+D489+E489+F489+G489+H489</f>
        <v>604120</v>
      </c>
    </row>
    <row r="490" customFormat="false" ht="16.5" hidden="false" customHeight="true" outlineLevel="1" collapsed="false">
      <c r="A490" s="32" t="s">
        <v>92</v>
      </c>
      <c r="B490" s="39" t="n">
        <v>413</v>
      </c>
      <c r="C490" s="39" t="n">
        <v>363</v>
      </c>
      <c r="D490" s="39" t="n">
        <v>1676</v>
      </c>
      <c r="E490" s="39" t="n">
        <v>1487</v>
      </c>
      <c r="F490" s="39" t="n">
        <v>6372</v>
      </c>
      <c r="G490" s="39" t="n">
        <v>497</v>
      </c>
      <c r="H490" s="39" t="n">
        <v>1274</v>
      </c>
      <c r="I490" s="34"/>
      <c r="J490" s="34"/>
      <c r="K490" s="34"/>
      <c r="L490" s="34"/>
      <c r="M490" s="34"/>
      <c r="N490" s="34"/>
      <c r="O490" s="40" t="n">
        <f aca="false">B490+C490+D490+E490+F490+G490+H490</f>
        <v>12082</v>
      </c>
    </row>
    <row r="491" customFormat="false" ht="16.5" hidden="false" customHeight="true" outlineLevel="1" collapsed="false">
      <c r="A491" s="32" t="s">
        <v>93</v>
      </c>
      <c r="B491" s="41" t="n">
        <v>17.5</v>
      </c>
      <c r="C491" s="41" t="n">
        <v>15.4</v>
      </c>
      <c r="D491" s="41" t="n">
        <v>71</v>
      </c>
      <c r="E491" s="41" t="n">
        <v>63</v>
      </c>
      <c r="F491" s="41" t="n">
        <v>270.006</v>
      </c>
      <c r="G491" s="41" t="n">
        <v>21.06</v>
      </c>
      <c r="H491" s="41" t="n">
        <v>54</v>
      </c>
      <c r="I491" s="34"/>
      <c r="J491" s="34"/>
      <c r="K491" s="34"/>
      <c r="L491" s="34"/>
      <c r="M491" s="34"/>
      <c r="N491" s="34"/>
      <c r="O491" s="40" t="n">
        <f aca="false">B491+C491+D491+E491+F491+G491+H491</f>
        <v>511.966</v>
      </c>
    </row>
    <row r="492" customFormat="false" ht="16.5" hidden="false" customHeight="true" outlineLevel="1" collapsed="false">
      <c r="A492" s="32" t="s">
        <v>94</v>
      </c>
      <c r="B492" s="39" t="n">
        <v>464.625</v>
      </c>
      <c r="C492" s="39" t="n">
        <v>408.87</v>
      </c>
      <c r="D492" s="39" t="n">
        <v>1885.05</v>
      </c>
      <c r="E492" s="39" t="n">
        <v>1672.65</v>
      </c>
      <c r="F492" s="39" t="n">
        <v>7168.6593</v>
      </c>
      <c r="G492" s="39" t="n">
        <v>559.143</v>
      </c>
      <c r="H492" s="39" t="n">
        <v>1433.7</v>
      </c>
      <c r="I492" s="34"/>
      <c r="J492" s="34"/>
      <c r="K492" s="34"/>
      <c r="L492" s="34"/>
      <c r="M492" s="34"/>
      <c r="N492" s="34"/>
      <c r="O492" s="40" t="n">
        <f aca="false">B492+C492+D492+E492+F492+G492+H492</f>
        <v>13592.6973</v>
      </c>
    </row>
    <row r="493" customFormat="false" ht="16.5" hidden="false" customHeight="true" outlineLevel="1" collapsed="false">
      <c r="A493" s="32" t="s">
        <v>95</v>
      </c>
      <c r="B493" s="41" t="n">
        <v>7.875</v>
      </c>
      <c r="C493" s="41" t="n">
        <v>6.93</v>
      </c>
      <c r="D493" s="41" t="n">
        <v>31.95</v>
      </c>
      <c r="E493" s="41" t="n">
        <v>28.35</v>
      </c>
      <c r="F493" s="41" t="n">
        <v>121.5027</v>
      </c>
      <c r="G493" s="41" t="n">
        <v>9.477</v>
      </c>
      <c r="H493" s="41" t="n">
        <v>24.3</v>
      </c>
      <c r="I493" s="34"/>
      <c r="J493" s="34"/>
      <c r="K493" s="34"/>
      <c r="L493" s="34"/>
      <c r="M493" s="34"/>
      <c r="N493" s="34"/>
      <c r="O493" s="40" t="n">
        <f aca="false">B493+C493+D493+E493+F493+G493+H493</f>
        <v>230.3847</v>
      </c>
    </row>
    <row r="494" customFormat="false" ht="16.5" hidden="false" customHeight="true" outlineLevel="1" collapsed="false">
      <c r="A494" s="32" t="s">
        <v>96</v>
      </c>
      <c r="B494" s="39" t="n">
        <v>456.75</v>
      </c>
      <c r="C494" s="39" t="n">
        <v>401.94</v>
      </c>
      <c r="D494" s="39" t="n">
        <v>1853.1</v>
      </c>
      <c r="E494" s="39" t="n">
        <v>1644.3</v>
      </c>
      <c r="F494" s="39" t="n">
        <v>7047.1566</v>
      </c>
      <c r="G494" s="39" t="n">
        <v>549.666</v>
      </c>
      <c r="H494" s="39" t="n">
        <v>1409.4</v>
      </c>
      <c r="I494" s="34"/>
      <c r="J494" s="34"/>
      <c r="K494" s="34"/>
      <c r="L494" s="34"/>
      <c r="M494" s="34"/>
      <c r="N494" s="34"/>
      <c r="O494" s="40" t="n">
        <f aca="false">B494+C494+D494+E494+F494+G494+H494</f>
        <v>13362.3126</v>
      </c>
    </row>
    <row r="495" customFormat="false" ht="16.5" hidden="false" customHeight="true" outlineLevel="1" collapsed="false">
      <c r="A495" s="32" t="s">
        <v>97</v>
      </c>
      <c r="B495" s="41" t="n">
        <v>474</v>
      </c>
      <c r="C495" s="41" t="n">
        <v>417</v>
      </c>
      <c r="D495" s="41" t="n">
        <v>1924</v>
      </c>
      <c r="E495" s="41" t="n">
        <v>1707</v>
      </c>
      <c r="F495" s="41" t="n">
        <v>7317</v>
      </c>
      <c r="G495" s="41" t="n">
        <v>571</v>
      </c>
      <c r="H495" s="41" t="n">
        <v>1463</v>
      </c>
      <c r="I495" s="34"/>
      <c r="J495" s="34"/>
      <c r="K495" s="34"/>
      <c r="L495" s="34"/>
      <c r="M495" s="34"/>
      <c r="N495" s="34"/>
      <c r="O495" s="40" t="n">
        <f aca="false">B495+C495+D495+E495+F495+G495+H495</f>
        <v>13873</v>
      </c>
    </row>
    <row r="496" customFormat="false" ht="16.5" hidden="false" customHeight="true" outlineLevel="1" collapsed="false">
      <c r="A496" s="32" t="s">
        <v>98</v>
      </c>
      <c r="B496" s="46" t="n">
        <v>0</v>
      </c>
      <c r="C496" s="46" t="n">
        <v>0</v>
      </c>
      <c r="D496" s="46" t="n">
        <v>0</v>
      </c>
      <c r="E496" s="46" t="n">
        <v>0</v>
      </c>
      <c r="F496" s="46" t="n">
        <v>0</v>
      </c>
      <c r="G496" s="46" t="n">
        <v>0</v>
      </c>
      <c r="H496" s="46" t="n">
        <v>0</v>
      </c>
      <c r="I496" s="34"/>
      <c r="J496" s="34"/>
      <c r="K496" s="34"/>
      <c r="L496" s="34"/>
      <c r="M496" s="34"/>
      <c r="N496" s="34"/>
      <c r="O496" s="35"/>
    </row>
    <row r="497" customFormat="false" ht="16.5" hidden="false" customHeight="true" outlineLevel="1" collapsed="false">
      <c r="A497" s="32" t="s">
        <v>99</v>
      </c>
      <c r="B497" s="41" t="n">
        <v>0</v>
      </c>
      <c r="C497" s="41" t="n">
        <v>0</v>
      </c>
      <c r="D497" s="41" t="n">
        <v>0</v>
      </c>
      <c r="E497" s="41" t="n">
        <v>0</v>
      </c>
      <c r="F497" s="41" t="n">
        <v>0</v>
      </c>
      <c r="G497" s="41" t="n">
        <v>0</v>
      </c>
      <c r="H497" s="41" t="n">
        <v>0</v>
      </c>
      <c r="I497" s="34"/>
      <c r="J497" s="34"/>
      <c r="K497" s="34"/>
      <c r="L497" s="34"/>
      <c r="M497" s="34"/>
      <c r="N497" s="34"/>
      <c r="O497" s="40" t="n">
        <f aca="false">B497+C497+D497+E497+F497+G497+H497</f>
        <v>0</v>
      </c>
    </row>
    <row r="498" customFormat="false" ht="16.5" hidden="false" customHeight="true" outlineLevel="1" collapsed="false">
      <c r="A498" s="32" t="s">
        <v>100</v>
      </c>
      <c r="B498" s="39" t="n">
        <v>20589</v>
      </c>
      <c r="C498" s="39" t="n">
        <v>18118</v>
      </c>
      <c r="D498" s="39" t="n">
        <v>83532</v>
      </c>
      <c r="E498" s="39" t="n">
        <v>74120</v>
      </c>
      <c r="F498" s="39" t="n">
        <v>317662</v>
      </c>
      <c r="G498" s="39" t="n">
        <v>24777</v>
      </c>
      <c r="H498" s="39" t="n">
        <v>63531</v>
      </c>
      <c r="I498" s="34"/>
      <c r="J498" s="34"/>
      <c r="K498" s="34"/>
      <c r="L498" s="34"/>
      <c r="M498" s="34"/>
      <c r="N498" s="34"/>
      <c r="O498" s="40" t="n">
        <f aca="false">B498+C498+D498+E498+F498+G498+H498</f>
        <v>602329</v>
      </c>
    </row>
    <row r="499" customFormat="false" ht="18" hidden="false" customHeight="true" outlineLevel="0" collapsed="false">
      <c r="A499" s="30" t="s">
        <v>101</v>
      </c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</row>
    <row r="500" customFormat="false" ht="16.5" hidden="false" customHeight="true" outlineLevel="1" collapsed="false">
      <c r="A500" s="32" t="s">
        <v>102</v>
      </c>
      <c r="B500" s="39" t="n">
        <v>4375</v>
      </c>
      <c r="C500" s="39" t="n">
        <v>3850</v>
      </c>
      <c r="D500" s="39" t="n">
        <v>17750</v>
      </c>
      <c r="E500" s="39" t="n">
        <v>15750</v>
      </c>
      <c r="F500" s="39" t="n">
        <v>67502</v>
      </c>
      <c r="G500" s="39" t="n">
        <v>5265</v>
      </c>
      <c r="H500" s="39" t="n">
        <v>13500</v>
      </c>
      <c r="I500" s="34"/>
      <c r="J500" s="34"/>
      <c r="K500" s="34"/>
      <c r="L500" s="34"/>
      <c r="M500" s="34"/>
      <c r="N500" s="34"/>
      <c r="O500" s="40" t="n">
        <f aca="false">B500+C500+D500+E500+F500+G500+H500</f>
        <v>127992</v>
      </c>
    </row>
    <row r="501" customFormat="false" ht="16.5" hidden="false" customHeight="true" outlineLevel="1" collapsed="false">
      <c r="A501" s="32" t="s">
        <v>103</v>
      </c>
      <c r="B501" s="41" t="n">
        <v>4375</v>
      </c>
      <c r="C501" s="41" t="n">
        <v>3850</v>
      </c>
      <c r="D501" s="41" t="n">
        <v>17750</v>
      </c>
      <c r="E501" s="41" t="n">
        <v>15750</v>
      </c>
      <c r="F501" s="41" t="n">
        <v>67502</v>
      </c>
      <c r="G501" s="41" t="n">
        <v>5265</v>
      </c>
      <c r="H501" s="41" t="n">
        <v>13500</v>
      </c>
      <c r="I501" s="34"/>
      <c r="J501" s="34"/>
      <c r="K501" s="34"/>
      <c r="L501" s="34"/>
      <c r="M501" s="34"/>
      <c r="N501" s="34"/>
      <c r="O501" s="40" t="n">
        <f aca="false">B501+C501+D501+E501+F501+G501+H501</f>
        <v>127992</v>
      </c>
    </row>
    <row r="502" customFormat="false" ht="16.5" hidden="false" customHeight="true" outlineLevel="1" collapsed="false">
      <c r="A502" s="32" t="s">
        <v>104</v>
      </c>
      <c r="B502" s="36" t="s">
        <v>127</v>
      </c>
      <c r="C502" s="36" t="s">
        <v>127</v>
      </c>
      <c r="D502" s="36" t="s">
        <v>127</v>
      </c>
      <c r="E502" s="36" t="s">
        <v>127</v>
      </c>
      <c r="F502" s="36" t="s">
        <v>127</v>
      </c>
      <c r="G502" s="36" t="s">
        <v>127</v>
      </c>
      <c r="H502" s="36" t="s">
        <v>127</v>
      </c>
      <c r="I502" s="34"/>
      <c r="J502" s="34"/>
      <c r="K502" s="34"/>
      <c r="L502" s="34"/>
      <c r="M502" s="34"/>
      <c r="N502" s="34"/>
      <c r="O502" s="35"/>
    </row>
    <row r="503" customFormat="false" ht="18" hidden="false" customHeight="true" outlineLevel="0" collapsed="false">
      <c r="A503" s="30" t="s">
        <v>106</v>
      </c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</row>
    <row r="504" customFormat="false" ht="16.5" hidden="false" customHeight="true" outlineLevel="1" collapsed="false">
      <c r="A504" s="32" t="s">
        <v>107</v>
      </c>
      <c r="B504" s="39" t="n">
        <v>16214</v>
      </c>
      <c r="C504" s="39" t="n">
        <v>14268</v>
      </c>
      <c r="D504" s="39" t="n">
        <v>65782</v>
      </c>
      <c r="E504" s="39" t="n">
        <v>58370</v>
      </c>
      <c r="F504" s="39" t="n">
        <v>250161</v>
      </c>
      <c r="G504" s="39" t="n">
        <v>19512</v>
      </c>
      <c r="H504" s="39" t="n">
        <v>50031</v>
      </c>
      <c r="I504" s="34"/>
      <c r="J504" s="34"/>
      <c r="K504" s="34"/>
      <c r="L504" s="34"/>
      <c r="M504" s="34"/>
      <c r="N504" s="34"/>
      <c r="O504" s="40" t="n">
        <f aca="false">B504+C504+D504+E504+F504+G504+H504</f>
        <v>474338</v>
      </c>
    </row>
    <row r="505" customFormat="false" ht="16.5" hidden="false" customHeight="true" outlineLevel="1" collapsed="false">
      <c r="A505" s="32" t="s">
        <v>108</v>
      </c>
      <c r="B505" s="41" t="n">
        <v>16214</v>
      </c>
      <c r="C505" s="41" t="n">
        <v>14267</v>
      </c>
      <c r="D505" s="41" t="n">
        <v>65782</v>
      </c>
      <c r="E505" s="41" t="n">
        <v>58418</v>
      </c>
      <c r="F505" s="41"/>
      <c r="G505" s="41" t="n">
        <v>19512</v>
      </c>
      <c r="H505" s="41"/>
      <c r="I505" s="34"/>
      <c r="J505" s="34"/>
      <c r="K505" s="34"/>
      <c r="L505" s="34"/>
      <c r="M505" s="34"/>
      <c r="N505" s="34"/>
      <c r="O505" s="40" t="n">
        <f aca="false">B505+C505+D505+E505+F505+G505+H505</f>
        <v>174193</v>
      </c>
    </row>
    <row r="506" customFormat="false" ht="16.5" hidden="false" customHeight="true" outlineLevel="1" collapsed="false">
      <c r="A506" s="32" t="s">
        <v>109</v>
      </c>
      <c r="B506" s="36" t="s">
        <v>127</v>
      </c>
      <c r="C506" s="36" t="s">
        <v>127</v>
      </c>
      <c r="D506" s="36" t="s">
        <v>127</v>
      </c>
      <c r="E506" s="36" t="s">
        <v>127</v>
      </c>
      <c r="F506" s="36" t="n">
        <v>0</v>
      </c>
      <c r="G506" s="36" t="s">
        <v>127</v>
      </c>
      <c r="H506" s="36" t="n">
        <v>0</v>
      </c>
      <c r="I506" s="34"/>
      <c r="J506" s="34"/>
      <c r="K506" s="34"/>
      <c r="L506" s="34"/>
      <c r="M506" s="34"/>
      <c r="N506" s="34"/>
      <c r="O506" s="35"/>
    </row>
    <row r="507" customFormat="false" ht="18" hidden="false" customHeight="true" outlineLevel="0" collapsed="false">
      <c r="A507" s="30" t="s">
        <v>111</v>
      </c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</row>
    <row r="508" customFormat="false" ht="16.5" hidden="false" customHeight="true" outlineLevel="1" collapsed="false">
      <c r="A508" s="32" t="s">
        <v>112</v>
      </c>
      <c r="B508" s="39" t="n">
        <v>0</v>
      </c>
      <c r="C508" s="39" t="n">
        <v>0</v>
      </c>
      <c r="D508" s="39" t="n">
        <v>0</v>
      </c>
      <c r="E508" s="39" t="n">
        <v>0</v>
      </c>
      <c r="F508" s="39" t="n">
        <v>9558.2124</v>
      </c>
      <c r="G508" s="39" t="n">
        <v>0</v>
      </c>
      <c r="H508" s="39" t="n">
        <v>1911.6</v>
      </c>
      <c r="I508" s="34"/>
      <c r="J508" s="34"/>
      <c r="K508" s="34"/>
      <c r="L508" s="34"/>
      <c r="M508" s="34"/>
      <c r="N508" s="34"/>
      <c r="O508" s="40" t="n">
        <f aca="false">B508+C508+D508+E508+F508+G508+H508</f>
        <v>11469.8124</v>
      </c>
    </row>
    <row r="509" customFormat="false" ht="16.5" hidden="false" customHeight="true" outlineLevel="1" collapsed="false">
      <c r="A509" s="32" t="s">
        <v>113</v>
      </c>
      <c r="B509" s="41"/>
      <c r="C509" s="41"/>
      <c r="D509" s="41"/>
      <c r="E509" s="41"/>
      <c r="F509" s="41"/>
      <c r="G509" s="41"/>
      <c r="H509" s="41"/>
      <c r="I509" s="34"/>
      <c r="J509" s="34"/>
      <c r="K509" s="34"/>
      <c r="L509" s="34"/>
      <c r="M509" s="34"/>
      <c r="N509" s="34"/>
      <c r="O509" s="40" t="n">
        <f aca="false">B509+C509+D509+E509+F509+G509+H509</f>
        <v>0</v>
      </c>
    </row>
    <row r="510" customFormat="false" ht="16.5" hidden="false" customHeight="true" outlineLevel="1" collapsed="false">
      <c r="A510" s="32" t="s">
        <v>114</v>
      </c>
      <c r="B510" s="36"/>
      <c r="C510" s="36"/>
      <c r="D510" s="36"/>
      <c r="E510" s="36"/>
      <c r="F510" s="36"/>
      <c r="G510" s="36"/>
      <c r="H510" s="36"/>
      <c r="I510" s="34"/>
      <c r="J510" s="34"/>
      <c r="K510" s="34"/>
      <c r="L510" s="34"/>
      <c r="M510" s="34"/>
      <c r="N510" s="34"/>
      <c r="O510" s="35"/>
    </row>
    <row r="511" customFormat="false" ht="18" hidden="false" customHeight="true" outlineLevel="0" collapsed="false">
      <c r="A511" s="30" t="s">
        <v>115</v>
      </c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</row>
    <row r="512" customFormat="false" ht="16.5" hidden="false" customHeight="true" outlineLevel="1" collapsed="false">
      <c r="A512" s="32" t="s">
        <v>116</v>
      </c>
      <c r="B512" s="39"/>
      <c r="C512" s="39"/>
      <c r="D512" s="39"/>
      <c r="E512" s="39"/>
      <c r="F512" s="39"/>
      <c r="G512" s="39"/>
      <c r="H512" s="39"/>
      <c r="I512" s="34"/>
      <c r="J512" s="34"/>
      <c r="K512" s="34"/>
      <c r="L512" s="34"/>
      <c r="M512" s="34"/>
      <c r="N512" s="34"/>
      <c r="O512" s="40" t="n">
        <f aca="false">B512+C512+D512+E512+F512+G512+H512</f>
        <v>0</v>
      </c>
    </row>
    <row r="513" customFormat="false" ht="16.5" hidden="false" customHeight="true" outlineLevel="1" collapsed="false">
      <c r="A513" s="32" t="s">
        <v>117</v>
      </c>
      <c r="B513" s="41" t="n">
        <v>0</v>
      </c>
      <c r="C513" s="41" t="n">
        <v>1</v>
      </c>
      <c r="D513" s="41" t="n">
        <v>0</v>
      </c>
      <c r="E513" s="41" t="n">
        <v>-48</v>
      </c>
      <c r="F513" s="41" t="n">
        <v>250160</v>
      </c>
      <c r="G513" s="41" t="n">
        <v>0</v>
      </c>
      <c r="H513" s="41" t="n">
        <v>50031</v>
      </c>
      <c r="I513" s="34"/>
      <c r="J513" s="34"/>
      <c r="K513" s="34"/>
      <c r="L513" s="34"/>
      <c r="M513" s="34"/>
      <c r="N513" s="34"/>
      <c r="O513" s="40" t="n">
        <f aca="false">B513+C513+D513+E513+F513+G513+H513</f>
        <v>300144</v>
      </c>
    </row>
    <row r="514" customFormat="false" ht="18" hidden="false" customHeight="true" outlineLevel="0" collapsed="false">
      <c r="A514" s="30" t="s">
        <v>118</v>
      </c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</row>
    <row r="515" customFormat="false" ht="16.5" hidden="false" customHeight="true" outlineLevel="1" collapsed="false">
      <c r="A515" s="32" t="s">
        <v>119</v>
      </c>
      <c r="B515" s="38" t="s">
        <v>206</v>
      </c>
      <c r="C515" s="38" t="s">
        <v>207</v>
      </c>
      <c r="D515" s="38" t="s">
        <v>208</v>
      </c>
      <c r="E515" s="38" t="s">
        <v>209</v>
      </c>
      <c r="F515" s="38"/>
      <c r="G515" s="38" t="s">
        <v>210</v>
      </c>
      <c r="H515" s="38"/>
      <c r="I515" s="34"/>
      <c r="J515" s="34"/>
      <c r="K515" s="34"/>
      <c r="L515" s="34"/>
      <c r="M515" s="34"/>
      <c r="N515" s="34"/>
      <c r="O515" s="35"/>
    </row>
    <row r="516" customFormat="false" ht="16.5" hidden="false" customHeight="true" outlineLevel="1" collapsed="false">
      <c r="A516" s="32" t="s">
        <v>121</v>
      </c>
      <c r="B516" s="36" t="n">
        <v>1800003156</v>
      </c>
      <c r="C516" s="36" t="n">
        <v>1800003157</v>
      </c>
      <c r="D516" s="36" t="n">
        <v>1800003158</v>
      </c>
      <c r="E516" s="36" t="n">
        <v>1800003160</v>
      </c>
      <c r="F516" s="36"/>
      <c r="G516" s="36" t="n">
        <v>1800003161</v>
      </c>
      <c r="H516" s="36"/>
      <c r="I516" s="34"/>
      <c r="J516" s="34"/>
      <c r="K516" s="34"/>
      <c r="L516" s="34"/>
      <c r="M516" s="34"/>
      <c r="N516" s="34"/>
      <c r="O516" s="35"/>
    </row>
    <row r="517" customFormat="false" ht="16.5" hidden="false" customHeight="true" outlineLevel="1" collapsed="false">
      <c r="A517" s="32" t="s">
        <v>122</v>
      </c>
      <c r="B517" s="38" t="s">
        <v>136</v>
      </c>
      <c r="C517" s="38" t="s">
        <v>136</v>
      </c>
      <c r="D517" s="38" t="s">
        <v>136</v>
      </c>
      <c r="E517" s="38" t="s">
        <v>136</v>
      </c>
      <c r="F517" s="38"/>
      <c r="G517" s="38" t="s">
        <v>136</v>
      </c>
      <c r="H517" s="38"/>
      <c r="I517" s="34"/>
      <c r="J517" s="34"/>
      <c r="K517" s="34"/>
      <c r="L517" s="34"/>
      <c r="M517" s="34"/>
      <c r="N517" s="34"/>
      <c r="O517" s="35"/>
    </row>
    <row r="518" customFormat="false" ht="19.5" hidden="false" customHeight="true" outlineLevel="0" collapsed="false">
      <c r="A518" s="43" t="s">
        <v>211</v>
      </c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5" t="n">
        <v>511966</v>
      </c>
    </row>
    <row r="519" customFormat="false" ht="6" hidden="false" customHeight="true" outlineLevel="0" collapsed="false"/>
    <row r="520" customFormat="false" ht="25.5" hidden="false" customHeight="true" outlineLevel="0" collapsed="false">
      <c r="A520" s="25" t="s">
        <v>212</v>
      </c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</row>
    <row r="521" customFormat="false" ht="18" hidden="false" customHeight="true" outlineLevel="0" collapsed="false">
      <c r="A521" s="26" t="s">
        <v>77</v>
      </c>
      <c r="B521" s="27" t="n">
        <v>2033</v>
      </c>
      <c r="C521" s="27" t="n">
        <v>2037</v>
      </c>
      <c r="D521" s="27" t="n">
        <v>2067</v>
      </c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9" t="s">
        <v>78</v>
      </c>
    </row>
    <row r="522" customFormat="false" ht="18" hidden="false" customHeight="true" outlineLevel="0" collapsed="false">
      <c r="A522" s="30" t="s">
        <v>79</v>
      </c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</row>
    <row r="523" customFormat="false" ht="16.5" hidden="false" customHeight="true" outlineLevel="1" collapsed="false">
      <c r="A523" s="32" t="s">
        <v>80</v>
      </c>
      <c r="B523" s="33" t="n">
        <v>2033</v>
      </c>
      <c r="C523" s="33" t="n">
        <v>2037</v>
      </c>
      <c r="D523" s="33" t="n">
        <v>2067</v>
      </c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5"/>
    </row>
    <row r="524" customFormat="false" ht="16.5" hidden="false" customHeight="true" outlineLevel="1" collapsed="false">
      <c r="A524" s="32" t="s">
        <v>81</v>
      </c>
      <c r="B524" s="36" t="s">
        <v>213</v>
      </c>
      <c r="C524" s="36" t="s">
        <v>202</v>
      </c>
      <c r="D524" s="36" t="s">
        <v>200</v>
      </c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5"/>
    </row>
    <row r="525" customFormat="false" ht="16.5" hidden="false" customHeight="true" outlineLevel="1" collapsed="false">
      <c r="A525" s="32" t="s">
        <v>83</v>
      </c>
      <c r="B525" s="33" t="n">
        <v>21978</v>
      </c>
      <c r="C525" s="33" t="n">
        <v>21978</v>
      </c>
      <c r="D525" s="33" t="n">
        <v>21980</v>
      </c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5"/>
    </row>
    <row r="526" customFormat="false" ht="16.5" hidden="false" customHeight="true" outlineLevel="1" collapsed="false">
      <c r="A526" s="32" t="s">
        <v>84</v>
      </c>
      <c r="B526" s="37" t="n">
        <v>1000</v>
      </c>
      <c r="C526" s="37" t="n">
        <v>50</v>
      </c>
      <c r="D526" s="37" t="n">
        <v>150</v>
      </c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5"/>
    </row>
    <row r="527" customFormat="false" ht="16.5" hidden="false" customHeight="true" outlineLevel="1" collapsed="false">
      <c r="A527" s="32" t="s">
        <v>85</v>
      </c>
      <c r="B527" s="38" t="s">
        <v>135</v>
      </c>
      <c r="C527" s="38" t="s">
        <v>135</v>
      </c>
      <c r="D527" s="38" t="s">
        <v>135</v>
      </c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5"/>
    </row>
    <row r="528" customFormat="false" ht="16.5" hidden="false" customHeight="true" outlineLevel="1" collapsed="false">
      <c r="A528" s="32" t="s">
        <v>87</v>
      </c>
      <c r="B528" s="39" t="n">
        <v>517</v>
      </c>
      <c r="C528" s="39" t="n">
        <v>531</v>
      </c>
      <c r="D528" s="39" t="n">
        <v>571</v>
      </c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5"/>
    </row>
    <row r="529" customFormat="false" ht="18" hidden="false" customHeight="true" outlineLevel="0" collapsed="false">
      <c r="A529" s="30" t="s">
        <v>88</v>
      </c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</row>
    <row r="530" customFormat="false" ht="16.5" hidden="false" customHeight="true" outlineLevel="1" collapsed="false">
      <c r="A530" s="32" t="s">
        <v>89</v>
      </c>
      <c r="B530" s="39" t="n">
        <v>517000</v>
      </c>
      <c r="C530" s="39" t="n">
        <v>26550</v>
      </c>
      <c r="D530" s="39" t="n">
        <v>85650</v>
      </c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40" t="n">
        <f aca="false">B530+C530+D530</f>
        <v>629200</v>
      </c>
    </row>
    <row r="531" customFormat="false" ht="16.5" hidden="false" customHeight="true" outlineLevel="1" collapsed="false">
      <c r="A531" s="32" t="s">
        <v>90</v>
      </c>
      <c r="B531" s="41" t="n">
        <v>93060</v>
      </c>
      <c r="C531" s="41" t="n">
        <v>4779</v>
      </c>
      <c r="D531" s="41" t="n">
        <v>15417</v>
      </c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40" t="n">
        <f aca="false">B531+C531+D531</f>
        <v>113256</v>
      </c>
    </row>
    <row r="532" customFormat="false" ht="16.5" hidden="false" customHeight="true" outlineLevel="1" collapsed="false">
      <c r="A532" s="32" t="s">
        <v>91</v>
      </c>
      <c r="B532" s="39" t="n">
        <v>610060</v>
      </c>
      <c r="C532" s="39" t="n">
        <v>31329</v>
      </c>
      <c r="D532" s="39" t="n">
        <v>101067</v>
      </c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40" t="n">
        <f aca="false">B532+C532+D532</f>
        <v>742456</v>
      </c>
    </row>
    <row r="533" customFormat="false" ht="16.5" hidden="false" customHeight="true" outlineLevel="1" collapsed="false">
      <c r="A533" s="32" t="s">
        <v>92</v>
      </c>
      <c r="B533" s="41" t="n">
        <v>12201</v>
      </c>
      <c r="C533" s="41" t="n">
        <v>627</v>
      </c>
      <c r="D533" s="41" t="n">
        <v>2021</v>
      </c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40" t="n">
        <f aca="false">B533+C533+D533</f>
        <v>14849</v>
      </c>
    </row>
    <row r="534" customFormat="false" ht="16.5" hidden="false" customHeight="true" outlineLevel="1" collapsed="false">
      <c r="A534" s="32" t="s">
        <v>93</v>
      </c>
      <c r="B534" s="39" t="n">
        <v>517</v>
      </c>
      <c r="C534" s="39" t="n">
        <v>26.55</v>
      </c>
      <c r="D534" s="39" t="n">
        <v>85.65</v>
      </c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40" t="n">
        <f aca="false">B534+C534+D534</f>
        <v>629.2</v>
      </c>
    </row>
    <row r="535" customFormat="false" ht="16.5" hidden="false" customHeight="true" outlineLevel="1" collapsed="false">
      <c r="A535" s="32" t="s">
        <v>94</v>
      </c>
      <c r="B535" s="41" t="n">
        <v>13726.35</v>
      </c>
      <c r="C535" s="41" t="n">
        <v>704.9025</v>
      </c>
      <c r="D535" s="41" t="n">
        <v>2274.0075</v>
      </c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40" t="n">
        <f aca="false">B535+C535+D535</f>
        <v>16705.26</v>
      </c>
    </row>
    <row r="536" customFormat="false" ht="16.5" hidden="false" customHeight="true" outlineLevel="1" collapsed="false">
      <c r="A536" s="32" t="s">
        <v>95</v>
      </c>
      <c r="B536" s="39" t="n">
        <v>232.65</v>
      </c>
      <c r="C536" s="39" t="n">
        <v>11.9475</v>
      </c>
      <c r="D536" s="39" t="n">
        <v>38.5425</v>
      </c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40" t="n">
        <f aca="false">B536+C536+D536</f>
        <v>283.14</v>
      </c>
    </row>
    <row r="537" customFormat="false" ht="16.5" hidden="false" customHeight="true" outlineLevel="1" collapsed="false">
      <c r="A537" s="32" t="s">
        <v>96</v>
      </c>
      <c r="B537" s="41" t="n">
        <v>13493.7</v>
      </c>
      <c r="C537" s="41" t="n">
        <v>692.955</v>
      </c>
      <c r="D537" s="41" t="n">
        <v>2235.465</v>
      </c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40" t="n">
        <f aca="false">B537+C537+D537</f>
        <v>16422.12</v>
      </c>
    </row>
    <row r="538" customFormat="false" ht="16.5" hidden="false" customHeight="true" outlineLevel="1" collapsed="false">
      <c r="A538" s="32" t="s">
        <v>97</v>
      </c>
      <c r="B538" s="39" t="n">
        <v>14011</v>
      </c>
      <c r="C538" s="39" t="n">
        <v>720</v>
      </c>
      <c r="D538" s="39" t="n">
        <v>2321</v>
      </c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40" t="n">
        <f aca="false">B538+C538+D538</f>
        <v>17052</v>
      </c>
    </row>
    <row r="539" customFormat="false" ht="16.5" hidden="false" customHeight="true" outlineLevel="1" collapsed="false">
      <c r="A539" s="32" t="s">
        <v>98</v>
      </c>
      <c r="B539" s="42" t="n">
        <v>0</v>
      </c>
      <c r="C539" s="42" t="n">
        <v>0</v>
      </c>
      <c r="D539" s="42" t="n">
        <v>0</v>
      </c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5"/>
    </row>
    <row r="540" customFormat="false" ht="16.5" hidden="false" customHeight="true" outlineLevel="1" collapsed="false">
      <c r="A540" s="32" t="s">
        <v>99</v>
      </c>
      <c r="B540" s="39" t="n">
        <v>0</v>
      </c>
      <c r="C540" s="39" t="n">
        <v>0</v>
      </c>
      <c r="D540" s="39" t="n">
        <v>0</v>
      </c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40" t="n">
        <f aca="false">B540+C540+D540</f>
        <v>0</v>
      </c>
    </row>
    <row r="541" customFormat="false" ht="16.5" hidden="false" customHeight="true" outlineLevel="1" collapsed="false">
      <c r="A541" s="32" t="s">
        <v>100</v>
      </c>
      <c r="B541" s="41" t="n">
        <v>608251</v>
      </c>
      <c r="C541" s="41" t="n">
        <v>31236</v>
      </c>
      <c r="D541" s="41" t="n">
        <v>100767</v>
      </c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40" t="n">
        <f aca="false">B541+C541+D541</f>
        <v>740254</v>
      </c>
    </row>
    <row r="542" customFormat="false" ht="18" hidden="false" customHeight="true" outlineLevel="0" collapsed="false">
      <c r="A542" s="30" t="s">
        <v>101</v>
      </c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</row>
    <row r="543" customFormat="false" ht="16.5" hidden="false" customHeight="true" outlineLevel="1" collapsed="false">
      <c r="A543" s="32" t="s">
        <v>102</v>
      </c>
      <c r="B543" s="41" t="n">
        <v>129250</v>
      </c>
      <c r="C543" s="41" t="n">
        <v>6638</v>
      </c>
      <c r="D543" s="41" t="n">
        <v>21413</v>
      </c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40" t="n">
        <f aca="false">B543+C543+D543</f>
        <v>157301</v>
      </c>
    </row>
    <row r="544" customFormat="false" ht="16.5" hidden="false" customHeight="true" outlineLevel="1" collapsed="false">
      <c r="A544" s="32" t="s">
        <v>103</v>
      </c>
      <c r="B544" s="39" t="n">
        <v>129250</v>
      </c>
      <c r="C544" s="39" t="n">
        <v>6638</v>
      </c>
      <c r="D544" s="39" t="n">
        <v>21413</v>
      </c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40" t="n">
        <f aca="false">B544+C544+D544</f>
        <v>157301</v>
      </c>
    </row>
    <row r="545" customFormat="false" ht="16.5" hidden="false" customHeight="true" outlineLevel="1" collapsed="false">
      <c r="A545" s="32" t="s">
        <v>104</v>
      </c>
      <c r="B545" s="38" t="s">
        <v>136</v>
      </c>
      <c r="C545" s="38" t="s">
        <v>136</v>
      </c>
      <c r="D545" s="38" t="s">
        <v>136</v>
      </c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5"/>
    </row>
    <row r="546" customFormat="false" ht="18" hidden="false" customHeight="true" outlineLevel="0" collapsed="false">
      <c r="A546" s="30" t="s">
        <v>106</v>
      </c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</row>
    <row r="547" customFormat="false" ht="16.5" hidden="false" customHeight="true" outlineLevel="1" collapsed="false">
      <c r="A547" s="32" t="s">
        <v>107</v>
      </c>
      <c r="B547" s="41" t="n">
        <v>479001</v>
      </c>
      <c r="C547" s="41" t="n">
        <v>24599</v>
      </c>
      <c r="D547" s="41" t="n">
        <v>79355</v>
      </c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40" t="n">
        <f aca="false">B547+C547+D547</f>
        <v>582955</v>
      </c>
    </row>
    <row r="548" customFormat="false" ht="16.5" hidden="false" customHeight="true" outlineLevel="1" collapsed="false">
      <c r="A548" s="32" t="s">
        <v>108</v>
      </c>
      <c r="B548" s="39" t="n">
        <v>479001</v>
      </c>
      <c r="C548" s="39" t="n">
        <v>24598</v>
      </c>
      <c r="D548" s="39" t="n">
        <v>79354</v>
      </c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40" t="n">
        <f aca="false">B548+C548+D548</f>
        <v>582953</v>
      </c>
    </row>
    <row r="549" customFormat="false" ht="16.5" hidden="false" customHeight="true" outlineLevel="1" collapsed="false">
      <c r="A549" s="32" t="s">
        <v>109</v>
      </c>
      <c r="B549" s="38" t="s">
        <v>174</v>
      </c>
      <c r="C549" s="38" t="s">
        <v>174</v>
      </c>
      <c r="D549" s="38" t="s">
        <v>128</v>
      </c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5"/>
    </row>
    <row r="550" customFormat="false" ht="18" hidden="false" customHeight="true" outlineLevel="0" collapsed="false">
      <c r="A550" s="30" t="s">
        <v>111</v>
      </c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</row>
    <row r="551" customFormat="false" ht="16.5" hidden="false" customHeight="true" outlineLevel="1" collapsed="false">
      <c r="A551" s="32" t="s">
        <v>112</v>
      </c>
      <c r="B551" s="41" t="n">
        <v>0</v>
      </c>
      <c r="C551" s="41" t="n">
        <v>0</v>
      </c>
      <c r="D551" s="41" t="n">
        <v>0</v>
      </c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40" t="n">
        <f aca="false">B551+C551+D551</f>
        <v>0</v>
      </c>
    </row>
    <row r="552" customFormat="false" ht="16.5" hidden="false" customHeight="true" outlineLevel="1" collapsed="false">
      <c r="A552" s="32" t="s">
        <v>113</v>
      </c>
      <c r="B552" s="39"/>
      <c r="C552" s="39"/>
      <c r="D552" s="39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40" t="n">
        <f aca="false">B552+C552+D552</f>
        <v>0</v>
      </c>
    </row>
    <row r="553" customFormat="false" ht="16.5" hidden="false" customHeight="true" outlineLevel="1" collapsed="false">
      <c r="A553" s="32" t="s">
        <v>114</v>
      </c>
      <c r="B553" s="38"/>
      <c r="C553" s="38"/>
      <c r="D553" s="38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5"/>
    </row>
    <row r="554" customFormat="false" ht="18" hidden="false" customHeight="true" outlineLevel="0" collapsed="false">
      <c r="A554" s="30" t="s">
        <v>115</v>
      </c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</row>
    <row r="555" customFormat="false" ht="16.5" hidden="false" customHeight="true" outlineLevel="1" collapsed="false">
      <c r="A555" s="32" t="s">
        <v>116</v>
      </c>
      <c r="B555" s="41"/>
      <c r="C555" s="41"/>
      <c r="D555" s="41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40" t="n">
        <f aca="false">B555+C555+D555</f>
        <v>0</v>
      </c>
    </row>
    <row r="556" customFormat="false" ht="16.5" hidden="false" customHeight="true" outlineLevel="1" collapsed="false">
      <c r="A556" s="32" t="s">
        <v>117</v>
      </c>
      <c r="B556" s="39" t="n">
        <v>0</v>
      </c>
      <c r="C556" s="39" t="n">
        <v>0</v>
      </c>
      <c r="D556" s="39" t="n">
        <v>0</v>
      </c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40" t="n">
        <f aca="false">B556+C556+D556</f>
        <v>0</v>
      </c>
    </row>
    <row r="557" customFormat="false" ht="18" hidden="false" customHeight="true" outlineLevel="0" collapsed="false">
      <c r="A557" s="30" t="s">
        <v>118</v>
      </c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</row>
    <row r="558" customFormat="false" ht="16.5" hidden="false" customHeight="true" outlineLevel="1" collapsed="false">
      <c r="A558" s="32" t="s">
        <v>119</v>
      </c>
      <c r="B558" s="36" t="s">
        <v>214</v>
      </c>
      <c r="C558" s="36" t="s">
        <v>215</v>
      </c>
      <c r="D558" s="36" t="s">
        <v>216</v>
      </c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5"/>
    </row>
    <row r="559" customFormat="false" ht="16.5" hidden="false" customHeight="true" outlineLevel="1" collapsed="false">
      <c r="A559" s="32" t="s">
        <v>121</v>
      </c>
      <c r="B559" s="38" t="n">
        <v>1800003317</v>
      </c>
      <c r="C559" s="38" t="n">
        <v>1800003318</v>
      </c>
      <c r="D559" s="38" t="n">
        <v>1800003248</v>
      </c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5"/>
    </row>
    <row r="560" customFormat="false" ht="16.5" hidden="false" customHeight="true" outlineLevel="1" collapsed="false">
      <c r="A560" s="32" t="s">
        <v>122</v>
      </c>
      <c r="B560" s="36" t="s">
        <v>131</v>
      </c>
      <c r="C560" s="36" t="s">
        <v>131</v>
      </c>
      <c r="D560" s="36" t="s">
        <v>128</v>
      </c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5"/>
    </row>
    <row r="561" customFormat="false" ht="19.5" hidden="false" customHeight="true" outlineLevel="0" collapsed="false">
      <c r="A561" s="43" t="s">
        <v>217</v>
      </c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5" t="n">
        <v>629200</v>
      </c>
    </row>
    <row r="562" customFormat="false" ht="6" hidden="false" customHeight="true" outlineLevel="0" collapsed="false"/>
  </sheetData>
  <mergeCells count="15">
    <mergeCell ref="A1:O1"/>
    <mergeCell ref="A2:O2"/>
    <mergeCell ref="A4:O4"/>
    <mergeCell ref="A47:O47"/>
    <mergeCell ref="A90:O90"/>
    <mergeCell ref="A133:O133"/>
    <mergeCell ref="A176:O176"/>
    <mergeCell ref="A219:O219"/>
    <mergeCell ref="A262:O262"/>
    <mergeCell ref="A305:O305"/>
    <mergeCell ref="A348:O348"/>
    <mergeCell ref="A391:O391"/>
    <mergeCell ref="A434:O434"/>
    <mergeCell ref="A477:O477"/>
    <mergeCell ref="A520:O5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6796875" defaultRowHeight="14.25" zeroHeight="false" outlineLevelRow="0" outlineLevelCol="0"/>
  <cols>
    <col collapsed="false" customWidth="true" hidden="false" outlineLevel="0" max="2" min="2" style="1" width="29.44"/>
    <col collapsed="false" customWidth="true" hidden="false" outlineLevel="0" max="3" min="3" style="1" width="9.11"/>
    <col collapsed="false" customWidth="true" hidden="false" outlineLevel="0" max="4" min="4" style="1" width="9.44"/>
    <col collapsed="false" customWidth="true" hidden="false" outlineLevel="0" max="5" min="5" style="1" width="4.88"/>
    <col collapsed="false" customWidth="true" hidden="false" outlineLevel="0" max="6" min="6" style="1" width="7.33"/>
    <col collapsed="false" customWidth="true" hidden="false" outlineLevel="0" max="7" min="7" style="1" width="25"/>
    <col collapsed="false" customWidth="true" hidden="false" outlineLevel="0" max="8" min="8" style="1" width="10.66"/>
    <col collapsed="false" customWidth="true" hidden="false" outlineLevel="0" max="9" min="9" style="1" width="9.11"/>
    <col collapsed="false" customWidth="true" hidden="false" outlineLevel="0" max="10" min="10" style="1" width="12.11"/>
    <col collapsed="false" customWidth="true" hidden="false" outlineLevel="0" max="11" min="11" style="1" width="8.11"/>
    <col collapsed="false" customWidth="true" hidden="false" outlineLevel="0" max="12" min="12" style="1" width="6.88"/>
    <col collapsed="false" customWidth="true" hidden="false" outlineLevel="0" max="13" min="13" style="1" width="8.34"/>
    <col collapsed="false" customWidth="true" hidden="false" outlineLevel="0" max="14" min="14" style="1" width="6.67"/>
    <col collapsed="false" customWidth="true" hidden="false" outlineLevel="0" max="15" min="15" style="1" width="9.11"/>
    <col collapsed="false" customWidth="true" hidden="false" outlineLevel="0" max="16" min="16" style="47" width="8.34"/>
    <col collapsed="false" customWidth="true" hidden="false" outlineLevel="0" max="17" min="17" style="47" width="8.11"/>
    <col collapsed="false" customWidth="true" hidden="false" outlineLevel="0" max="18" min="18" style="1" width="8.11"/>
    <col collapsed="false" customWidth="true" hidden="false" outlineLevel="0" max="19" min="19" style="1" width="11.56"/>
    <col collapsed="false" customWidth="true" hidden="false" outlineLevel="0" max="20" min="20" style="1" width="9.88"/>
    <col collapsed="false" customWidth="true" hidden="false" outlineLevel="0" max="21" min="21" style="48" width="10"/>
    <col collapsed="false" customWidth="true" hidden="false" outlineLevel="0" max="22" min="22" style="48" width="10.11"/>
    <col collapsed="false" customWidth="true" hidden="false" outlineLevel="0" max="23" min="23" style="1" width="10.66"/>
    <col collapsed="false" customWidth="true" hidden="false" outlineLevel="0" max="24" min="24" style="1" width="10.56"/>
    <col collapsed="false" customWidth="true" hidden="false" outlineLevel="0" max="29" min="25" style="1" width="10.11"/>
    <col collapsed="false" customWidth="true" hidden="false" outlineLevel="0" max="30" min="30" style="1" width="11.56"/>
    <col collapsed="false" customWidth="true" hidden="false" outlineLevel="0" max="31" min="31" style="1" width="13.67"/>
    <col collapsed="false" customWidth="true" hidden="false" outlineLevel="0" max="32" min="32" style="1" width="14.11"/>
    <col collapsed="false" customWidth="true" hidden="false" outlineLevel="0" max="33" min="33" style="1" width="10.11"/>
  </cols>
  <sheetData>
    <row r="1" customFormat="false" ht="24" hidden="false" customHeight="true" outlineLevel="0" collapsed="false">
      <c r="A1" s="49"/>
      <c r="B1" s="49" t="s">
        <v>218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</row>
    <row r="2" customFormat="false" ht="27.75" hidden="false" customHeight="true" outlineLevel="0" collapsed="false">
      <c r="A2" s="50" t="s">
        <v>219</v>
      </c>
      <c r="B2" s="51" t="s">
        <v>220</v>
      </c>
      <c r="C2" s="51"/>
      <c r="D2" s="51"/>
      <c r="E2" s="52"/>
      <c r="F2" s="50" t="s">
        <v>221</v>
      </c>
      <c r="G2" s="51" t="s">
        <v>222</v>
      </c>
      <c r="H2" s="51"/>
      <c r="I2" s="53" t="s">
        <v>223</v>
      </c>
      <c r="J2" s="53"/>
      <c r="K2" s="53"/>
      <c r="L2" s="53"/>
      <c r="M2" s="53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</row>
    <row r="3" customFormat="false" ht="30" hidden="false" customHeight="true" outlineLevel="0" collapsed="false">
      <c r="A3" s="54" t="s">
        <v>23</v>
      </c>
      <c r="B3" s="55" t="s">
        <v>21</v>
      </c>
      <c r="C3" s="55" t="s">
        <v>224</v>
      </c>
      <c r="D3" s="55" t="s">
        <v>22</v>
      </c>
      <c r="E3" s="55" t="s">
        <v>24</v>
      </c>
      <c r="F3" s="55" t="s">
        <v>20</v>
      </c>
      <c r="G3" s="55" t="s">
        <v>225</v>
      </c>
      <c r="H3" s="55" t="s">
        <v>226</v>
      </c>
      <c r="I3" s="55" t="s">
        <v>227</v>
      </c>
      <c r="J3" s="56" t="s">
        <v>228</v>
      </c>
      <c r="K3" s="55" t="s">
        <v>229</v>
      </c>
      <c r="L3" s="56" t="s">
        <v>230</v>
      </c>
      <c r="M3" s="56" t="s">
        <v>231</v>
      </c>
      <c r="N3" s="56" t="s">
        <v>232</v>
      </c>
      <c r="O3" s="57" t="s">
        <v>233</v>
      </c>
      <c r="P3" s="56" t="s">
        <v>234</v>
      </c>
      <c r="Q3" s="56" t="s">
        <v>36</v>
      </c>
      <c r="R3" s="56" t="s">
        <v>235</v>
      </c>
      <c r="S3" s="56" t="s">
        <v>236</v>
      </c>
      <c r="T3" s="56" t="s">
        <v>237</v>
      </c>
      <c r="U3" s="56" t="s">
        <v>238</v>
      </c>
      <c r="V3" s="56" t="s">
        <v>239</v>
      </c>
      <c r="W3" s="58" t="s">
        <v>240</v>
      </c>
      <c r="X3" s="56" t="s">
        <v>241</v>
      </c>
      <c r="Y3" s="56" t="s">
        <v>239</v>
      </c>
      <c r="Z3" s="56" t="s">
        <v>242</v>
      </c>
      <c r="AA3" s="56" t="s">
        <v>243</v>
      </c>
      <c r="AB3" s="56" t="s">
        <v>244</v>
      </c>
      <c r="AC3" s="56" t="s">
        <v>245</v>
      </c>
      <c r="AD3" s="56" t="s">
        <v>246</v>
      </c>
      <c r="AE3" s="56" t="s">
        <v>247</v>
      </c>
      <c r="AF3" s="56" t="s">
        <v>56</v>
      </c>
      <c r="AG3" s="59" t="s">
        <v>57</v>
      </c>
    </row>
    <row r="4" customFormat="false" ht="39" hidden="false" customHeight="true" outlineLevel="0" collapsed="false">
      <c r="A4" s="60" t="n">
        <v>669</v>
      </c>
      <c r="B4" s="61" t="s">
        <v>82</v>
      </c>
      <c r="C4" s="62" t="n">
        <v>1181</v>
      </c>
      <c r="D4" s="63" t="n">
        <v>21980</v>
      </c>
      <c r="E4" s="63" t="s">
        <v>86</v>
      </c>
      <c r="F4" s="63" t="n">
        <v>1763</v>
      </c>
      <c r="G4" s="61" t="s">
        <v>2</v>
      </c>
      <c r="H4" s="64" t="n">
        <v>790089</v>
      </c>
      <c r="I4" s="64" t="n">
        <v>142216</v>
      </c>
      <c r="J4" s="64" t="n">
        <v>932305</v>
      </c>
      <c r="K4" s="64" t="n">
        <v>18646</v>
      </c>
      <c r="L4" s="65" t="n">
        <v>790.089</v>
      </c>
      <c r="M4" s="65" t="n">
        <v>20976.86295</v>
      </c>
      <c r="N4" s="66" t="n">
        <v>355.54005</v>
      </c>
      <c r="O4" s="65" t="n">
        <v>20621.3229</v>
      </c>
      <c r="P4" s="65" t="n">
        <v>21411</v>
      </c>
      <c r="Q4" s="67" t="n">
        <v>0.02</v>
      </c>
      <c r="R4" s="65" t="n">
        <v>15802</v>
      </c>
      <c r="S4" s="64" t="n">
        <v>913738</v>
      </c>
      <c r="T4" s="65" t="n">
        <v>197522</v>
      </c>
      <c r="U4" s="68" t="n">
        <v>197522</v>
      </c>
      <c r="V4" s="65" t="s">
        <v>105</v>
      </c>
      <c r="W4" s="65" t="n">
        <v>716215</v>
      </c>
      <c r="X4" s="65" t="n">
        <v>716216</v>
      </c>
      <c r="Y4" s="65" t="s">
        <v>110</v>
      </c>
      <c r="Z4" s="65" t="n">
        <v>0</v>
      </c>
      <c r="AA4" s="65"/>
      <c r="AB4" s="65"/>
      <c r="AC4" s="65"/>
      <c r="AD4" s="69" t="n">
        <v>0</v>
      </c>
      <c r="AE4" s="70" t="s">
        <v>120</v>
      </c>
      <c r="AF4" s="71" t="n">
        <v>1800003271</v>
      </c>
      <c r="AG4" s="72" t="s">
        <v>105</v>
      </c>
    </row>
    <row r="5" customFormat="false" ht="14.25" hidden="false" customHeight="true" outlineLevel="0" collapsed="false">
      <c r="A5" s="73" t="n">
        <v>270</v>
      </c>
      <c r="B5" s="74" t="s">
        <v>150</v>
      </c>
      <c r="C5" s="75" t="n">
        <v>580</v>
      </c>
      <c r="D5" s="76" t="n">
        <v>21977</v>
      </c>
      <c r="E5" s="76" t="s">
        <v>135</v>
      </c>
      <c r="F5" s="76" t="n">
        <v>1874</v>
      </c>
      <c r="G5" s="74" t="s">
        <v>248</v>
      </c>
      <c r="H5" s="77" t="n">
        <v>156600</v>
      </c>
      <c r="I5" s="77" t="n">
        <v>28188</v>
      </c>
      <c r="J5" s="77" t="n">
        <v>184788</v>
      </c>
      <c r="K5" s="77" t="n">
        <v>3696</v>
      </c>
      <c r="L5" s="78" t="n">
        <v>156.6</v>
      </c>
      <c r="M5" s="78" t="n">
        <v>4157.73</v>
      </c>
      <c r="N5" s="79" t="n">
        <v>70.47</v>
      </c>
      <c r="O5" s="78" t="n">
        <v>4087.26</v>
      </c>
      <c r="P5" s="78" t="n">
        <v>4244</v>
      </c>
      <c r="Q5" s="80" t="n">
        <v>0</v>
      </c>
      <c r="R5" s="78" t="n">
        <v>0</v>
      </c>
      <c r="S5" s="77" t="n">
        <v>184240</v>
      </c>
      <c r="T5" s="78" t="n">
        <v>39150</v>
      </c>
      <c r="U5" s="81" t="n">
        <v>39150</v>
      </c>
      <c r="V5" s="78" t="s">
        <v>158</v>
      </c>
      <c r="W5" s="78" t="n">
        <v>145090</v>
      </c>
      <c r="X5" s="78" t="n">
        <v>145090</v>
      </c>
      <c r="Y5" s="78" t="s">
        <v>105</v>
      </c>
      <c r="Z5" s="78" t="n">
        <v>0</v>
      </c>
      <c r="AA5" s="78"/>
      <c r="AB5" s="78"/>
      <c r="AC5" s="78"/>
      <c r="AD5" s="70" t="n">
        <v>0</v>
      </c>
      <c r="AE5" s="70" t="s">
        <v>159</v>
      </c>
      <c r="AF5" s="71" t="n">
        <v>1800003302</v>
      </c>
      <c r="AG5" s="72" t="s">
        <v>131</v>
      </c>
    </row>
    <row r="6" customFormat="false" ht="26.25" hidden="false" customHeight="true" outlineLevel="0" collapsed="false">
      <c r="A6" s="73" t="n">
        <v>28</v>
      </c>
      <c r="B6" s="74" t="s">
        <v>125</v>
      </c>
      <c r="C6" s="75" t="n">
        <v>1456</v>
      </c>
      <c r="D6" s="76" t="n">
        <v>21977</v>
      </c>
      <c r="E6" s="76" t="s">
        <v>86</v>
      </c>
      <c r="F6" s="76" t="n">
        <v>1875</v>
      </c>
      <c r="G6" s="74" t="s">
        <v>249</v>
      </c>
      <c r="H6" s="77" t="n">
        <v>40768</v>
      </c>
      <c r="I6" s="77" t="n">
        <v>7338</v>
      </c>
      <c r="J6" s="77" t="n">
        <v>48106</v>
      </c>
      <c r="K6" s="77" t="n">
        <v>962</v>
      </c>
      <c r="L6" s="78" t="n">
        <v>40.768</v>
      </c>
      <c r="M6" s="78" t="n">
        <v>1082.3904</v>
      </c>
      <c r="N6" s="79" t="n">
        <v>18.3456</v>
      </c>
      <c r="O6" s="78" t="n">
        <v>1064.0448</v>
      </c>
      <c r="P6" s="78" t="n">
        <v>1105</v>
      </c>
      <c r="Q6" s="80" t="n">
        <v>0</v>
      </c>
      <c r="R6" s="78" t="n">
        <v>0</v>
      </c>
      <c r="S6" s="77" t="n">
        <v>47964</v>
      </c>
      <c r="T6" s="78" t="n">
        <v>10192</v>
      </c>
      <c r="U6" s="81" t="n">
        <v>10192</v>
      </c>
      <c r="V6" s="78" t="s">
        <v>127</v>
      </c>
      <c r="W6" s="78" t="n">
        <v>37772</v>
      </c>
      <c r="X6" s="78" t="n">
        <v>37772</v>
      </c>
      <c r="Y6" s="78" t="s">
        <v>128</v>
      </c>
      <c r="Z6" s="78" t="n">
        <v>0</v>
      </c>
      <c r="AA6" s="78"/>
      <c r="AB6" s="78"/>
      <c r="AC6" s="78"/>
      <c r="AD6" s="70" t="n">
        <v>0</v>
      </c>
      <c r="AE6" s="70" t="s">
        <v>129</v>
      </c>
      <c r="AF6" s="71" t="n">
        <v>1800003346</v>
      </c>
      <c r="AG6" s="72" t="s">
        <v>131</v>
      </c>
    </row>
    <row r="7" customFormat="false" ht="39" hidden="false" customHeight="true" outlineLevel="0" collapsed="false">
      <c r="A7" s="73" t="n">
        <v>3000</v>
      </c>
      <c r="B7" s="74" t="s">
        <v>126</v>
      </c>
      <c r="C7" s="75" t="n">
        <v>66</v>
      </c>
      <c r="D7" s="76" t="n">
        <v>21977</v>
      </c>
      <c r="E7" s="76" t="s">
        <v>86</v>
      </c>
      <c r="F7" s="76" t="n">
        <v>1876</v>
      </c>
      <c r="G7" s="74" t="s">
        <v>249</v>
      </c>
      <c r="H7" s="77" t="n">
        <v>198000</v>
      </c>
      <c r="I7" s="77" t="n">
        <v>35640</v>
      </c>
      <c r="J7" s="77" t="n">
        <v>233640</v>
      </c>
      <c r="K7" s="77" t="n">
        <v>4673</v>
      </c>
      <c r="L7" s="78" t="n">
        <v>198</v>
      </c>
      <c r="M7" s="78" t="n">
        <v>5256.9</v>
      </c>
      <c r="N7" s="79" t="n">
        <v>89.1</v>
      </c>
      <c r="O7" s="78" t="n">
        <v>5167.8</v>
      </c>
      <c r="P7" s="78" t="n">
        <v>5366</v>
      </c>
      <c r="Q7" s="80" t="n">
        <v>0</v>
      </c>
      <c r="R7" s="78" t="n">
        <v>0</v>
      </c>
      <c r="S7" s="77" t="n">
        <v>232947</v>
      </c>
      <c r="T7" s="78" t="n">
        <v>49500</v>
      </c>
      <c r="U7" s="81" t="n">
        <v>49500</v>
      </c>
      <c r="V7" s="78" t="s">
        <v>127</v>
      </c>
      <c r="W7" s="78" t="n">
        <v>183447</v>
      </c>
      <c r="X7" s="78" t="n">
        <v>183446</v>
      </c>
      <c r="Y7" s="78" t="s">
        <v>128</v>
      </c>
      <c r="Z7" s="78" t="n">
        <v>0</v>
      </c>
      <c r="AA7" s="78"/>
      <c r="AB7" s="78"/>
      <c r="AC7" s="78"/>
      <c r="AD7" s="70" t="n">
        <v>1</v>
      </c>
      <c r="AE7" s="70" t="s">
        <v>130</v>
      </c>
      <c r="AF7" s="71" t="n">
        <v>1800003347</v>
      </c>
      <c r="AG7" s="72" t="s">
        <v>131</v>
      </c>
    </row>
    <row r="8" customFormat="false" ht="26.25" hidden="false" customHeight="true" outlineLevel="0" collapsed="false">
      <c r="A8" s="73" t="n">
        <v>7253</v>
      </c>
      <c r="B8" s="74" t="s">
        <v>178</v>
      </c>
      <c r="C8" s="75" t="n">
        <v>227</v>
      </c>
      <c r="D8" s="76" t="n">
        <v>21980</v>
      </c>
      <c r="E8" s="76" t="s">
        <v>86</v>
      </c>
      <c r="F8" s="76" t="n">
        <v>1923</v>
      </c>
      <c r="G8" s="74" t="s">
        <v>250</v>
      </c>
      <c r="H8" s="77" t="n">
        <v>1646431</v>
      </c>
      <c r="I8" s="77" t="n">
        <v>296358</v>
      </c>
      <c r="J8" s="77" t="n">
        <v>1942789</v>
      </c>
      <c r="K8" s="77" t="n">
        <v>38856</v>
      </c>
      <c r="L8" s="78" t="n">
        <v>1646.431</v>
      </c>
      <c r="M8" s="78" t="n">
        <v>43712.74305</v>
      </c>
      <c r="N8" s="79" t="n">
        <v>740.89395</v>
      </c>
      <c r="O8" s="78" t="n">
        <v>42971.8491</v>
      </c>
      <c r="P8" s="78" t="n">
        <v>44618</v>
      </c>
      <c r="Q8" s="80" t="n">
        <v>0.02</v>
      </c>
      <c r="R8" s="78" t="n">
        <v>32929</v>
      </c>
      <c r="S8" s="77" t="n">
        <v>1904097</v>
      </c>
      <c r="T8" s="78" t="n">
        <v>411608</v>
      </c>
      <c r="U8" s="81" t="n">
        <v>411608</v>
      </c>
      <c r="V8" s="78" t="s">
        <v>136</v>
      </c>
      <c r="W8" s="78" t="n">
        <v>1492489</v>
      </c>
      <c r="X8" s="78" t="n">
        <v>1492490</v>
      </c>
      <c r="Y8" s="78" t="s">
        <v>105</v>
      </c>
      <c r="Z8" s="78" t="n">
        <v>0</v>
      </c>
      <c r="AA8" s="78"/>
      <c r="AB8" s="78"/>
      <c r="AC8" s="78"/>
      <c r="AD8" s="70" t="n">
        <v>-1</v>
      </c>
      <c r="AE8" s="70" t="s">
        <v>181</v>
      </c>
      <c r="AF8" s="71" t="n">
        <v>1800003315</v>
      </c>
      <c r="AG8" s="72" t="s">
        <v>131</v>
      </c>
    </row>
    <row r="9" customFormat="false" ht="14.25" hidden="false" customHeight="true" outlineLevel="0" collapsed="false">
      <c r="A9" s="73" t="n">
        <v>1</v>
      </c>
      <c r="B9" s="74" t="s">
        <v>194</v>
      </c>
      <c r="C9" s="75" t="n">
        <v>2787314</v>
      </c>
      <c r="D9" s="76" t="n">
        <v>21977</v>
      </c>
      <c r="E9" s="76" t="s">
        <v>135</v>
      </c>
      <c r="F9" s="76" t="n">
        <v>1976</v>
      </c>
      <c r="G9" s="74" t="s">
        <v>251</v>
      </c>
      <c r="H9" s="77" t="n">
        <v>2787314</v>
      </c>
      <c r="I9" s="77" t="n">
        <v>501717</v>
      </c>
      <c r="J9" s="77" t="n">
        <v>3289031</v>
      </c>
      <c r="K9" s="77" t="n">
        <v>65781</v>
      </c>
      <c r="L9" s="78" t="n">
        <v>2787.314</v>
      </c>
      <c r="M9" s="78" t="n">
        <v>74003.1867</v>
      </c>
      <c r="N9" s="79" t="n">
        <v>1254.2913</v>
      </c>
      <c r="O9" s="78" t="n">
        <v>72748.8954</v>
      </c>
      <c r="P9" s="78" t="n">
        <v>75536</v>
      </c>
      <c r="Q9" s="80" t="n">
        <v>0</v>
      </c>
      <c r="R9" s="78" t="n">
        <v>0</v>
      </c>
      <c r="S9" s="77" t="n">
        <v>3279275</v>
      </c>
      <c r="T9" s="78" t="n">
        <v>696829</v>
      </c>
      <c r="U9" s="81" t="n">
        <v>696829</v>
      </c>
      <c r="V9" s="78" t="s">
        <v>158</v>
      </c>
      <c r="W9" s="78" t="n">
        <v>2582446</v>
      </c>
      <c r="X9" s="78" t="n">
        <v>2582447.09429161</v>
      </c>
      <c r="Y9" s="78" t="s">
        <v>158</v>
      </c>
      <c r="Z9" s="78" t="n">
        <v>0</v>
      </c>
      <c r="AA9" s="78"/>
      <c r="AB9" s="78"/>
      <c r="AC9" s="78"/>
      <c r="AD9" s="70" t="n">
        <v>-1.09429161017761</v>
      </c>
      <c r="AE9" s="70" t="s">
        <v>196</v>
      </c>
      <c r="AF9" s="71" t="n">
        <v>1800003194</v>
      </c>
      <c r="AG9" s="72" t="s">
        <v>141</v>
      </c>
    </row>
    <row r="10" customFormat="false" ht="14.25" hidden="false" customHeight="true" outlineLevel="0" collapsed="false">
      <c r="A10" s="73" t="n">
        <v>4</v>
      </c>
      <c r="B10" s="74" t="s">
        <v>140</v>
      </c>
      <c r="C10" s="75" t="n">
        <v>51511</v>
      </c>
      <c r="D10" s="76" t="n">
        <v>21977</v>
      </c>
      <c r="E10" s="76" t="s">
        <v>135</v>
      </c>
      <c r="F10" s="76" t="n">
        <v>2002</v>
      </c>
      <c r="G10" s="74" t="s">
        <v>248</v>
      </c>
      <c r="H10" s="77" t="n">
        <v>206044</v>
      </c>
      <c r="I10" s="77" t="n">
        <v>37088</v>
      </c>
      <c r="J10" s="77" t="n">
        <v>243132</v>
      </c>
      <c r="K10" s="77" t="n">
        <v>4863</v>
      </c>
      <c r="L10" s="78" t="n">
        <v>206.044</v>
      </c>
      <c r="M10" s="78" t="n">
        <v>5470.4682</v>
      </c>
      <c r="N10" s="79" t="n">
        <v>92.7198</v>
      </c>
      <c r="O10" s="78" t="n">
        <v>5377.7484</v>
      </c>
      <c r="P10" s="78" t="n">
        <v>5584</v>
      </c>
      <c r="Q10" s="80" t="n">
        <v>0</v>
      </c>
      <c r="R10" s="78" t="n">
        <v>0</v>
      </c>
      <c r="S10" s="77" t="n">
        <v>242411</v>
      </c>
      <c r="T10" s="78" t="n">
        <v>51511</v>
      </c>
      <c r="U10" s="81" t="n">
        <v>51511</v>
      </c>
      <c r="V10" s="78" t="s">
        <v>158</v>
      </c>
      <c r="W10" s="78" t="n">
        <v>190900</v>
      </c>
      <c r="X10" s="78" t="n">
        <v>190900</v>
      </c>
      <c r="Y10" s="78" t="s">
        <v>105</v>
      </c>
      <c r="Z10" s="78" t="n">
        <v>0</v>
      </c>
      <c r="AA10" s="78"/>
      <c r="AB10" s="78"/>
      <c r="AC10" s="78"/>
      <c r="AD10" s="70" t="n">
        <v>0</v>
      </c>
      <c r="AE10" s="70" t="s">
        <v>160</v>
      </c>
      <c r="AF10" s="71" t="n">
        <v>1800003303</v>
      </c>
      <c r="AG10" s="72" t="s">
        <v>131</v>
      </c>
    </row>
    <row r="11" customFormat="false" ht="14.25" hidden="false" customHeight="true" outlineLevel="0" collapsed="false">
      <c r="A11" s="73" t="n">
        <v>1</v>
      </c>
      <c r="B11" s="74" t="s">
        <v>151</v>
      </c>
      <c r="C11" s="75" t="n">
        <v>65007</v>
      </c>
      <c r="D11" s="76" t="n">
        <v>21977</v>
      </c>
      <c r="E11" s="76" t="s">
        <v>135</v>
      </c>
      <c r="F11" s="76" t="n">
        <v>2003</v>
      </c>
      <c r="G11" s="74" t="s">
        <v>248</v>
      </c>
      <c r="H11" s="77" t="n">
        <v>65007</v>
      </c>
      <c r="I11" s="77" t="n">
        <v>11701</v>
      </c>
      <c r="J11" s="77" t="n">
        <v>76708</v>
      </c>
      <c r="K11" s="77" t="n">
        <v>1534</v>
      </c>
      <c r="L11" s="78" t="n">
        <v>65.007</v>
      </c>
      <c r="M11" s="78" t="n">
        <v>1725.93585</v>
      </c>
      <c r="N11" s="79" t="n">
        <v>29.25315</v>
      </c>
      <c r="O11" s="78" t="n">
        <v>1696.6827</v>
      </c>
      <c r="P11" s="78" t="n">
        <v>1762</v>
      </c>
      <c r="Q11" s="80" t="n">
        <v>0</v>
      </c>
      <c r="R11" s="78" t="n">
        <v>0</v>
      </c>
      <c r="S11" s="77" t="n">
        <v>76481</v>
      </c>
      <c r="T11" s="78" t="n">
        <v>16252</v>
      </c>
      <c r="U11" s="81" t="n">
        <v>16252</v>
      </c>
      <c r="V11" s="78" t="s">
        <v>158</v>
      </c>
      <c r="W11" s="78" t="n">
        <v>60229</v>
      </c>
      <c r="X11" s="78" t="n">
        <v>60229</v>
      </c>
      <c r="Y11" s="78" t="s">
        <v>105</v>
      </c>
      <c r="Z11" s="78" t="n">
        <v>0</v>
      </c>
      <c r="AA11" s="78"/>
      <c r="AB11" s="78"/>
      <c r="AC11" s="78"/>
      <c r="AD11" s="70" t="n">
        <v>0</v>
      </c>
      <c r="AE11" s="70" t="s">
        <v>161</v>
      </c>
      <c r="AF11" s="71" t="n">
        <v>1800003304</v>
      </c>
      <c r="AG11" s="72" t="s">
        <v>131</v>
      </c>
    </row>
    <row r="12" customFormat="false" ht="14.25" hidden="false" customHeight="true" outlineLevel="0" collapsed="false">
      <c r="A12" s="73" t="n">
        <v>1</v>
      </c>
      <c r="B12" s="74" t="s">
        <v>152</v>
      </c>
      <c r="C12" s="75" t="n">
        <v>70006</v>
      </c>
      <c r="D12" s="76" t="n">
        <v>21977</v>
      </c>
      <c r="E12" s="76" t="s">
        <v>135</v>
      </c>
      <c r="F12" s="76" t="n">
        <v>2005</v>
      </c>
      <c r="G12" s="74" t="s">
        <v>248</v>
      </c>
      <c r="H12" s="77" t="n">
        <v>70006</v>
      </c>
      <c r="I12" s="77" t="n">
        <v>12601</v>
      </c>
      <c r="J12" s="77" t="n">
        <v>82607</v>
      </c>
      <c r="K12" s="77" t="n">
        <v>1652</v>
      </c>
      <c r="L12" s="78" t="n">
        <v>70.006</v>
      </c>
      <c r="M12" s="78" t="n">
        <v>1858.6593</v>
      </c>
      <c r="N12" s="79" t="n">
        <v>31.5027</v>
      </c>
      <c r="O12" s="78" t="n">
        <v>1827.1566</v>
      </c>
      <c r="P12" s="78" t="n">
        <v>1897</v>
      </c>
      <c r="Q12" s="80" t="n">
        <v>0</v>
      </c>
      <c r="R12" s="78" t="n">
        <v>0</v>
      </c>
      <c r="S12" s="77" t="n">
        <v>82362</v>
      </c>
      <c r="T12" s="78" t="n">
        <v>17502</v>
      </c>
      <c r="U12" s="81" t="n">
        <v>17502</v>
      </c>
      <c r="V12" s="78" t="s">
        <v>158</v>
      </c>
      <c r="W12" s="78" t="n">
        <v>64861</v>
      </c>
      <c r="X12" s="78" t="n">
        <v>64859</v>
      </c>
      <c r="Y12" s="78" t="s">
        <v>105</v>
      </c>
      <c r="Z12" s="78" t="n">
        <v>0</v>
      </c>
      <c r="AA12" s="78"/>
      <c r="AB12" s="78"/>
      <c r="AC12" s="78"/>
      <c r="AD12" s="70" t="n">
        <v>1</v>
      </c>
      <c r="AE12" s="70" t="s">
        <v>162</v>
      </c>
      <c r="AF12" s="71" t="n">
        <v>1800003305</v>
      </c>
      <c r="AG12" s="72" t="s">
        <v>131</v>
      </c>
    </row>
    <row r="13" customFormat="false" ht="14.25" hidden="false" customHeight="true" outlineLevel="0" collapsed="false">
      <c r="A13" s="73" t="n">
        <v>25</v>
      </c>
      <c r="B13" s="74" t="s">
        <v>200</v>
      </c>
      <c r="C13" s="75" t="n">
        <v>700</v>
      </c>
      <c r="D13" s="76" t="n">
        <v>21977</v>
      </c>
      <c r="E13" s="76" t="s">
        <v>135</v>
      </c>
      <c r="F13" s="76" t="n">
        <v>2006</v>
      </c>
      <c r="G13" s="74" t="s">
        <v>252</v>
      </c>
      <c r="H13" s="77" t="n">
        <v>17500</v>
      </c>
      <c r="I13" s="77" t="n">
        <v>3150</v>
      </c>
      <c r="J13" s="77" t="n">
        <v>20650</v>
      </c>
      <c r="K13" s="77" t="n">
        <v>413</v>
      </c>
      <c r="L13" s="78" t="n">
        <v>17.5</v>
      </c>
      <c r="M13" s="78" t="n">
        <v>464.625</v>
      </c>
      <c r="N13" s="79" t="n">
        <v>7.875</v>
      </c>
      <c r="O13" s="78" t="n">
        <v>456.75</v>
      </c>
      <c r="P13" s="78" t="n">
        <v>474</v>
      </c>
      <c r="Q13" s="80" t="n">
        <v>0</v>
      </c>
      <c r="R13" s="78" t="n">
        <v>0</v>
      </c>
      <c r="S13" s="77" t="n">
        <v>20589</v>
      </c>
      <c r="T13" s="78" t="n">
        <v>4375</v>
      </c>
      <c r="U13" s="81" t="n">
        <v>4375</v>
      </c>
      <c r="V13" s="78" t="s">
        <v>127</v>
      </c>
      <c r="W13" s="78" t="n">
        <v>16214</v>
      </c>
      <c r="X13" s="78" t="n">
        <v>16214</v>
      </c>
      <c r="Y13" s="78" t="s">
        <v>127</v>
      </c>
      <c r="Z13" s="78" t="n">
        <v>0</v>
      </c>
      <c r="AA13" s="78"/>
      <c r="AB13" s="78"/>
      <c r="AC13" s="78"/>
      <c r="AD13" s="70" t="n">
        <v>0</v>
      </c>
      <c r="AE13" s="70" t="s">
        <v>206</v>
      </c>
      <c r="AF13" s="71" t="n">
        <v>1800003156</v>
      </c>
      <c r="AG13" s="72" t="s">
        <v>136</v>
      </c>
    </row>
    <row r="14" customFormat="false" ht="14.25" hidden="false" customHeight="true" outlineLevel="0" collapsed="false">
      <c r="A14" s="73" t="n">
        <v>1</v>
      </c>
      <c r="B14" s="74" t="s">
        <v>195</v>
      </c>
      <c r="C14" s="75" t="n">
        <v>3857116</v>
      </c>
      <c r="D14" s="76" t="n">
        <v>21977</v>
      </c>
      <c r="E14" s="76" t="s">
        <v>135</v>
      </c>
      <c r="F14" s="76" t="n">
        <v>2007</v>
      </c>
      <c r="G14" s="74" t="s">
        <v>251</v>
      </c>
      <c r="H14" s="77" t="n">
        <v>3857116</v>
      </c>
      <c r="I14" s="77" t="n">
        <v>694281</v>
      </c>
      <c r="J14" s="77" t="n">
        <v>4551397</v>
      </c>
      <c r="K14" s="77" t="n">
        <v>91028</v>
      </c>
      <c r="L14" s="78" t="n">
        <v>3857.116</v>
      </c>
      <c r="M14" s="78" t="n">
        <v>102406.4298</v>
      </c>
      <c r="N14" s="79" t="n">
        <v>1735.7022</v>
      </c>
      <c r="O14" s="78" t="n">
        <v>100670.7276</v>
      </c>
      <c r="P14" s="78" t="n">
        <v>104528</v>
      </c>
      <c r="Q14" s="80" t="n">
        <v>0</v>
      </c>
      <c r="R14" s="78" t="n">
        <v>0</v>
      </c>
      <c r="S14" s="77" t="n">
        <v>4537897</v>
      </c>
      <c r="T14" s="78" t="n">
        <v>964279</v>
      </c>
      <c r="U14" s="81" t="n">
        <v>964279</v>
      </c>
      <c r="V14" s="78" t="s">
        <v>158</v>
      </c>
      <c r="W14" s="78" t="n">
        <v>3573618</v>
      </c>
      <c r="X14" s="78" t="n">
        <v>3573618.90570839</v>
      </c>
      <c r="Y14" s="78" t="s">
        <v>158</v>
      </c>
      <c r="Z14" s="78" t="n">
        <v>0</v>
      </c>
      <c r="AA14" s="78"/>
      <c r="AB14" s="78"/>
      <c r="AC14" s="78"/>
      <c r="AD14" s="70" t="n">
        <v>-0.905708389822394</v>
      </c>
      <c r="AE14" s="70" t="s">
        <v>197</v>
      </c>
      <c r="AF14" s="71" t="n">
        <v>1800003196</v>
      </c>
      <c r="AG14" s="72" t="s">
        <v>141</v>
      </c>
    </row>
    <row r="15" customFormat="false" ht="14.25" hidden="false" customHeight="true" outlineLevel="0" collapsed="false">
      <c r="A15" s="73" t="n">
        <v>250</v>
      </c>
      <c r="B15" s="74" t="s">
        <v>134</v>
      </c>
      <c r="C15" s="75" t="n">
        <v>543</v>
      </c>
      <c r="D15" s="76" t="n">
        <v>21977</v>
      </c>
      <c r="E15" s="76" t="s">
        <v>135</v>
      </c>
      <c r="F15" s="76" t="n">
        <v>2008</v>
      </c>
      <c r="G15" s="74" t="s">
        <v>253</v>
      </c>
      <c r="H15" s="77" t="n">
        <v>135750</v>
      </c>
      <c r="I15" s="77" t="n">
        <v>24435</v>
      </c>
      <c r="J15" s="77" t="n">
        <v>160185</v>
      </c>
      <c r="K15" s="77" t="n">
        <v>3204</v>
      </c>
      <c r="L15" s="78" t="n">
        <v>135.75</v>
      </c>
      <c r="M15" s="78" t="n">
        <v>3604.1625</v>
      </c>
      <c r="N15" s="79" t="n">
        <v>61.0875</v>
      </c>
      <c r="O15" s="78" t="n">
        <v>3543.075</v>
      </c>
      <c r="P15" s="78" t="n">
        <v>3679</v>
      </c>
      <c r="Q15" s="80" t="n">
        <v>0</v>
      </c>
      <c r="R15" s="78" t="n">
        <v>0</v>
      </c>
      <c r="S15" s="77" t="n">
        <v>159710</v>
      </c>
      <c r="T15" s="78" t="n">
        <v>33938</v>
      </c>
      <c r="U15" s="81" t="n">
        <v>33938</v>
      </c>
      <c r="V15" s="78" t="s">
        <v>136</v>
      </c>
      <c r="W15" s="78" t="n">
        <v>125772</v>
      </c>
      <c r="X15" s="78" t="n">
        <v>125772</v>
      </c>
      <c r="Y15" s="78" t="s">
        <v>110</v>
      </c>
      <c r="Z15" s="78" t="n">
        <v>0</v>
      </c>
      <c r="AA15" s="78"/>
      <c r="AB15" s="78"/>
      <c r="AC15" s="78"/>
      <c r="AD15" s="70" t="n">
        <v>0</v>
      </c>
      <c r="AE15" s="70" t="s">
        <v>137</v>
      </c>
      <c r="AF15" s="71" t="n">
        <v>1800003247</v>
      </c>
      <c r="AG15" s="72" t="s">
        <v>128</v>
      </c>
    </row>
    <row r="16" customFormat="false" ht="14.25" hidden="false" customHeight="true" outlineLevel="0" collapsed="false">
      <c r="A16" s="73" t="n">
        <v>22</v>
      </c>
      <c r="B16" s="74" t="s">
        <v>201</v>
      </c>
      <c r="C16" s="75" t="n">
        <v>700</v>
      </c>
      <c r="D16" s="76" t="n">
        <v>21977</v>
      </c>
      <c r="E16" s="76" t="s">
        <v>135</v>
      </c>
      <c r="F16" s="76" t="n">
        <v>2011</v>
      </c>
      <c r="G16" s="74" t="s">
        <v>252</v>
      </c>
      <c r="H16" s="77" t="n">
        <v>15400</v>
      </c>
      <c r="I16" s="77" t="n">
        <v>2772</v>
      </c>
      <c r="J16" s="77" t="n">
        <v>18172</v>
      </c>
      <c r="K16" s="77" t="n">
        <v>363</v>
      </c>
      <c r="L16" s="78" t="n">
        <v>15.4</v>
      </c>
      <c r="M16" s="78" t="n">
        <v>408.87</v>
      </c>
      <c r="N16" s="79" t="n">
        <v>6.93</v>
      </c>
      <c r="O16" s="78" t="n">
        <v>401.94</v>
      </c>
      <c r="P16" s="78" t="n">
        <v>417</v>
      </c>
      <c r="Q16" s="80" t="n">
        <v>0</v>
      </c>
      <c r="R16" s="78" t="n">
        <v>0</v>
      </c>
      <c r="S16" s="77" t="n">
        <v>18118</v>
      </c>
      <c r="T16" s="78" t="n">
        <v>3850</v>
      </c>
      <c r="U16" s="81" t="n">
        <v>3850</v>
      </c>
      <c r="V16" s="78" t="s">
        <v>127</v>
      </c>
      <c r="W16" s="78" t="n">
        <v>14268</v>
      </c>
      <c r="X16" s="78" t="n">
        <v>14267</v>
      </c>
      <c r="Y16" s="78" t="s">
        <v>127</v>
      </c>
      <c r="Z16" s="78" t="n">
        <v>0</v>
      </c>
      <c r="AA16" s="78"/>
      <c r="AB16" s="78"/>
      <c r="AC16" s="78"/>
      <c r="AD16" s="70" t="n">
        <v>1</v>
      </c>
      <c r="AE16" s="70" t="s">
        <v>207</v>
      </c>
      <c r="AF16" s="71" t="n">
        <v>1800003157</v>
      </c>
      <c r="AG16" s="72" t="s">
        <v>136</v>
      </c>
    </row>
    <row r="17" customFormat="false" ht="14.25" hidden="false" customHeight="true" outlineLevel="0" collapsed="false">
      <c r="A17" s="73" t="n">
        <v>100</v>
      </c>
      <c r="B17" s="74" t="s">
        <v>202</v>
      </c>
      <c r="C17" s="75" t="n">
        <v>710</v>
      </c>
      <c r="D17" s="76" t="n">
        <v>21978</v>
      </c>
      <c r="E17" s="76" t="s">
        <v>135</v>
      </c>
      <c r="F17" s="76" t="n">
        <v>2015</v>
      </c>
      <c r="G17" s="74" t="s">
        <v>252</v>
      </c>
      <c r="H17" s="77" t="n">
        <v>71000</v>
      </c>
      <c r="I17" s="77" t="n">
        <v>12780</v>
      </c>
      <c r="J17" s="77" t="n">
        <v>83780</v>
      </c>
      <c r="K17" s="77" t="n">
        <v>1676</v>
      </c>
      <c r="L17" s="78" t="n">
        <v>71</v>
      </c>
      <c r="M17" s="78" t="n">
        <v>1885.05</v>
      </c>
      <c r="N17" s="79" t="n">
        <v>31.95</v>
      </c>
      <c r="O17" s="78" t="n">
        <v>1853.1</v>
      </c>
      <c r="P17" s="78" t="n">
        <v>1924</v>
      </c>
      <c r="Q17" s="80" t="n">
        <v>0</v>
      </c>
      <c r="R17" s="78" t="n">
        <v>0</v>
      </c>
      <c r="S17" s="77" t="n">
        <v>83532</v>
      </c>
      <c r="T17" s="78" t="n">
        <v>17750</v>
      </c>
      <c r="U17" s="81" t="n">
        <v>17750</v>
      </c>
      <c r="V17" s="78" t="s">
        <v>127</v>
      </c>
      <c r="W17" s="78" t="n">
        <v>65782</v>
      </c>
      <c r="X17" s="78" t="n">
        <v>65782</v>
      </c>
      <c r="Y17" s="78" t="s">
        <v>127</v>
      </c>
      <c r="Z17" s="78" t="n">
        <v>0</v>
      </c>
      <c r="AA17" s="78"/>
      <c r="AB17" s="78"/>
      <c r="AC17" s="78"/>
      <c r="AD17" s="70" t="n">
        <v>0</v>
      </c>
      <c r="AE17" s="70" t="s">
        <v>208</v>
      </c>
      <c r="AF17" s="71" t="n">
        <v>1800003158</v>
      </c>
      <c r="AG17" s="72" t="s">
        <v>136</v>
      </c>
    </row>
    <row r="18" customFormat="false" ht="14.25" hidden="false" customHeight="true" outlineLevel="0" collapsed="false">
      <c r="A18" s="73" t="n">
        <v>1</v>
      </c>
      <c r="B18" s="74" t="s">
        <v>153</v>
      </c>
      <c r="C18" s="75" t="n">
        <v>220001</v>
      </c>
      <c r="D18" s="76" t="n">
        <v>21978</v>
      </c>
      <c r="E18" s="76" t="s">
        <v>135</v>
      </c>
      <c r="F18" s="76" t="n">
        <v>2018</v>
      </c>
      <c r="G18" s="74" t="s">
        <v>248</v>
      </c>
      <c r="H18" s="77" t="n">
        <v>220001</v>
      </c>
      <c r="I18" s="77" t="n">
        <v>39600</v>
      </c>
      <c r="J18" s="77" t="n">
        <v>259601</v>
      </c>
      <c r="K18" s="77" t="n">
        <v>5192</v>
      </c>
      <c r="L18" s="78" t="n">
        <v>220.001</v>
      </c>
      <c r="M18" s="78" t="n">
        <v>5841.02655</v>
      </c>
      <c r="N18" s="79" t="n">
        <v>99.00045</v>
      </c>
      <c r="O18" s="78" t="n">
        <v>5742.0261</v>
      </c>
      <c r="P18" s="78" t="n">
        <v>5962</v>
      </c>
      <c r="Q18" s="80" t="n">
        <v>0</v>
      </c>
      <c r="R18" s="78" t="n">
        <v>0</v>
      </c>
      <c r="S18" s="77" t="n">
        <v>258831</v>
      </c>
      <c r="T18" s="78" t="n">
        <v>55000</v>
      </c>
      <c r="U18" s="81" t="n">
        <v>55000</v>
      </c>
      <c r="V18" s="78" t="s">
        <v>158</v>
      </c>
      <c r="W18" s="78" t="n">
        <v>203831</v>
      </c>
      <c r="X18" s="78" t="n">
        <v>203831</v>
      </c>
      <c r="Y18" s="78" t="s">
        <v>105</v>
      </c>
      <c r="Z18" s="78" t="n">
        <v>0</v>
      </c>
      <c r="AA18" s="78"/>
      <c r="AB18" s="78"/>
      <c r="AC18" s="78"/>
      <c r="AD18" s="70" t="n">
        <v>0</v>
      </c>
      <c r="AE18" s="70" t="s">
        <v>163</v>
      </c>
      <c r="AF18" s="71" t="n">
        <v>1800003306</v>
      </c>
      <c r="AG18" s="72" t="s">
        <v>131</v>
      </c>
    </row>
    <row r="19" customFormat="false" ht="14.25" hidden="false" customHeight="true" outlineLevel="0" collapsed="false">
      <c r="A19" s="73" t="n">
        <v>1</v>
      </c>
      <c r="B19" s="74" t="s">
        <v>153</v>
      </c>
      <c r="C19" s="75" t="n">
        <v>210001</v>
      </c>
      <c r="D19" s="76" t="n">
        <v>21978</v>
      </c>
      <c r="E19" s="76" t="s">
        <v>135</v>
      </c>
      <c r="F19" s="76" t="n">
        <v>2019</v>
      </c>
      <c r="G19" s="74" t="s">
        <v>248</v>
      </c>
      <c r="H19" s="77" t="n">
        <v>210001</v>
      </c>
      <c r="I19" s="77" t="n">
        <v>37800</v>
      </c>
      <c r="J19" s="77" t="n">
        <v>247801</v>
      </c>
      <c r="K19" s="77" t="n">
        <v>4956</v>
      </c>
      <c r="L19" s="78" t="n">
        <v>210.001</v>
      </c>
      <c r="M19" s="78" t="n">
        <v>5575.52655</v>
      </c>
      <c r="N19" s="79" t="n">
        <v>94.50045</v>
      </c>
      <c r="O19" s="78" t="n">
        <v>5481.0261</v>
      </c>
      <c r="P19" s="78" t="n">
        <v>5691</v>
      </c>
      <c r="Q19" s="80" t="n">
        <v>0</v>
      </c>
      <c r="R19" s="78" t="n">
        <v>0</v>
      </c>
      <c r="S19" s="77" t="n">
        <v>247066</v>
      </c>
      <c r="T19" s="78" t="n">
        <v>52500</v>
      </c>
      <c r="U19" s="81" t="n">
        <v>52500</v>
      </c>
      <c r="V19" s="78" t="s">
        <v>158</v>
      </c>
      <c r="W19" s="78" t="n">
        <v>194566</v>
      </c>
      <c r="X19" s="78" t="n">
        <v>194566</v>
      </c>
      <c r="Y19" s="78" t="s">
        <v>105</v>
      </c>
      <c r="Z19" s="78" t="n">
        <v>0</v>
      </c>
      <c r="AA19" s="78"/>
      <c r="AB19" s="78"/>
      <c r="AC19" s="78"/>
      <c r="AD19" s="70" t="n">
        <v>0</v>
      </c>
      <c r="AE19" s="70" t="s">
        <v>164</v>
      </c>
      <c r="AF19" s="71" t="n">
        <v>1800003307</v>
      </c>
      <c r="AG19" s="72" t="s">
        <v>131</v>
      </c>
    </row>
    <row r="20" customFormat="false" ht="26.25" hidden="false" customHeight="true" outlineLevel="0" collapsed="false">
      <c r="A20" s="73" t="n">
        <v>3500</v>
      </c>
      <c r="B20" s="74" t="s">
        <v>179</v>
      </c>
      <c r="C20" s="75" t="n">
        <v>333</v>
      </c>
      <c r="D20" s="76" t="n">
        <v>21978</v>
      </c>
      <c r="E20" s="76" t="s">
        <v>86</v>
      </c>
      <c r="F20" s="76" t="n">
        <v>2020</v>
      </c>
      <c r="G20" s="74" t="s">
        <v>250</v>
      </c>
      <c r="H20" s="77" t="n">
        <v>1165500</v>
      </c>
      <c r="I20" s="77" t="n">
        <v>209790</v>
      </c>
      <c r="J20" s="77" t="n">
        <v>1375290</v>
      </c>
      <c r="K20" s="77" t="n">
        <v>27506</v>
      </c>
      <c r="L20" s="78" t="n">
        <v>1165.5</v>
      </c>
      <c r="M20" s="78" t="n">
        <v>30944.025</v>
      </c>
      <c r="N20" s="79" t="n">
        <v>524.475</v>
      </c>
      <c r="O20" s="78" t="n">
        <v>30419.55</v>
      </c>
      <c r="P20" s="78" t="n">
        <v>31585</v>
      </c>
      <c r="Q20" s="80" t="n">
        <v>0.02</v>
      </c>
      <c r="R20" s="78" t="n">
        <v>23310</v>
      </c>
      <c r="S20" s="77" t="n">
        <v>1347901</v>
      </c>
      <c r="T20" s="78" t="n">
        <v>291375</v>
      </c>
      <c r="U20" s="81" t="n">
        <v>291375</v>
      </c>
      <c r="V20" s="78" t="s">
        <v>180</v>
      </c>
      <c r="W20" s="78" t="n">
        <v>1056526</v>
      </c>
      <c r="X20" s="78" t="n">
        <v>1056525</v>
      </c>
      <c r="Y20" s="78" t="s">
        <v>180</v>
      </c>
      <c r="Z20" s="78" t="n">
        <v>0</v>
      </c>
      <c r="AA20" s="78"/>
      <c r="AB20" s="78"/>
      <c r="AC20" s="78"/>
      <c r="AD20" s="70" t="n">
        <v>1</v>
      </c>
      <c r="AE20" s="70" t="s">
        <v>182</v>
      </c>
      <c r="AF20" s="71" t="n">
        <v>1800003065</v>
      </c>
      <c r="AG20" s="72" t="s">
        <v>183</v>
      </c>
    </row>
    <row r="21" customFormat="false" ht="39" hidden="false" customHeight="true" outlineLevel="0" collapsed="false">
      <c r="A21" s="73" t="n">
        <v>3</v>
      </c>
      <c r="B21" s="74" t="s">
        <v>140</v>
      </c>
      <c r="C21" s="75" t="n">
        <v>110200</v>
      </c>
      <c r="D21" s="76" t="n">
        <v>21978</v>
      </c>
      <c r="E21" s="76" t="s">
        <v>135</v>
      </c>
      <c r="F21" s="76" t="n">
        <v>2022</v>
      </c>
      <c r="G21" s="74" t="s">
        <v>254</v>
      </c>
      <c r="H21" s="77" t="n">
        <v>330600</v>
      </c>
      <c r="I21" s="77" t="n">
        <v>59508</v>
      </c>
      <c r="J21" s="77" t="n">
        <v>390108</v>
      </c>
      <c r="K21" s="77" t="n">
        <v>7802</v>
      </c>
      <c r="L21" s="78" t="n">
        <v>330.6</v>
      </c>
      <c r="M21" s="78" t="n">
        <v>8777.43</v>
      </c>
      <c r="N21" s="79" t="n">
        <v>148.77</v>
      </c>
      <c r="O21" s="78" t="n">
        <v>8628.66</v>
      </c>
      <c r="P21" s="78" t="n">
        <v>8959</v>
      </c>
      <c r="Q21" s="80" t="n">
        <v>0</v>
      </c>
      <c r="R21" s="78" t="n">
        <v>0</v>
      </c>
      <c r="S21" s="77" t="n">
        <v>388951</v>
      </c>
      <c r="T21" s="78" t="n">
        <v>82650</v>
      </c>
      <c r="U21" s="81" t="n">
        <v>82650</v>
      </c>
      <c r="V21" s="78" t="s">
        <v>136</v>
      </c>
      <c r="W21" s="78" t="n">
        <v>306301</v>
      </c>
      <c r="X21" s="78" t="n">
        <v>306301</v>
      </c>
      <c r="Y21" s="78" t="s">
        <v>174</v>
      </c>
      <c r="Z21" s="78" t="n">
        <v>0</v>
      </c>
      <c r="AA21" s="78"/>
      <c r="AB21" s="78"/>
      <c r="AC21" s="78"/>
      <c r="AD21" s="70" t="n">
        <v>0</v>
      </c>
      <c r="AE21" s="70" t="s">
        <v>175</v>
      </c>
      <c r="AF21" s="71" t="n">
        <v>1800003269</v>
      </c>
      <c r="AG21" s="72" t="s">
        <v>105</v>
      </c>
    </row>
    <row r="22" customFormat="false" ht="14.25" hidden="false" customHeight="true" outlineLevel="0" collapsed="false">
      <c r="A22" s="73" t="n">
        <v>3</v>
      </c>
      <c r="B22" s="74" t="s">
        <v>140</v>
      </c>
      <c r="C22" s="75" t="n">
        <v>83743</v>
      </c>
      <c r="D22" s="76" t="n">
        <v>21978</v>
      </c>
      <c r="E22" s="76" t="s">
        <v>135</v>
      </c>
      <c r="F22" s="76" t="n">
        <v>2023</v>
      </c>
      <c r="G22" s="74" t="s">
        <v>248</v>
      </c>
      <c r="H22" s="77" t="n">
        <v>251229</v>
      </c>
      <c r="I22" s="77" t="n">
        <v>45221</v>
      </c>
      <c r="J22" s="77" t="n">
        <v>296450</v>
      </c>
      <c r="K22" s="77" t="n">
        <v>5929</v>
      </c>
      <c r="L22" s="78" t="n">
        <v>251.229</v>
      </c>
      <c r="M22" s="78" t="n">
        <v>6670.12995</v>
      </c>
      <c r="N22" s="79" t="n">
        <v>113.05305</v>
      </c>
      <c r="O22" s="78" t="n">
        <v>6557.0769</v>
      </c>
      <c r="P22" s="78" t="n">
        <v>6808</v>
      </c>
      <c r="Q22" s="80" t="n">
        <v>0</v>
      </c>
      <c r="R22" s="78" t="n">
        <v>0</v>
      </c>
      <c r="S22" s="77" t="n">
        <v>295571</v>
      </c>
      <c r="T22" s="78" t="n">
        <v>62807</v>
      </c>
      <c r="U22" s="81" t="n">
        <v>62807</v>
      </c>
      <c r="V22" s="78" t="s">
        <v>158</v>
      </c>
      <c r="W22" s="78" t="n">
        <v>232764</v>
      </c>
      <c r="X22" s="78" t="n">
        <v>232764</v>
      </c>
      <c r="Y22" s="78" t="s">
        <v>105</v>
      </c>
      <c r="Z22" s="78" t="n">
        <v>0</v>
      </c>
      <c r="AA22" s="78"/>
      <c r="AB22" s="78"/>
      <c r="AC22" s="78"/>
      <c r="AD22" s="70" t="n">
        <v>0</v>
      </c>
      <c r="AE22" s="70" t="s">
        <v>165</v>
      </c>
      <c r="AF22" s="71" t="n">
        <v>1800003308</v>
      </c>
      <c r="AG22" s="72" t="s">
        <v>131</v>
      </c>
    </row>
    <row r="23" customFormat="false" ht="14.25" hidden="false" customHeight="true" outlineLevel="0" collapsed="false">
      <c r="A23" s="73" t="n">
        <v>90</v>
      </c>
      <c r="B23" s="74" t="s">
        <v>202</v>
      </c>
      <c r="C23" s="75" t="n">
        <v>700</v>
      </c>
      <c r="D23" s="76" t="n">
        <v>21978</v>
      </c>
      <c r="E23" s="76" t="s">
        <v>135</v>
      </c>
      <c r="F23" s="76" t="n">
        <v>2025</v>
      </c>
      <c r="G23" s="74" t="s">
        <v>252</v>
      </c>
      <c r="H23" s="77" t="n">
        <v>63000</v>
      </c>
      <c r="I23" s="77" t="n">
        <v>11340</v>
      </c>
      <c r="J23" s="77" t="n">
        <v>74340</v>
      </c>
      <c r="K23" s="77" t="n">
        <v>1487</v>
      </c>
      <c r="L23" s="78" t="n">
        <v>63</v>
      </c>
      <c r="M23" s="78" t="n">
        <v>1672.65</v>
      </c>
      <c r="N23" s="79" t="n">
        <v>28.35</v>
      </c>
      <c r="O23" s="78" t="n">
        <v>1644.3</v>
      </c>
      <c r="P23" s="78" t="n">
        <v>1707</v>
      </c>
      <c r="Q23" s="80" t="n">
        <v>0</v>
      </c>
      <c r="R23" s="78" t="n">
        <v>0</v>
      </c>
      <c r="S23" s="77" t="n">
        <v>74120</v>
      </c>
      <c r="T23" s="78" t="n">
        <v>15750</v>
      </c>
      <c r="U23" s="81" t="n">
        <v>15750</v>
      </c>
      <c r="V23" s="78" t="s">
        <v>127</v>
      </c>
      <c r="W23" s="78" t="n">
        <v>58370</v>
      </c>
      <c r="X23" s="78" t="n">
        <v>58418</v>
      </c>
      <c r="Y23" s="78" t="s">
        <v>127</v>
      </c>
      <c r="Z23" s="78" t="n">
        <v>0</v>
      </c>
      <c r="AA23" s="78"/>
      <c r="AB23" s="78"/>
      <c r="AC23" s="78"/>
      <c r="AD23" s="70" t="n">
        <v>-48</v>
      </c>
      <c r="AE23" s="70" t="s">
        <v>209</v>
      </c>
      <c r="AF23" s="71" t="n">
        <v>1800003160</v>
      </c>
      <c r="AG23" s="72" t="s">
        <v>136</v>
      </c>
    </row>
    <row r="24" customFormat="false" ht="14.25" hidden="false" customHeight="true" outlineLevel="0" collapsed="false">
      <c r="A24" s="73" t="n">
        <v>1</v>
      </c>
      <c r="B24" s="74" t="s">
        <v>140</v>
      </c>
      <c r="C24" s="75" t="n">
        <v>50003</v>
      </c>
      <c r="D24" s="76" t="n">
        <v>21978</v>
      </c>
      <c r="E24" s="76" t="s">
        <v>135</v>
      </c>
      <c r="F24" s="76" t="n">
        <v>2027</v>
      </c>
      <c r="G24" s="74" t="s">
        <v>248</v>
      </c>
      <c r="H24" s="77" t="n">
        <v>50003</v>
      </c>
      <c r="I24" s="77" t="n">
        <v>9001</v>
      </c>
      <c r="J24" s="77" t="n">
        <v>59004</v>
      </c>
      <c r="K24" s="77" t="n">
        <v>1180</v>
      </c>
      <c r="L24" s="78" t="n">
        <v>50.003</v>
      </c>
      <c r="M24" s="78" t="n">
        <v>1327.57965</v>
      </c>
      <c r="N24" s="79" t="n">
        <v>22.50135</v>
      </c>
      <c r="O24" s="78" t="n">
        <v>1305.0783</v>
      </c>
      <c r="P24" s="78" t="n">
        <v>1355</v>
      </c>
      <c r="Q24" s="80" t="n">
        <v>0</v>
      </c>
      <c r="R24" s="78" t="n">
        <v>0</v>
      </c>
      <c r="S24" s="77" t="n">
        <v>58829</v>
      </c>
      <c r="T24" s="78" t="n">
        <v>12501</v>
      </c>
      <c r="U24" s="81" t="n">
        <v>12501</v>
      </c>
      <c r="V24" s="78" t="s">
        <v>158</v>
      </c>
      <c r="W24" s="78" t="n">
        <v>46328</v>
      </c>
      <c r="X24" s="78" t="n">
        <v>46328</v>
      </c>
      <c r="Y24" s="78" t="s">
        <v>105</v>
      </c>
      <c r="Z24" s="78" t="n">
        <v>0</v>
      </c>
      <c r="AA24" s="78"/>
      <c r="AB24" s="78"/>
      <c r="AC24" s="78"/>
      <c r="AD24" s="70" t="n">
        <v>0</v>
      </c>
      <c r="AE24" s="70" t="s">
        <v>166</v>
      </c>
      <c r="AF24" s="71" t="n">
        <v>1800003309</v>
      </c>
      <c r="AG24" s="72" t="s">
        <v>131</v>
      </c>
    </row>
    <row r="25" customFormat="false" ht="14.25" hidden="false" customHeight="true" outlineLevel="0" collapsed="false">
      <c r="A25" s="73" t="n">
        <v>1000</v>
      </c>
      <c r="B25" s="74" t="s">
        <v>213</v>
      </c>
      <c r="C25" s="75" t="n">
        <v>517</v>
      </c>
      <c r="D25" s="76" t="n">
        <v>21978</v>
      </c>
      <c r="E25" s="76" t="s">
        <v>135</v>
      </c>
      <c r="F25" s="76" t="n">
        <v>2033</v>
      </c>
      <c r="G25" s="74" t="s">
        <v>255</v>
      </c>
      <c r="H25" s="77" t="n">
        <v>517000</v>
      </c>
      <c r="I25" s="77" t="n">
        <v>93060</v>
      </c>
      <c r="J25" s="77" t="n">
        <v>610060</v>
      </c>
      <c r="K25" s="77" t="n">
        <v>12201</v>
      </c>
      <c r="L25" s="78" t="n">
        <v>517</v>
      </c>
      <c r="M25" s="78" t="n">
        <v>13726.35</v>
      </c>
      <c r="N25" s="79" t="n">
        <v>232.65</v>
      </c>
      <c r="O25" s="78" t="n">
        <v>13493.7</v>
      </c>
      <c r="P25" s="78" t="n">
        <v>14011</v>
      </c>
      <c r="Q25" s="80" t="n">
        <v>0</v>
      </c>
      <c r="R25" s="78" t="n">
        <v>0</v>
      </c>
      <c r="S25" s="77" t="n">
        <v>608251</v>
      </c>
      <c r="T25" s="78" t="n">
        <v>129250</v>
      </c>
      <c r="U25" s="81" t="n">
        <v>129250</v>
      </c>
      <c r="V25" s="78" t="s">
        <v>136</v>
      </c>
      <c r="W25" s="78" t="n">
        <v>479001</v>
      </c>
      <c r="X25" s="78" t="n">
        <v>479001</v>
      </c>
      <c r="Y25" s="78" t="s">
        <v>174</v>
      </c>
      <c r="Z25" s="78" t="n">
        <v>0</v>
      </c>
      <c r="AA25" s="78"/>
      <c r="AB25" s="78"/>
      <c r="AC25" s="78"/>
      <c r="AD25" s="70" t="n">
        <v>0</v>
      </c>
      <c r="AE25" s="70" t="s">
        <v>214</v>
      </c>
      <c r="AF25" s="71" t="n">
        <v>1800003317</v>
      </c>
      <c r="AG25" s="72" t="s">
        <v>131</v>
      </c>
    </row>
    <row r="26" customFormat="false" ht="14.25" hidden="false" customHeight="true" outlineLevel="0" collapsed="false">
      <c r="A26" s="73" t="n">
        <v>2</v>
      </c>
      <c r="B26" s="74" t="s">
        <v>154</v>
      </c>
      <c r="C26" s="75" t="n">
        <v>14001</v>
      </c>
      <c r="D26" s="76" t="n">
        <v>21978</v>
      </c>
      <c r="E26" s="76" t="s">
        <v>135</v>
      </c>
      <c r="F26" s="76" t="n">
        <v>2035</v>
      </c>
      <c r="G26" s="74" t="s">
        <v>248</v>
      </c>
      <c r="H26" s="77" t="n">
        <v>28002</v>
      </c>
      <c r="I26" s="77" t="n">
        <v>5040</v>
      </c>
      <c r="J26" s="77" t="n">
        <v>33042</v>
      </c>
      <c r="K26" s="77" t="n">
        <v>661</v>
      </c>
      <c r="L26" s="78" t="n">
        <v>28.002</v>
      </c>
      <c r="M26" s="78" t="n">
        <v>743.4531</v>
      </c>
      <c r="N26" s="79" t="n">
        <v>12.6009</v>
      </c>
      <c r="O26" s="78" t="n">
        <v>730.8522</v>
      </c>
      <c r="P26" s="78" t="n">
        <v>759</v>
      </c>
      <c r="Q26" s="80" t="n">
        <v>0</v>
      </c>
      <c r="R26" s="78" t="n">
        <v>0</v>
      </c>
      <c r="S26" s="77" t="n">
        <v>32944</v>
      </c>
      <c r="T26" s="78" t="n">
        <v>7001</v>
      </c>
      <c r="U26" s="81" t="n">
        <v>7001</v>
      </c>
      <c r="V26" s="78" t="s">
        <v>158</v>
      </c>
      <c r="W26" s="78" t="n">
        <v>25944</v>
      </c>
      <c r="X26" s="78" t="n">
        <v>25943</v>
      </c>
      <c r="Y26" s="78" t="s">
        <v>105</v>
      </c>
      <c r="Z26" s="78" t="n">
        <v>0</v>
      </c>
      <c r="AA26" s="78"/>
      <c r="AB26" s="78"/>
      <c r="AC26" s="78"/>
      <c r="AD26" s="70" t="n">
        <v>0</v>
      </c>
      <c r="AE26" s="70" t="s">
        <v>167</v>
      </c>
      <c r="AF26" s="71" t="n">
        <v>1800003310</v>
      </c>
      <c r="AG26" s="72" t="s">
        <v>131</v>
      </c>
    </row>
    <row r="27" customFormat="false" ht="26.25" hidden="false" customHeight="true" outlineLevel="0" collapsed="false">
      <c r="A27" s="73" t="n">
        <v>8.2</v>
      </c>
      <c r="B27" s="74" t="s">
        <v>146</v>
      </c>
      <c r="C27" s="75" t="n">
        <v>67000</v>
      </c>
      <c r="D27" s="76" t="n">
        <v>21978</v>
      </c>
      <c r="E27" s="76" t="s">
        <v>147</v>
      </c>
      <c r="F27" s="76" t="n">
        <v>2036</v>
      </c>
      <c r="G27" s="74" t="s">
        <v>256</v>
      </c>
      <c r="H27" s="77" t="n">
        <v>549400</v>
      </c>
      <c r="I27" s="77" t="n">
        <v>98892</v>
      </c>
      <c r="J27" s="77" t="n">
        <v>648292</v>
      </c>
      <c r="K27" s="77" t="n">
        <v>12966</v>
      </c>
      <c r="L27" s="78" t="n">
        <v>549.4</v>
      </c>
      <c r="M27" s="78" t="n">
        <v>14586.57</v>
      </c>
      <c r="N27" s="79" t="n">
        <v>247.23</v>
      </c>
      <c r="O27" s="78" t="n">
        <v>14339.34</v>
      </c>
      <c r="P27" s="78" t="n">
        <v>14889</v>
      </c>
      <c r="Q27" s="80" t="n">
        <v>0.02</v>
      </c>
      <c r="R27" s="78" t="n">
        <v>10988</v>
      </c>
      <c r="S27" s="77" t="n">
        <v>635381</v>
      </c>
      <c r="T27" s="78" t="n">
        <v>137350</v>
      </c>
      <c r="U27" s="81" t="n">
        <v>137350</v>
      </c>
      <c r="V27" s="78" t="s">
        <v>136</v>
      </c>
      <c r="W27" s="78" t="n">
        <v>498031</v>
      </c>
      <c r="X27" s="78"/>
      <c r="Y27" s="78" t="n">
        <v>0</v>
      </c>
      <c r="Z27" s="78" t="n">
        <v>19448.76</v>
      </c>
      <c r="AA27" s="78"/>
      <c r="AB27" s="78"/>
      <c r="AC27" s="78"/>
      <c r="AD27" s="70" t="n">
        <v>498031</v>
      </c>
      <c r="AE27" s="70"/>
      <c r="AF27" s="71"/>
      <c r="AG27" s="72"/>
    </row>
    <row r="28" customFormat="false" ht="14.25" hidden="false" customHeight="true" outlineLevel="0" collapsed="false">
      <c r="A28" s="73" t="n">
        <v>50</v>
      </c>
      <c r="B28" s="74" t="s">
        <v>202</v>
      </c>
      <c r="C28" s="75" t="n">
        <v>531</v>
      </c>
      <c r="D28" s="76" t="n">
        <v>21978</v>
      </c>
      <c r="E28" s="76" t="s">
        <v>135</v>
      </c>
      <c r="F28" s="76" t="n">
        <v>2037</v>
      </c>
      <c r="G28" s="74" t="s">
        <v>255</v>
      </c>
      <c r="H28" s="77" t="n">
        <v>26550</v>
      </c>
      <c r="I28" s="77" t="n">
        <v>4779</v>
      </c>
      <c r="J28" s="77" t="n">
        <v>31329</v>
      </c>
      <c r="K28" s="77" t="n">
        <v>627</v>
      </c>
      <c r="L28" s="78" t="n">
        <v>26.55</v>
      </c>
      <c r="M28" s="78" t="n">
        <v>704.9025</v>
      </c>
      <c r="N28" s="79" t="n">
        <v>11.9475</v>
      </c>
      <c r="O28" s="78" t="n">
        <v>692.955</v>
      </c>
      <c r="P28" s="78" t="n">
        <v>720</v>
      </c>
      <c r="Q28" s="80" t="n">
        <v>0</v>
      </c>
      <c r="R28" s="78" t="n">
        <v>0</v>
      </c>
      <c r="S28" s="77" t="n">
        <v>31236</v>
      </c>
      <c r="T28" s="78" t="n">
        <v>6638</v>
      </c>
      <c r="U28" s="81" t="n">
        <v>6638</v>
      </c>
      <c r="V28" s="78" t="s">
        <v>136</v>
      </c>
      <c r="W28" s="78" t="n">
        <v>24599</v>
      </c>
      <c r="X28" s="78" t="n">
        <v>24598</v>
      </c>
      <c r="Y28" s="78" t="s">
        <v>174</v>
      </c>
      <c r="Z28" s="78" t="n">
        <v>0</v>
      </c>
      <c r="AA28" s="78"/>
      <c r="AB28" s="78"/>
      <c r="AC28" s="78"/>
      <c r="AD28" s="70" t="n">
        <v>0</v>
      </c>
      <c r="AE28" s="70" t="s">
        <v>215</v>
      </c>
      <c r="AF28" s="71" t="n">
        <v>1800003318</v>
      </c>
      <c r="AG28" s="72" t="s">
        <v>131</v>
      </c>
    </row>
    <row r="29" customFormat="false" ht="14.25" hidden="false" customHeight="true" outlineLevel="0" collapsed="false">
      <c r="A29" s="73" t="n">
        <v>3</v>
      </c>
      <c r="B29" s="74" t="s">
        <v>203</v>
      </c>
      <c r="C29" s="75" t="n">
        <v>90002</v>
      </c>
      <c r="D29" s="76" t="n">
        <v>21978</v>
      </c>
      <c r="E29" s="76" t="s">
        <v>135</v>
      </c>
      <c r="F29" s="76" t="n">
        <v>2040</v>
      </c>
      <c r="G29" s="74" t="s">
        <v>252</v>
      </c>
      <c r="H29" s="77" t="n">
        <v>270006</v>
      </c>
      <c r="I29" s="77" t="n">
        <v>48601</v>
      </c>
      <c r="J29" s="77" t="n">
        <v>318607</v>
      </c>
      <c r="K29" s="77" t="n">
        <v>6372</v>
      </c>
      <c r="L29" s="78" t="n">
        <v>270.006</v>
      </c>
      <c r="M29" s="78" t="n">
        <v>7168.6593</v>
      </c>
      <c r="N29" s="79" t="n">
        <v>121.5027</v>
      </c>
      <c r="O29" s="78" t="n">
        <v>7047.1566</v>
      </c>
      <c r="P29" s="78" t="n">
        <v>7317</v>
      </c>
      <c r="Q29" s="80" t="n">
        <v>0</v>
      </c>
      <c r="R29" s="78" t="n">
        <v>0</v>
      </c>
      <c r="S29" s="77" t="n">
        <v>317662</v>
      </c>
      <c r="T29" s="78" t="n">
        <v>67502</v>
      </c>
      <c r="U29" s="81" t="n">
        <v>67502</v>
      </c>
      <c r="V29" s="78" t="s">
        <v>127</v>
      </c>
      <c r="W29" s="78" t="n">
        <v>250161</v>
      </c>
      <c r="X29" s="78"/>
      <c r="Y29" s="78" t="n">
        <v>0</v>
      </c>
      <c r="Z29" s="78" t="n">
        <v>9558.2124</v>
      </c>
      <c r="AA29" s="78"/>
      <c r="AB29" s="78"/>
      <c r="AC29" s="78"/>
      <c r="AD29" s="70" t="n">
        <v>250160</v>
      </c>
      <c r="AE29" s="70"/>
      <c r="AF29" s="71"/>
      <c r="AG29" s="72"/>
    </row>
    <row r="30" customFormat="false" ht="14.25" hidden="false" customHeight="true" outlineLevel="0" collapsed="false">
      <c r="A30" s="73" t="n">
        <v>5</v>
      </c>
      <c r="B30" s="74" t="s">
        <v>140</v>
      </c>
      <c r="C30" s="75" t="n">
        <v>80000</v>
      </c>
      <c r="D30" s="76" t="n">
        <v>21979</v>
      </c>
      <c r="E30" s="76" t="s">
        <v>135</v>
      </c>
      <c r="F30" s="76" t="n">
        <v>2043</v>
      </c>
      <c r="G30" s="74" t="s">
        <v>248</v>
      </c>
      <c r="H30" s="77" t="n">
        <v>400000</v>
      </c>
      <c r="I30" s="77" t="n">
        <v>72000</v>
      </c>
      <c r="J30" s="77" t="n">
        <v>472000</v>
      </c>
      <c r="K30" s="77" t="n">
        <v>9440</v>
      </c>
      <c r="L30" s="78" t="n">
        <v>400</v>
      </c>
      <c r="M30" s="78" t="n">
        <v>10620</v>
      </c>
      <c r="N30" s="79" t="n">
        <v>180</v>
      </c>
      <c r="O30" s="78" t="n">
        <v>10440</v>
      </c>
      <c r="P30" s="78" t="n">
        <v>10840</v>
      </c>
      <c r="Q30" s="80" t="n">
        <v>0</v>
      </c>
      <c r="R30" s="78" t="n">
        <v>0</v>
      </c>
      <c r="S30" s="77" t="n">
        <v>470600</v>
      </c>
      <c r="T30" s="78" t="n">
        <v>100000</v>
      </c>
      <c r="U30" s="81" t="n">
        <v>100000</v>
      </c>
      <c r="V30" s="78" t="s">
        <v>158</v>
      </c>
      <c r="W30" s="78" t="n">
        <v>370600</v>
      </c>
      <c r="X30" s="78" t="n">
        <v>370600</v>
      </c>
      <c r="Y30" s="78" t="s">
        <v>105</v>
      </c>
      <c r="Z30" s="78" t="n">
        <v>0</v>
      </c>
      <c r="AA30" s="78"/>
      <c r="AB30" s="78"/>
      <c r="AC30" s="78"/>
      <c r="AD30" s="70" t="n">
        <v>0</v>
      </c>
      <c r="AE30" s="70" t="s">
        <v>168</v>
      </c>
      <c r="AF30" s="71" t="n">
        <v>1800003311</v>
      </c>
      <c r="AG30" s="72" t="s">
        <v>131</v>
      </c>
    </row>
    <row r="31" customFormat="false" ht="14.25" hidden="false" customHeight="true" outlineLevel="0" collapsed="false">
      <c r="A31" s="73" t="n">
        <v>670</v>
      </c>
      <c r="B31" s="74" t="s">
        <v>190</v>
      </c>
      <c r="C31" s="75" t="n">
        <v>309</v>
      </c>
      <c r="D31" s="76" t="n">
        <v>21979</v>
      </c>
      <c r="E31" s="76" t="s">
        <v>86</v>
      </c>
      <c r="F31" s="76" t="n">
        <v>2046</v>
      </c>
      <c r="G31" s="74" t="s">
        <v>257</v>
      </c>
      <c r="H31" s="77" t="n">
        <v>207030</v>
      </c>
      <c r="I31" s="77" t="n">
        <v>37265</v>
      </c>
      <c r="J31" s="77" t="n">
        <v>244295</v>
      </c>
      <c r="K31" s="77" t="n">
        <v>4886</v>
      </c>
      <c r="L31" s="78" t="n">
        <v>207.03</v>
      </c>
      <c r="M31" s="78" t="n">
        <v>5496.6465</v>
      </c>
      <c r="N31" s="79" t="n">
        <v>93.1635</v>
      </c>
      <c r="O31" s="78" t="n">
        <v>5403.483</v>
      </c>
      <c r="P31" s="78" t="n">
        <v>5611</v>
      </c>
      <c r="Q31" s="80" t="n">
        <v>0</v>
      </c>
      <c r="R31" s="78" t="n">
        <v>0</v>
      </c>
      <c r="S31" s="77" t="n">
        <v>243571</v>
      </c>
      <c r="T31" s="78" t="n">
        <v>51758</v>
      </c>
      <c r="U31" s="81" t="n">
        <v>51758</v>
      </c>
      <c r="V31" s="78" t="s">
        <v>127</v>
      </c>
      <c r="W31" s="78" t="n">
        <v>191813</v>
      </c>
      <c r="X31" s="78" t="n">
        <v>191812</v>
      </c>
      <c r="Y31" s="78" t="s">
        <v>174</v>
      </c>
      <c r="Z31" s="78" t="n">
        <v>0</v>
      </c>
      <c r="AA31" s="78"/>
      <c r="AB31" s="78"/>
      <c r="AC31" s="78"/>
      <c r="AD31" s="70" t="n">
        <v>1</v>
      </c>
      <c r="AE31" s="70" t="s">
        <v>191</v>
      </c>
      <c r="AF31" s="71" t="n">
        <v>1800003316</v>
      </c>
      <c r="AG31" s="72" t="s">
        <v>131</v>
      </c>
    </row>
    <row r="32" customFormat="false" ht="14.25" hidden="false" customHeight="true" outlineLevel="0" collapsed="false">
      <c r="A32" s="73" t="n">
        <v>2</v>
      </c>
      <c r="B32" s="74" t="s">
        <v>155</v>
      </c>
      <c r="C32" s="75" t="n">
        <v>80006</v>
      </c>
      <c r="D32" s="76" t="n">
        <v>21979</v>
      </c>
      <c r="E32" s="76" t="s">
        <v>135</v>
      </c>
      <c r="F32" s="76" t="n">
        <v>2055</v>
      </c>
      <c r="G32" s="74" t="s">
        <v>248</v>
      </c>
      <c r="H32" s="77" t="n">
        <v>160012</v>
      </c>
      <c r="I32" s="77" t="n">
        <v>28802</v>
      </c>
      <c r="J32" s="77" t="n">
        <v>188814</v>
      </c>
      <c r="K32" s="77" t="n">
        <v>3776</v>
      </c>
      <c r="L32" s="78" t="n">
        <v>160.012</v>
      </c>
      <c r="M32" s="78" t="n">
        <v>4248.3186</v>
      </c>
      <c r="N32" s="79" t="n">
        <v>72.0054</v>
      </c>
      <c r="O32" s="78" t="n">
        <v>4176.3132</v>
      </c>
      <c r="P32" s="78" t="n">
        <v>4336</v>
      </c>
      <c r="Q32" s="80" t="n">
        <v>0</v>
      </c>
      <c r="R32" s="78" t="n">
        <v>0</v>
      </c>
      <c r="S32" s="77" t="n">
        <v>188254</v>
      </c>
      <c r="T32" s="78" t="n">
        <v>40003</v>
      </c>
      <c r="U32" s="81" t="n">
        <v>40003</v>
      </c>
      <c r="V32" s="78" t="s">
        <v>158</v>
      </c>
      <c r="W32" s="78" t="n">
        <v>148251</v>
      </c>
      <c r="X32" s="78" t="n">
        <v>148251</v>
      </c>
      <c r="Y32" s="78" t="s">
        <v>105</v>
      </c>
      <c r="Z32" s="78" t="n">
        <v>0</v>
      </c>
      <c r="AA32" s="78"/>
      <c r="AB32" s="78"/>
      <c r="AC32" s="78"/>
      <c r="AD32" s="70" t="n">
        <v>0</v>
      </c>
      <c r="AE32" s="70" t="s">
        <v>169</v>
      </c>
      <c r="AF32" s="71" t="n">
        <v>1800003312</v>
      </c>
      <c r="AG32" s="72" t="s">
        <v>131</v>
      </c>
    </row>
    <row r="33" customFormat="false" ht="14.25" hidden="false" customHeight="true" outlineLevel="0" collapsed="false">
      <c r="A33" s="73" t="n">
        <v>1</v>
      </c>
      <c r="B33" s="74" t="s">
        <v>156</v>
      </c>
      <c r="C33" s="75" t="n">
        <v>29502</v>
      </c>
      <c r="D33" s="76" t="n">
        <v>21979</v>
      </c>
      <c r="E33" s="76" t="s">
        <v>135</v>
      </c>
      <c r="F33" s="76" t="n">
        <v>2059</v>
      </c>
      <c r="G33" s="74" t="s">
        <v>248</v>
      </c>
      <c r="H33" s="77" t="n">
        <v>29502</v>
      </c>
      <c r="I33" s="77" t="n">
        <v>5310</v>
      </c>
      <c r="J33" s="77" t="n">
        <v>34812</v>
      </c>
      <c r="K33" s="77" t="n">
        <v>696</v>
      </c>
      <c r="L33" s="78" t="n">
        <v>29.502</v>
      </c>
      <c r="M33" s="78" t="n">
        <v>783.2781</v>
      </c>
      <c r="N33" s="79" t="n">
        <v>13.2759</v>
      </c>
      <c r="O33" s="78" t="n">
        <v>770.0022</v>
      </c>
      <c r="P33" s="78" t="n">
        <v>800</v>
      </c>
      <c r="Q33" s="80" t="n">
        <v>0</v>
      </c>
      <c r="R33" s="78" t="n">
        <v>0</v>
      </c>
      <c r="S33" s="77" t="n">
        <v>34709</v>
      </c>
      <c r="T33" s="78" t="n">
        <v>7376</v>
      </c>
      <c r="U33" s="81" t="n">
        <v>7376</v>
      </c>
      <c r="V33" s="78" t="s">
        <v>158</v>
      </c>
      <c r="W33" s="78" t="n">
        <v>27334</v>
      </c>
      <c r="X33" s="78" t="n">
        <v>27332</v>
      </c>
      <c r="Y33" s="78" t="s">
        <v>105</v>
      </c>
      <c r="Z33" s="78" t="n">
        <v>0</v>
      </c>
      <c r="AA33" s="78"/>
      <c r="AB33" s="78"/>
      <c r="AC33" s="78"/>
      <c r="AD33" s="70" t="n">
        <v>1</v>
      </c>
      <c r="AE33" s="70" t="s">
        <v>170</v>
      </c>
      <c r="AF33" s="71" t="n">
        <v>1800003313</v>
      </c>
      <c r="AG33" s="72" t="s">
        <v>131</v>
      </c>
    </row>
    <row r="34" customFormat="false" ht="14.25" hidden="false" customHeight="true" outlineLevel="0" collapsed="false">
      <c r="A34" s="73" t="n">
        <v>30</v>
      </c>
      <c r="B34" s="74" t="s">
        <v>204</v>
      </c>
      <c r="C34" s="75" t="n">
        <v>702</v>
      </c>
      <c r="D34" s="76" t="n">
        <v>21979</v>
      </c>
      <c r="E34" s="76" t="s">
        <v>135</v>
      </c>
      <c r="F34" s="76" t="n">
        <v>2062</v>
      </c>
      <c r="G34" s="74" t="s">
        <v>252</v>
      </c>
      <c r="H34" s="77" t="n">
        <v>21060</v>
      </c>
      <c r="I34" s="77" t="n">
        <v>3791</v>
      </c>
      <c r="J34" s="77" t="n">
        <v>24851</v>
      </c>
      <c r="K34" s="77" t="n">
        <v>497</v>
      </c>
      <c r="L34" s="78" t="n">
        <v>21.06</v>
      </c>
      <c r="M34" s="78" t="n">
        <v>559.143</v>
      </c>
      <c r="N34" s="79" t="n">
        <v>9.477</v>
      </c>
      <c r="O34" s="78" t="n">
        <v>549.666</v>
      </c>
      <c r="P34" s="78" t="n">
        <v>571</v>
      </c>
      <c r="Q34" s="80" t="n">
        <v>0</v>
      </c>
      <c r="R34" s="78" t="n">
        <v>0</v>
      </c>
      <c r="S34" s="77" t="n">
        <v>24777</v>
      </c>
      <c r="T34" s="78" t="n">
        <v>5265</v>
      </c>
      <c r="U34" s="81" t="n">
        <v>5265</v>
      </c>
      <c r="V34" s="78" t="s">
        <v>127</v>
      </c>
      <c r="W34" s="78" t="n">
        <v>19512</v>
      </c>
      <c r="X34" s="78" t="n">
        <v>19512</v>
      </c>
      <c r="Y34" s="78" t="s">
        <v>127</v>
      </c>
      <c r="Z34" s="78" t="n">
        <v>0</v>
      </c>
      <c r="AA34" s="78"/>
      <c r="AB34" s="78"/>
      <c r="AC34" s="78"/>
      <c r="AD34" s="70" t="n">
        <v>0</v>
      </c>
      <c r="AE34" s="70" t="s">
        <v>210</v>
      </c>
      <c r="AF34" s="71" t="n">
        <v>1800003161</v>
      </c>
      <c r="AG34" s="72" t="s">
        <v>136</v>
      </c>
    </row>
    <row r="35" customFormat="false" ht="14.25" hidden="false" customHeight="true" outlineLevel="0" collapsed="false">
      <c r="A35" s="73" t="n">
        <v>150</v>
      </c>
      <c r="B35" s="74" t="s">
        <v>200</v>
      </c>
      <c r="C35" s="75" t="n">
        <v>571</v>
      </c>
      <c r="D35" s="76" t="n">
        <v>21980</v>
      </c>
      <c r="E35" s="76" t="s">
        <v>135</v>
      </c>
      <c r="F35" s="76" t="n">
        <v>2067</v>
      </c>
      <c r="G35" s="74" t="s">
        <v>255</v>
      </c>
      <c r="H35" s="77" t="n">
        <v>85650</v>
      </c>
      <c r="I35" s="77" t="n">
        <v>15417</v>
      </c>
      <c r="J35" s="77" t="n">
        <v>101067</v>
      </c>
      <c r="K35" s="77" t="n">
        <v>2021</v>
      </c>
      <c r="L35" s="78" t="n">
        <v>85.65</v>
      </c>
      <c r="M35" s="78" t="n">
        <v>2274.0075</v>
      </c>
      <c r="N35" s="79" t="n">
        <v>38.5425</v>
      </c>
      <c r="O35" s="78" t="n">
        <v>2235.465</v>
      </c>
      <c r="P35" s="78" t="n">
        <v>2321</v>
      </c>
      <c r="Q35" s="80" t="n">
        <v>0</v>
      </c>
      <c r="R35" s="78" t="n">
        <v>0</v>
      </c>
      <c r="S35" s="77" t="n">
        <v>100767</v>
      </c>
      <c r="T35" s="78" t="n">
        <v>21413</v>
      </c>
      <c r="U35" s="81" t="n">
        <v>21413</v>
      </c>
      <c r="V35" s="78" t="s">
        <v>136</v>
      </c>
      <c r="W35" s="78" t="n">
        <v>79355</v>
      </c>
      <c r="X35" s="78" t="n">
        <v>79354</v>
      </c>
      <c r="Y35" s="78" t="s">
        <v>128</v>
      </c>
      <c r="Z35" s="78" t="n">
        <v>0</v>
      </c>
      <c r="AA35" s="78"/>
      <c r="AB35" s="78"/>
      <c r="AC35" s="78"/>
      <c r="AD35" s="70" t="n">
        <v>0</v>
      </c>
      <c r="AE35" s="70" t="s">
        <v>216</v>
      </c>
      <c r="AF35" s="71" t="n">
        <v>1800003248</v>
      </c>
      <c r="AG35" s="72" t="s">
        <v>128</v>
      </c>
    </row>
    <row r="36" customFormat="false" ht="14.25" hidden="false" customHeight="true" outlineLevel="0" collapsed="false">
      <c r="A36" s="73" t="n">
        <v>1</v>
      </c>
      <c r="B36" s="74" t="s">
        <v>205</v>
      </c>
      <c r="C36" s="75" t="n">
        <v>54000</v>
      </c>
      <c r="D36" s="76" t="n">
        <v>21980</v>
      </c>
      <c r="E36" s="76" t="s">
        <v>135</v>
      </c>
      <c r="F36" s="76" t="n">
        <v>2069</v>
      </c>
      <c r="G36" s="74" t="s">
        <v>252</v>
      </c>
      <c r="H36" s="77" t="n">
        <v>54000</v>
      </c>
      <c r="I36" s="77" t="n">
        <v>9720</v>
      </c>
      <c r="J36" s="77" t="n">
        <v>63720</v>
      </c>
      <c r="K36" s="77" t="n">
        <v>1274</v>
      </c>
      <c r="L36" s="78" t="n">
        <v>54</v>
      </c>
      <c r="M36" s="78" t="n">
        <v>1433.7</v>
      </c>
      <c r="N36" s="79" t="n">
        <v>24.3</v>
      </c>
      <c r="O36" s="78" t="n">
        <v>1409.4</v>
      </c>
      <c r="P36" s="78" t="n">
        <v>1463</v>
      </c>
      <c r="Q36" s="80" t="n">
        <v>0</v>
      </c>
      <c r="R36" s="78" t="n">
        <v>0</v>
      </c>
      <c r="S36" s="77" t="n">
        <v>63531</v>
      </c>
      <c r="T36" s="78" t="n">
        <v>13500</v>
      </c>
      <c r="U36" s="81" t="n">
        <v>13500</v>
      </c>
      <c r="V36" s="78" t="s">
        <v>127</v>
      </c>
      <c r="W36" s="78" t="n">
        <v>50031</v>
      </c>
      <c r="X36" s="78"/>
      <c r="Y36" s="78" t="n">
        <v>0</v>
      </c>
      <c r="Z36" s="78" t="n">
        <v>1911.6</v>
      </c>
      <c r="AA36" s="78"/>
      <c r="AB36" s="78"/>
      <c r="AC36" s="78"/>
      <c r="AD36" s="70" t="n">
        <v>50031</v>
      </c>
      <c r="AE36" s="70"/>
      <c r="AF36" s="71"/>
      <c r="AG36" s="72"/>
    </row>
    <row r="37" customFormat="false" ht="14.25" hidden="false" customHeight="true" outlineLevel="0" collapsed="false">
      <c r="A37" s="73" t="n">
        <v>3</v>
      </c>
      <c r="B37" s="74" t="s">
        <v>157</v>
      </c>
      <c r="C37" s="75" t="n">
        <v>25001</v>
      </c>
      <c r="D37" s="76" t="n">
        <v>21980</v>
      </c>
      <c r="E37" s="76" t="s">
        <v>135</v>
      </c>
      <c r="F37" s="76" t="n">
        <v>2071</v>
      </c>
      <c r="G37" s="74" t="s">
        <v>248</v>
      </c>
      <c r="H37" s="77" t="n">
        <v>75003</v>
      </c>
      <c r="I37" s="77" t="n">
        <v>13501</v>
      </c>
      <c r="J37" s="77" t="n">
        <v>88504</v>
      </c>
      <c r="K37" s="77" t="n">
        <v>1770</v>
      </c>
      <c r="L37" s="78" t="n">
        <v>75.003</v>
      </c>
      <c r="M37" s="78" t="n">
        <v>1991.32965</v>
      </c>
      <c r="N37" s="79" t="n">
        <v>33.75135</v>
      </c>
      <c r="O37" s="78" t="n">
        <v>1957.5783</v>
      </c>
      <c r="P37" s="78" t="n">
        <v>2033</v>
      </c>
      <c r="Q37" s="80" t="n">
        <v>0</v>
      </c>
      <c r="R37" s="78" t="n">
        <v>0</v>
      </c>
      <c r="S37" s="77" t="n">
        <v>88241</v>
      </c>
      <c r="T37" s="78" t="n">
        <v>18751</v>
      </c>
      <c r="U37" s="81" t="n">
        <v>18751</v>
      </c>
      <c r="V37" s="78" t="s">
        <v>158</v>
      </c>
      <c r="W37" s="78" t="n">
        <v>69490</v>
      </c>
      <c r="X37" s="78" t="n">
        <v>69491</v>
      </c>
      <c r="Y37" s="78" t="s">
        <v>105</v>
      </c>
      <c r="Z37" s="78" t="n">
        <v>0</v>
      </c>
      <c r="AA37" s="78"/>
      <c r="AB37" s="78"/>
      <c r="AC37" s="78"/>
      <c r="AD37" s="70" t="n">
        <v>-1</v>
      </c>
      <c r="AE37" s="70" t="s">
        <v>171</v>
      </c>
      <c r="AF37" s="71" t="n">
        <v>1800003314</v>
      </c>
      <c r="AG37" s="72" t="s">
        <v>131</v>
      </c>
    </row>
    <row r="38" customFormat="false" ht="14.25" hidden="false" customHeight="true" outlineLevel="0" collapsed="false">
      <c r="A38" s="73" t="n">
        <v>3</v>
      </c>
      <c r="B38" s="74" t="s">
        <v>140</v>
      </c>
      <c r="C38" s="75" t="n">
        <v>70001</v>
      </c>
      <c r="D38" s="76" t="n">
        <v>21980</v>
      </c>
      <c r="E38" s="76" t="s">
        <v>135</v>
      </c>
      <c r="F38" s="76" t="n">
        <v>2086</v>
      </c>
      <c r="G38" s="74" t="s">
        <v>258</v>
      </c>
      <c r="H38" s="77" t="n">
        <v>210003</v>
      </c>
      <c r="I38" s="77" t="n">
        <v>37801</v>
      </c>
      <c r="J38" s="77" t="n">
        <v>247804</v>
      </c>
      <c r="K38" s="77" t="n">
        <v>4956</v>
      </c>
      <c r="L38" s="78" t="n">
        <v>210.003</v>
      </c>
      <c r="M38" s="78" t="n">
        <v>5575.57965</v>
      </c>
      <c r="N38" s="79" t="n">
        <v>94.50135</v>
      </c>
      <c r="O38" s="78" t="n">
        <v>5481.0783</v>
      </c>
      <c r="P38" s="78" t="n">
        <v>5691</v>
      </c>
      <c r="Q38" s="80" t="n">
        <v>0</v>
      </c>
      <c r="R38" s="78" t="n">
        <v>0</v>
      </c>
      <c r="S38" s="77" t="n">
        <v>247069</v>
      </c>
      <c r="T38" s="78" t="n">
        <v>52501</v>
      </c>
      <c r="U38" s="81" t="n">
        <v>52501</v>
      </c>
      <c r="V38" s="78" t="s">
        <v>141</v>
      </c>
      <c r="W38" s="78" t="n">
        <v>194568</v>
      </c>
      <c r="X38" s="78" t="n">
        <v>194568</v>
      </c>
      <c r="Y38" s="78" t="s">
        <v>141</v>
      </c>
      <c r="Z38" s="78" t="n">
        <v>0</v>
      </c>
      <c r="AA38" s="78"/>
      <c r="AB38" s="78"/>
      <c r="AC38" s="78"/>
      <c r="AD38" s="70" t="n">
        <v>0</v>
      </c>
      <c r="AE38" s="70" t="s">
        <v>142</v>
      </c>
      <c r="AF38" s="71" t="n">
        <v>1800003226</v>
      </c>
      <c r="AG38" s="72" t="s">
        <v>143</v>
      </c>
    </row>
    <row r="39" customFormat="false" ht="14.25" hidden="false" customHeight="true" outlineLevel="0" collapsed="false">
      <c r="A39" s="73" t="n">
        <v>2</v>
      </c>
      <c r="B39" s="74" t="s">
        <v>186</v>
      </c>
      <c r="C39" s="75" t="n">
        <v>15006</v>
      </c>
      <c r="D39" s="76" t="n">
        <v>21980</v>
      </c>
      <c r="E39" s="76" t="s">
        <v>135</v>
      </c>
      <c r="F39" s="76" t="n">
        <v>2089</v>
      </c>
      <c r="G39" s="74" t="s">
        <v>259</v>
      </c>
      <c r="H39" s="77" t="n">
        <v>30012</v>
      </c>
      <c r="I39" s="77" t="n">
        <v>5402</v>
      </c>
      <c r="J39" s="77" t="n">
        <v>35414</v>
      </c>
      <c r="K39" s="77" t="n">
        <v>708</v>
      </c>
      <c r="L39" s="78" t="n">
        <v>30.012</v>
      </c>
      <c r="M39" s="78" t="n">
        <v>796.8186</v>
      </c>
      <c r="N39" s="79" t="n">
        <v>13.5054</v>
      </c>
      <c r="O39" s="78" t="n">
        <v>783.3132</v>
      </c>
      <c r="P39" s="78" t="n">
        <v>813</v>
      </c>
      <c r="Q39" s="80" t="n">
        <v>0</v>
      </c>
      <c r="R39" s="78" t="n">
        <v>0</v>
      </c>
      <c r="S39" s="77" t="n">
        <v>35309</v>
      </c>
      <c r="T39" s="78" t="n">
        <v>7503</v>
      </c>
      <c r="U39" s="81" t="n">
        <v>7503</v>
      </c>
      <c r="V39" s="78" t="s">
        <v>136</v>
      </c>
      <c r="W39" s="78" t="n">
        <v>27806</v>
      </c>
      <c r="X39" s="78" t="n">
        <v>27806</v>
      </c>
      <c r="Y39" s="78" t="s">
        <v>187</v>
      </c>
      <c r="Z39" s="78" t="n">
        <v>708.2832</v>
      </c>
      <c r="AA39" s="78"/>
      <c r="AB39" s="78"/>
      <c r="AC39" s="78"/>
      <c r="AD39" s="70" t="n">
        <v>0</v>
      </c>
      <c r="AE39" s="70"/>
      <c r="AF39" s="71"/>
      <c r="AG39" s="72"/>
    </row>
    <row r="40" customFormat="false" ht="15" hidden="false" customHeight="true" outlineLevel="0" collapsed="false">
      <c r="A40" s="82" t="n">
        <v>3</v>
      </c>
      <c r="B40" s="83" t="s">
        <v>140</v>
      </c>
      <c r="C40" s="84" t="n">
        <v>40003</v>
      </c>
      <c r="D40" s="85" t="n">
        <v>21980</v>
      </c>
      <c r="E40" s="85" t="s">
        <v>135</v>
      </c>
      <c r="F40" s="85" t="n">
        <v>2091</v>
      </c>
      <c r="G40" s="83" t="s">
        <v>259</v>
      </c>
      <c r="H40" s="86" t="n">
        <v>120009</v>
      </c>
      <c r="I40" s="86" t="n">
        <v>21602</v>
      </c>
      <c r="J40" s="86" t="n">
        <v>141611</v>
      </c>
      <c r="K40" s="86" t="n">
        <v>2832</v>
      </c>
      <c r="L40" s="87" t="n">
        <v>120.009</v>
      </c>
      <c r="M40" s="87" t="n">
        <v>3186.23895</v>
      </c>
      <c r="N40" s="88" t="n">
        <v>54.00405</v>
      </c>
      <c r="O40" s="87" t="n">
        <v>3132.2349</v>
      </c>
      <c r="P40" s="87" t="n">
        <v>3252</v>
      </c>
      <c r="Q40" s="89" t="n">
        <v>0</v>
      </c>
      <c r="R40" s="87" t="n">
        <v>0</v>
      </c>
      <c r="S40" s="86" t="n">
        <v>141191</v>
      </c>
      <c r="T40" s="87" t="n">
        <v>30002</v>
      </c>
      <c r="U40" s="90" t="n">
        <v>30002</v>
      </c>
      <c r="V40" s="87" t="s">
        <v>136</v>
      </c>
      <c r="W40" s="87" t="n">
        <v>111188</v>
      </c>
      <c r="X40" s="87" t="n">
        <v>111189</v>
      </c>
      <c r="Y40" s="87" t="s">
        <v>187</v>
      </c>
      <c r="Z40" s="87" t="n">
        <v>2832.2124</v>
      </c>
      <c r="AA40" s="87"/>
      <c r="AB40" s="87"/>
      <c r="AC40" s="87"/>
      <c r="AD40" s="91" t="n">
        <v>0</v>
      </c>
      <c r="AE40" s="70"/>
      <c r="AF40" s="71"/>
      <c r="AG40" s="72"/>
    </row>
    <row r="41" customFormat="false" ht="14.25" hidden="false" customHeight="true" outlineLevel="0" collapsed="false">
      <c r="A41" s="92"/>
      <c r="B41" s="93"/>
      <c r="C41" s="93"/>
      <c r="D41" s="93"/>
      <c r="E41" s="93"/>
      <c r="F41" s="93"/>
      <c r="G41" s="93"/>
      <c r="H41" s="94" t="n">
        <v>15130598</v>
      </c>
      <c r="I41" s="94" t="n">
        <v>2723508</v>
      </c>
      <c r="J41" s="94" t="n">
        <v>17854106</v>
      </c>
      <c r="K41" s="94" t="n">
        <v>357082</v>
      </c>
      <c r="L41" s="94" t="n">
        <v>15130.598</v>
      </c>
      <c r="M41" s="94" t="n">
        <v>401717.3769</v>
      </c>
      <c r="N41" s="94" t="n">
        <v>6808.7691</v>
      </c>
      <c r="O41" s="94" t="n">
        <v>394908.6078</v>
      </c>
      <c r="P41" s="94" t="n">
        <v>410039</v>
      </c>
      <c r="Q41" s="95"/>
      <c r="R41" s="95" t="n">
        <v>0</v>
      </c>
      <c r="S41" s="94" t="n">
        <v>17718123</v>
      </c>
      <c r="T41" s="94" t="n">
        <v>3782654</v>
      </c>
      <c r="U41" s="94" t="n">
        <v>3782654</v>
      </c>
      <c r="V41" s="95" t="n">
        <v>0</v>
      </c>
      <c r="W41" s="94" t="n">
        <v>13935473</v>
      </c>
      <c r="X41" s="94" t="n">
        <v>13137293</v>
      </c>
      <c r="Y41" s="95" t="n">
        <v>0</v>
      </c>
      <c r="Z41" s="95"/>
      <c r="AA41" s="95"/>
      <c r="AB41" s="95"/>
      <c r="AC41" s="95"/>
      <c r="AD41" s="94" t="n">
        <v>798176</v>
      </c>
      <c r="AE41" s="93"/>
      <c r="AF41" s="93"/>
      <c r="AG41" s="96"/>
    </row>
    <row r="42" customFormat="false" ht="15" hidden="false" customHeight="true" outlineLevel="0" collapsed="false">
      <c r="A42" s="97"/>
      <c r="B42" s="98"/>
      <c r="C42" s="98"/>
      <c r="D42" s="98"/>
      <c r="E42" s="98"/>
      <c r="F42" s="98"/>
      <c r="G42" s="98"/>
      <c r="H42" s="99" t="n">
        <v>15130598</v>
      </c>
      <c r="I42" s="99" t="n">
        <v>2723508</v>
      </c>
      <c r="J42" s="99" t="n">
        <v>17854106</v>
      </c>
      <c r="K42" s="99" t="n">
        <v>357082</v>
      </c>
      <c r="L42" s="100" t="n">
        <v>15131</v>
      </c>
      <c r="M42" s="100" t="n">
        <v>401717</v>
      </c>
      <c r="N42" s="101" t="n">
        <v>6809</v>
      </c>
      <c r="O42" s="100" t="n">
        <v>394908</v>
      </c>
      <c r="P42" s="100" t="n">
        <v>410039</v>
      </c>
      <c r="Q42" s="100"/>
      <c r="R42" s="100" t="n">
        <v>0</v>
      </c>
      <c r="S42" s="99" t="n">
        <v>17801148.547</v>
      </c>
      <c r="T42" s="102"/>
      <c r="U42" s="102" t="n">
        <v>0</v>
      </c>
      <c r="V42" s="103"/>
      <c r="W42" s="104"/>
      <c r="X42" s="104" t="n">
        <v>798180</v>
      </c>
      <c r="Y42" s="103"/>
      <c r="Z42" s="103"/>
      <c r="AA42" s="103"/>
      <c r="AB42" s="103"/>
      <c r="AC42" s="103"/>
      <c r="AD42" s="103"/>
      <c r="AE42" s="98"/>
      <c r="AF42" s="98"/>
      <c r="AG42" s="105"/>
    </row>
    <row r="43" customFormat="false" ht="14.25" hidden="false" customHeight="true" outlineLevel="0" collapsed="false">
      <c r="I43" s="106"/>
      <c r="J43" s="106"/>
      <c r="U43" s="107" t="s">
        <v>260</v>
      </c>
      <c r="X43" s="108" t="s">
        <v>261</v>
      </c>
    </row>
    <row r="44" customFormat="false" ht="14.25" hidden="false" customHeight="true" outlineLevel="0" collapsed="false">
      <c r="U44" s="109"/>
    </row>
    <row r="46" customFormat="false" ht="14.25" hidden="false" customHeight="true" outlineLevel="0" collapsed="false">
      <c r="K46" s="106"/>
    </row>
  </sheetData>
  <autoFilter ref="A3:AG43">
    <sortState ref="A4:AG43">
      <sortCondition ref="A4:A43" customList=""/>
    </sortState>
  </autoFilter>
  <mergeCells count="3">
    <mergeCell ref="B2:D2"/>
    <mergeCell ref="G2:H2"/>
    <mergeCell ref="I2:M2"/>
  </mergeCells>
  <dataValidations count="2">
    <dataValidation allowBlank="true" errorStyle="stop" operator="between" showDropDown="false" showErrorMessage="false" showInputMessage="false" sqref="B2" type="list">
      <formula1>'Buyer Lookup'!$A$1:$A$13</formula1>
      <formula2>0</formula2>
    </dataValidation>
    <dataValidation allowBlank="true" errorStyle="stop" operator="between" showDropDown="false" showErrorMessage="false" showInputMessage="false" sqref="G2" type="list">
      <formula1>'Buyer Lookup'!$C$1:$C$37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2</v>
      </c>
      <c r="B1" s="1" t="n">
        <v>4</v>
      </c>
      <c r="C1" s="0" t="n">
        <v>1763</v>
      </c>
    </row>
    <row r="2" customFormat="false" ht="15" hidden="false" customHeight="true" outlineLevel="0" collapsed="false">
      <c r="A2" s="1" t="s">
        <v>249</v>
      </c>
      <c r="B2" s="1" t="n">
        <v>6</v>
      </c>
      <c r="C2" s="1" t="n">
        <v>1874</v>
      </c>
    </row>
    <row r="3" customFormat="false" ht="15" hidden="false" customHeight="true" outlineLevel="0" collapsed="false">
      <c r="A3" s="1" t="s">
        <v>253</v>
      </c>
      <c r="B3" s="1" t="n">
        <v>15</v>
      </c>
      <c r="C3" s="0" t="n">
        <v>1875</v>
      </c>
    </row>
    <row r="4" customFormat="false" ht="15" hidden="false" customHeight="true" outlineLevel="0" collapsed="false">
      <c r="A4" s="1" t="s">
        <v>258</v>
      </c>
      <c r="B4" s="1" t="n">
        <v>38</v>
      </c>
      <c r="C4" s="0" t="n">
        <v>1876</v>
      </c>
    </row>
    <row r="5" customFormat="false" ht="15" hidden="false" customHeight="true" outlineLevel="0" collapsed="false">
      <c r="A5" s="1" t="s">
        <v>256</v>
      </c>
      <c r="B5" s="1" t="n">
        <v>27</v>
      </c>
      <c r="C5" s="0" t="n">
        <v>1923</v>
      </c>
    </row>
    <row r="6" customFormat="false" ht="15" hidden="false" customHeight="true" outlineLevel="0" collapsed="false">
      <c r="A6" s="1" t="s">
        <v>248</v>
      </c>
      <c r="B6" s="1" t="n">
        <v>5</v>
      </c>
      <c r="C6" s="1" t="n">
        <v>1976</v>
      </c>
      <c r="D6" s="1" t="n">
        <v>11</v>
      </c>
      <c r="E6" s="1" t="n">
        <v>12</v>
      </c>
      <c r="F6" s="1" t="n">
        <v>18</v>
      </c>
      <c r="G6" s="1" t="n">
        <v>19</v>
      </c>
      <c r="H6" s="1" t="n">
        <v>22</v>
      </c>
      <c r="I6" s="1" t="n">
        <v>24</v>
      </c>
      <c r="J6" s="1" t="n">
        <v>26</v>
      </c>
      <c r="K6" s="1" t="n">
        <v>30</v>
      </c>
      <c r="L6" s="1" t="n">
        <v>32</v>
      </c>
      <c r="M6" s="1" t="n">
        <v>33</v>
      </c>
      <c r="N6" s="1" t="n">
        <v>37</v>
      </c>
    </row>
    <row r="7" customFormat="false" ht="15" hidden="false" customHeight="true" outlineLevel="0" collapsed="false">
      <c r="A7" s="1" t="s">
        <v>254</v>
      </c>
      <c r="B7" s="1" t="n">
        <v>21</v>
      </c>
      <c r="C7" s="0" t="n">
        <v>2002</v>
      </c>
    </row>
    <row r="8" customFormat="false" ht="15" hidden="false" customHeight="true" outlineLevel="0" collapsed="false">
      <c r="A8" s="1" t="s">
        <v>250</v>
      </c>
      <c r="B8" s="1" t="n">
        <v>8</v>
      </c>
      <c r="C8" s="1" t="n">
        <v>2003</v>
      </c>
    </row>
    <row r="9" customFormat="false" ht="15" hidden="false" customHeight="true" outlineLevel="0" collapsed="false">
      <c r="A9" s="1" t="s">
        <v>259</v>
      </c>
      <c r="B9" s="1" t="n">
        <v>39</v>
      </c>
      <c r="C9" s="1" t="n">
        <v>2005</v>
      </c>
    </row>
    <row r="10" customFormat="false" ht="15" hidden="false" customHeight="true" outlineLevel="0" collapsed="false">
      <c r="A10" s="1" t="s">
        <v>257</v>
      </c>
      <c r="B10" s="1" t="n">
        <v>31</v>
      </c>
      <c r="C10" s="0" t="n">
        <v>2006</v>
      </c>
    </row>
    <row r="11" customFormat="false" ht="15" hidden="false" customHeight="true" outlineLevel="0" collapsed="false">
      <c r="A11" s="1" t="s">
        <v>251</v>
      </c>
      <c r="B11" s="1" t="n">
        <v>9</v>
      </c>
      <c r="C11" s="1" t="n">
        <v>2007</v>
      </c>
    </row>
    <row r="12" customFormat="false" ht="15" hidden="false" customHeight="true" outlineLevel="0" collapsed="false">
      <c r="A12" s="1" t="s">
        <v>252</v>
      </c>
      <c r="B12" s="1" t="n">
        <v>13</v>
      </c>
      <c r="C12" s="1" t="n">
        <v>2008</v>
      </c>
      <c r="D12" s="1" t="n">
        <v>17</v>
      </c>
      <c r="E12" s="1" t="n">
        <v>23</v>
      </c>
      <c r="F12" s="1" t="n">
        <v>29</v>
      </c>
      <c r="G12" s="1" t="n">
        <v>34</v>
      </c>
      <c r="H12" s="1" t="n">
        <v>36</v>
      </c>
    </row>
    <row r="13" customFormat="false" ht="15" hidden="false" customHeight="true" outlineLevel="0" collapsed="false">
      <c r="A13" s="1" t="s">
        <v>255</v>
      </c>
      <c r="B13" s="1" t="n">
        <v>25</v>
      </c>
      <c r="C13" s="1" t="n">
        <v>2011</v>
      </c>
      <c r="D13" s="1" t="n">
        <v>35</v>
      </c>
    </row>
    <row r="14" customFormat="false" ht="15" hidden="false" customHeight="false" outlineLevel="0" collapsed="false">
      <c r="C14" s="0" t="n">
        <v>2015</v>
      </c>
    </row>
    <row r="15" customFormat="false" ht="15" hidden="false" customHeight="false" outlineLevel="0" collapsed="false">
      <c r="C15" s="0" t="n">
        <v>2018</v>
      </c>
    </row>
    <row r="16" customFormat="false" ht="15" hidden="false" customHeight="false" outlineLevel="0" collapsed="false">
      <c r="C16" s="0" t="n">
        <v>2019</v>
      </c>
    </row>
    <row r="17" customFormat="false" ht="15" hidden="false" customHeight="false" outlineLevel="0" collapsed="false">
      <c r="C17" s="0" t="n">
        <v>2020</v>
      </c>
    </row>
    <row r="18" customFormat="false" ht="15" hidden="false" customHeight="false" outlineLevel="0" collapsed="false">
      <c r="C18" s="0" t="n">
        <v>2022</v>
      </c>
    </row>
    <row r="19" customFormat="false" ht="15" hidden="false" customHeight="false" outlineLevel="0" collapsed="false">
      <c r="C19" s="0" t="n">
        <v>2023</v>
      </c>
    </row>
    <row r="20" customFormat="false" ht="15" hidden="false" customHeight="false" outlineLevel="0" collapsed="false">
      <c r="C20" s="0" t="n">
        <v>2025</v>
      </c>
    </row>
    <row r="21" customFormat="false" ht="15" hidden="false" customHeight="false" outlineLevel="0" collapsed="false">
      <c r="C21" s="0" t="n">
        <v>2027</v>
      </c>
    </row>
    <row r="22" customFormat="false" ht="15" hidden="false" customHeight="false" outlineLevel="0" collapsed="false">
      <c r="C22" s="0" t="n">
        <v>2033</v>
      </c>
    </row>
    <row r="23" customFormat="false" ht="15" hidden="false" customHeight="false" outlineLevel="0" collapsed="false">
      <c r="C23" s="0" t="n">
        <v>2035</v>
      </c>
    </row>
    <row r="24" customFormat="false" ht="15" hidden="false" customHeight="false" outlineLevel="0" collapsed="false">
      <c r="C24" s="0" t="n">
        <v>2036</v>
      </c>
    </row>
    <row r="25" customFormat="false" ht="15" hidden="false" customHeight="false" outlineLevel="0" collapsed="false">
      <c r="C25" s="0" t="n">
        <v>2037</v>
      </c>
    </row>
    <row r="26" customFormat="false" ht="15" hidden="false" customHeight="false" outlineLevel="0" collapsed="false">
      <c r="C26" s="0" t="n">
        <v>2040</v>
      </c>
    </row>
    <row r="27" customFormat="false" ht="15" hidden="false" customHeight="false" outlineLevel="0" collapsed="false">
      <c r="C27" s="0" t="n">
        <v>2043</v>
      </c>
    </row>
    <row r="28" customFormat="false" ht="15" hidden="false" customHeight="false" outlineLevel="0" collapsed="false">
      <c r="C28" s="0" t="n">
        <v>2046</v>
      </c>
    </row>
    <row r="29" customFormat="false" ht="15" hidden="false" customHeight="false" outlineLevel="0" collapsed="false">
      <c r="C29" s="0" t="n">
        <v>2055</v>
      </c>
    </row>
    <row r="30" customFormat="false" ht="15" hidden="false" customHeight="false" outlineLevel="0" collapsed="false">
      <c r="C30" s="0" t="n">
        <v>2059</v>
      </c>
    </row>
    <row r="31" customFormat="false" ht="15" hidden="false" customHeight="false" outlineLevel="0" collapsed="false">
      <c r="C31" s="0" t="n">
        <v>2062</v>
      </c>
    </row>
    <row r="32" customFormat="false" ht="15" hidden="false" customHeight="false" outlineLevel="0" collapsed="false">
      <c r="C32" s="0" t="n">
        <v>2067</v>
      </c>
    </row>
    <row r="33" customFormat="false" ht="15" hidden="false" customHeight="false" outlineLevel="0" collapsed="false">
      <c r="C33" s="0" t="n">
        <v>2069</v>
      </c>
    </row>
    <row r="34" customFormat="false" ht="15" hidden="false" customHeight="false" outlineLevel="0" collapsed="false">
      <c r="C34" s="0" t="n">
        <v>2071</v>
      </c>
    </row>
    <row r="35" customFormat="false" ht="15" hidden="false" customHeight="false" outlineLevel="0" collapsed="false">
      <c r="C35" s="0" t="n">
        <v>2086</v>
      </c>
    </row>
    <row r="36" customFormat="false" ht="15" hidden="false" customHeight="false" outlineLevel="0" collapsed="false">
      <c r="C36" s="0" t="n">
        <v>2089</v>
      </c>
    </row>
    <row r="37" customFormat="false" ht="15" hidden="false" customHeight="false" outlineLevel="0" collapsed="false">
      <c r="C37" s="0" t="n">
        <v>2091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2026-09-02T06:08:07Z</dcterms:created>
  <dc:creator>S.M.C</dc:creator>
  <dc:description/>
  <dc:language>en-US</dc:language>
  <cp:lastModifiedBy>Piyush Prakash Dhabekar</cp:lastModifiedBy>
  <dcterms:modified xsi:type="dcterms:W3CDTF">2026-09-06T13:06:14Z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